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6380" windowHeight="8070" tabRatio="500" activeTab="2"/>
  </bookViews>
  <sheets>
    <sheet name="README" sheetId="1" r:id="rId1"/>
    <sheet name="spawning" sheetId="2" r:id="rId2"/>
    <sheet name="instream_rearing" sheetId="3" r:id="rId3"/>
    <sheet name="floodplain_rearing" sheetId="4" r:id="rId4"/>
  </sheets>
  <calcPr calcId="14562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2" i="3"/>
  <c r="D36" i="3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2" i="3"/>
  <c r="D29" i="3"/>
  <c r="D35" i="3"/>
  <c r="D34" i="3"/>
  <c r="C5" i="2" l="1"/>
  <c r="C4" i="2"/>
  <c r="C3" i="2"/>
  <c r="C2" i="2"/>
  <c r="C8" i="4"/>
  <c r="C7" i="4"/>
  <c r="C6" i="4"/>
  <c r="C5" i="4"/>
  <c r="C4" i="4"/>
  <c r="C3" i="4"/>
  <c r="G2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2" i="3"/>
  <c r="D20" i="2" l="1"/>
  <c r="D19" i="2"/>
  <c r="D18" i="2"/>
  <c r="D2" i="2"/>
  <c r="D5" i="2"/>
  <c r="D4" i="2"/>
  <c r="D3" i="2"/>
</calcChain>
</file>

<file path=xl/sharedStrings.xml><?xml version="1.0" encoding="utf-8"?>
<sst xmlns="http://schemas.openxmlformats.org/spreadsheetml/2006/main" count="43" uniqueCount="33">
  <si>
    <t>Here is some additional contextual information that may come in handy</t>
  </si>
  <si>
    <t>WUA units: sqft/1000ft</t>
  </si>
  <si>
    <t>FR= fall run</t>
  </si>
  <si>
    <t>spawning reach length: 53351.60 ft</t>
  </si>
  <si>
    <t>rearing reach length: 308339.26 ft</t>
  </si>
  <si>
    <t>floodplain habitat is represented by total inundated area, will apply a 27% suitability factor to these areas (unless you have a different suitability factor)</t>
  </si>
  <si>
    <t>flow_cfs</t>
  </si>
  <si>
    <t>FR_spawn_wua_existing</t>
  </si>
  <si>
    <t>FR_spawn_acres_existing</t>
  </si>
  <si>
    <t>FR_fry_wua</t>
  </si>
  <si>
    <t>FR_juv_wua</t>
  </si>
  <si>
    <t>FR_floodplain_acres</t>
  </si>
  <si>
    <t>FR_floodplain_acres_VA_enhanced</t>
  </si>
  <si>
    <t>Percent inundation</t>
  </si>
  <si>
    <t>Total area created</t>
  </si>
  <si>
    <t>*assuming FOUR 1-acre projects, total footprint 4 acres</t>
  </si>
  <si>
    <t>*assuming we build to begin inundation at 700 cfs and full inundation at 1300 cfs</t>
  </si>
  <si>
    <t>*assuming build in conjunction with FOUR 1-acre spawning projects, total footprint 4 acres</t>
  </si>
  <si>
    <t>CS Spawn (SHIRA reach)</t>
  </si>
  <si>
    <t>1999 WUA</t>
  </si>
  <si>
    <t>2017 WUA</t>
  </si>
  <si>
    <t>Increase (WUA)</t>
  </si>
  <si>
    <t>Flow (cfs)</t>
  </si>
  <si>
    <t>CS Fry (SHIRA reach)</t>
  </si>
  <si>
    <t>FR_fry_acres_existing</t>
  </si>
  <si>
    <t>FR_juv_acres_existing</t>
  </si>
  <si>
    <t>FR_fry_acres_VA_enhanced</t>
  </si>
  <si>
    <t>FR_juv_acres_VA_enhanced</t>
  </si>
  <si>
    <t>FR_spawn_acres_VA_enhanced</t>
  </si>
  <si>
    <t>*applied 38% WUA increase to 105-180 and 37% WUA increase to 480 based on results of previous projects</t>
  </si>
  <si>
    <t>CS Juveniles (SHIRA reach)</t>
  </si>
  <si>
    <t>*For FRY - applied WUA increase based on results of previous projects</t>
  </si>
  <si>
    <t>*For JUVENILES applied WUA increase based on results of previous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</si>
</sst>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"/>
      <family val="2"/>
      <charset val="1"/>
    </font>
    <font>
      <sz val="10"/>
      <name val="Arial"/>
      <family val="2"/>
    </font>
    <font>
      <sz val="10"/>
      <color theme="0" tint="-0.34998626667073579"/>
      <name val="Arial"/>
      <family val="2"/>
      <charset val="1"/>
    </font>
    <font>
      <i/>
      <sz val="10"/>
      <name val="Arial"/>
      <family val="2"/>
    </font>
    <font>
      <i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4" fontId="4" fillId="0" borderId="0" xfId="0" applyNumberFormat="1" applyFont="1" applyBorder="1"/>
    <xf numFmtId="4" fontId="4" fillId="0" borderId="5" xfId="0" applyNumberFormat="1" applyFont="1" applyBorder="1"/>
    <xf numFmtId="0" fontId="4" fillId="0" borderId="6" xfId="0" applyFont="1" applyBorder="1"/>
    <xf numFmtId="4" fontId="4" fillId="0" borderId="7" xfId="0" applyNumberFormat="1" applyFont="1" applyBorder="1"/>
    <xf numFmtId="4" fontId="4" fillId="0" borderId="8" xfId="0" applyNumberFormat="1" applyFont="1" applyBorder="1"/>
    <xf numFmtId="0" fontId="4" fillId="0" borderId="7" xfId="0" applyFont="1" applyBorder="1"/>
    <xf numFmtId="0" fontId="4" fillId="0" borderId="8" xfId="0" applyFont="1" applyBorder="1"/>
    <xf numFmtId="2" fontId="4" fillId="0" borderId="0" xfId="0" applyNumberFormat="1" applyFont="1" applyBorder="1"/>
    <xf numFmtId="2" fontId="4" fillId="0" borderId="7" xfId="0" applyNumberFormat="1" applyFont="1" applyBorder="1"/>
    <xf numFmtId="0" fontId="0" fillId="0" borderId="0" xfId="0" applyFont="1"/>
    <xf numFmtId="0" fontId="0" fillId="0" borderId="0" xfId="0" applyFill="1"/>
    <xf numFmtId="164" fontId="5" fillId="0" borderId="0" xfId="0" applyNumberFormat="1" applyFont="1"/>
    <xf numFmtId="2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69421967415363"/>
          <c:y val="0.14035108870048155"/>
          <c:w val="0.70988642548713665"/>
          <c:h val="0.651141646096240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040122404054332"/>
                  <c:y val="0.29752911666609916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</c:trendlineLbl>
          </c:trendline>
          <c:xVal>
            <c:numRef>
              <c:f>instream_rearing!$A$27:$A$29</c:f>
              <c:numCache>
                <c:formatCode>General</c:formatCode>
                <c:ptCount val="3"/>
                <c:pt idx="0">
                  <c:v>272</c:v>
                </c:pt>
                <c:pt idx="1">
                  <c:v>459</c:v>
                </c:pt>
                <c:pt idx="2">
                  <c:v>899</c:v>
                </c:pt>
              </c:numCache>
            </c:numRef>
          </c:xVal>
          <c:yVal>
            <c:numRef>
              <c:f>instream_rearing!$D$27:$D$29</c:f>
              <c:numCache>
                <c:formatCode>#,##0.00</c:formatCode>
                <c:ptCount val="3"/>
                <c:pt idx="0">
                  <c:v>0.2340024457109558</c:v>
                </c:pt>
                <c:pt idx="1">
                  <c:v>0.29364992615043561</c:v>
                </c:pt>
                <c:pt idx="2">
                  <c:v>0.42928392594433507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975168"/>
        <c:axId val="249976704"/>
      </c:scatterChart>
      <c:valAx>
        <c:axId val="24997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9976704"/>
        <c:crosses val="autoZero"/>
        <c:crossBetween val="midCat"/>
      </c:valAx>
      <c:valAx>
        <c:axId val="24997670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99751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69421967415363"/>
          <c:y val="0.14035108870048155"/>
          <c:w val="0.70988642548713665"/>
          <c:h val="0.651141646096240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0223568828090038"/>
                  <c:y val="0.18983626967580011"/>
                </c:manualLayout>
              </c:layout>
              <c:numFmt formatCode="General" sourceLinked="0"/>
            </c:trendlineLbl>
          </c:trendline>
          <c:xVal>
            <c:numRef>
              <c:f>instream_rearing!$A$34:$A$36</c:f>
              <c:numCache>
                <c:formatCode>General</c:formatCode>
                <c:ptCount val="3"/>
                <c:pt idx="0">
                  <c:v>272</c:v>
                </c:pt>
                <c:pt idx="1">
                  <c:v>459</c:v>
                </c:pt>
                <c:pt idx="2">
                  <c:v>899</c:v>
                </c:pt>
              </c:numCache>
            </c:numRef>
          </c:xVal>
          <c:yVal>
            <c:numRef>
              <c:f>instream_rearing!$D$34:$D$36</c:f>
              <c:numCache>
                <c:formatCode>#,##0.00</c:formatCode>
                <c:ptCount val="3"/>
                <c:pt idx="0">
                  <c:v>3.3438354114037012E-2</c:v>
                </c:pt>
                <c:pt idx="1">
                  <c:v>4.4978822856621019E-2</c:v>
                </c:pt>
                <c:pt idx="2">
                  <c:v>8.5899327816491275E-2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1056"/>
        <c:axId val="41537536"/>
      </c:scatterChart>
      <c:valAx>
        <c:axId val="4142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537536"/>
        <c:crosses val="autoZero"/>
        <c:crossBetween val="midCat"/>
      </c:valAx>
      <c:valAx>
        <c:axId val="4153753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421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24</xdr:row>
      <xdr:rowOff>9526</xdr:rowOff>
    </xdr:from>
    <xdr:to>
      <xdr:col>6</xdr:col>
      <xdr:colOff>28575</xdr:colOff>
      <xdr:row>29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209550</xdr:colOff>
      <xdr:row>31</xdr:row>
      <xdr:rowOff>133350</xdr:rowOff>
    </xdr:from>
    <xdr:to>
      <xdr:col>6</xdr:col>
      <xdr:colOff>161925</xdr:colOff>
      <xdr:row>36</xdr:row>
      <xdr:rowOff>133349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zoomScaleNormal="100" workbookViewId="0">
      <selection activeCell="A5" sqref="A5"/>
    </sheetView>
  </sheetViews>
  <sheetFormatPr defaultRowHeight="12.75" x14ac:dyDescent="0.2"/>
  <cols>
    <col min="1" max="1025" width="11.5703125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7" spans="1:1" x14ac:dyDescent="0.2">
      <c r="A7" t="s">
        <v>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zoomScaleNormal="100" workbookViewId="0">
      <selection activeCell="A23" sqref="A23"/>
    </sheetView>
  </sheetViews>
  <sheetFormatPr defaultRowHeight="12.75" x14ac:dyDescent="0.2"/>
  <cols>
    <col min="1" max="1" width="8.28515625" customWidth="1"/>
    <col min="2" max="2" width="21.42578125" customWidth="1"/>
    <col min="3" max="3" width="26.28515625" customWidth="1"/>
    <col min="4" max="4" width="22.7109375" customWidth="1"/>
    <col min="5" max="1025" width="11.5703125"/>
  </cols>
  <sheetData>
    <row r="1" spans="1:6" x14ac:dyDescent="0.2">
      <c r="A1" t="s">
        <v>6</v>
      </c>
      <c r="B1" t="s">
        <v>7</v>
      </c>
      <c r="C1" t="s">
        <v>28</v>
      </c>
      <c r="D1" t="s">
        <v>8</v>
      </c>
    </row>
    <row r="2" spans="1:6" x14ac:dyDescent="0.2">
      <c r="A2">
        <v>105</v>
      </c>
      <c r="B2" s="1">
        <v>5662.44087486648</v>
      </c>
      <c r="C2" s="21">
        <f>(0.38*4)</f>
        <v>1.52</v>
      </c>
      <c r="D2" s="1">
        <f>B2*$A$9/1000/$A$10</f>
        <v>6.9352681492085972</v>
      </c>
      <c r="E2" s="1"/>
    </row>
    <row r="3" spans="1:6" x14ac:dyDescent="0.2">
      <c r="A3">
        <v>140</v>
      </c>
      <c r="B3" s="1">
        <v>7016.7609956330198</v>
      </c>
      <c r="C3" s="21">
        <f>(0.38*4)</f>
        <v>1.52</v>
      </c>
      <c r="D3" s="1">
        <f>B3*$A$9/1000/$A$10</f>
        <v>8.5940180425760939</v>
      </c>
      <c r="E3" s="1"/>
    </row>
    <row r="4" spans="1:6" x14ac:dyDescent="0.2">
      <c r="A4">
        <v>180</v>
      </c>
      <c r="B4" s="1">
        <v>8240.1970463602993</v>
      </c>
      <c r="C4" s="21">
        <f>(0.38*4)</f>
        <v>1.52</v>
      </c>
      <c r="D4" s="1">
        <f>B4*$A$9/1000/$A$10</f>
        <v>10.092463194182647</v>
      </c>
      <c r="E4" s="1"/>
    </row>
    <row r="5" spans="1:6" x14ac:dyDescent="0.2">
      <c r="A5">
        <v>480</v>
      </c>
      <c r="B5" s="1">
        <v>11368.9694593573</v>
      </c>
      <c r="C5" s="21">
        <f>(0.37*4)</f>
        <v>1.48</v>
      </c>
      <c r="D5" s="1">
        <f>B5*$A$9/1000/$A$10</f>
        <v>13.92453422883028</v>
      </c>
      <c r="E5" s="1"/>
    </row>
    <row r="9" spans="1:6" x14ac:dyDescent="0.2">
      <c r="A9" s="2">
        <v>53351.6</v>
      </c>
    </row>
    <row r="10" spans="1:6" x14ac:dyDescent="0.2">
      <c r="A10">
        <v>43560</v>
      </c>
    </row>
    <row r="12" spans="1:6" x14ac:dyDescent="0.2">
      <c r="A12" s="18"/>
      <c r="B12" s="18"/>
      <c r="C12" s="18"/>
      <c r="D12" s="18"/>
      <c r="E12" s="18"/>
      <c r="F12" s="18"/>
    </row>
    <row r="13" spans="1:6" x14ac:dyDescent="0.2">
      <c r="A13" s="4" t="s">
        <v>15</v>
      </c>
      <c r="B13" s="4"/>
      <c r="C13" s="4"/>
      <c r="D13" s="4"/>
      <c r="E13" s="2"/>
      <c r="F13" s="2"/>
    </row>
    <row r="14" spans="1:6" x14ac:dyDescent="0.2">
      <c r="A14" s="4"/>
      <c r="B14" s="4"/>
      <c r="C14" s="4"/>
      <c r="D14" s="4"/>
      <c r="E14" s="2"/>
      <c r="F14" s="2"/>
    </row>
    <row r="15" spans="1:6" x14ac:dyDescent="0.2">
      <c r="A15" s="4" t="s">
        <v>29</v>
      </c>
      <c r="B15" s="4"/>
      <c r="C15" s="4"/>
      <c r="D15" s="4"/>
      <c r="E15" s="2"/>
      <c r="F15" s="2"/>
    </row>
    <row r="16" spans="1:6" x14ac:dyDescent="0.2">
      <c r="A16" s="5" t="s">
        <v>18</v>
      </c>
      <c r="B16" s="6"/>
      <c r="C16" s="6"/>
      <c r="D16" s="7"/>
      <c r="E16" s="2"/>
      <c r="F16" s="2"/>
    </row>
    <row r="17" spans="1:6" x14ac:dyDescent="0.2">
      <c r="A17" s="11" t="s">
        <v>22</v>
      </c>
      <c r="B17" s="14" t="s">
        <v>19</v>
      </c>
      <c r="C17" s="14" t="s">
        <v>20</v>
      </c>
      <c r="D17" s="15" t="s">
        <v>21</v>
      </c>
      <c r="E17" s="2"/>
      <c r="F17" s="2"/>
    </row>
    <row r="18" spans="1:6" x14ac:dyDescent="0.2">
      <c r="A18" s="8">
        <v>272</v>
      </c>
      <c r="B18" s="9">
        <v>3.9744388124999999</v>
      </c>
      <c r="C18" s="9">
        <v>6.4106890874999998</v>
      </c>
      <c r="D18" s="10">
        <f>(C18-B18)/C18</f>
        <v>0.38002939180912193</v>
      </c>
      <c r="E18" s="2"/>
      <c r="F18" s="2"/>
    </row>
    <row r="19" spans="1:6" x14ac:dyDescent="0.2">
      <c r="A19" s="8">
        <v>459</v>
      </c>
      <c r="B19" s="9">
        <v>4.4339529375</v>
      </c>
      <c r="C19" s="9">
        <v>7.0274326881282496</v>
      </c>
      <c r="D19" s="10">
        <f>(C19-B19)/C19</f>
        <v>0.36905081353671715</v>
      </c>
      <c r="E19" s="2"/>
      <c r="F19" s="2"/>
    </row>
    <row r="20" spans="1:6" x14ac:dyDescent="0.2">
      <c r="A20" s="11">
        <v>899</v>
      </c>
      <c r="B20" s="12">
        <v>3.4570992375</v>
      </c>
      <c r="C20" s="12">
        <v>5.6150664749999999</v>
      </c>
      <c r="D20" s="13">
        <f t="shared" ref="D20" si="0">(C20-B20)/C20</f>
        <v>0.38431730899499278</v>
      </c>
      <c r="E20" s="2"/>
      <c r="F20" s="2"/>
    </row>
    <row r="21" spans="1:6" x14ac:dyDescent="0.2">
      <c r="A21" s="4"/>
      <c r="B21" s="4"/>
      <c r="C21" s="4"/>
      <c r="D21" s="4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18"/>
      <c r="B24" s="18"/>
      <c r="C24" s="18"/>
      <c r="D24" s="18"/>
      <c r="E24" s="18"/>
      <c r="F24" s="18"/>
    </row>
    <row r="25" spans="1:6" x14ac:dyDescent="0.2">
      <c r="A25" s="18"/>
      <c r="B25" s="18"/>
      <c r="C25" s="18"/>
      <c r="D25" s="18"/>
      <c r="E25" s="18"/>
      <c r="F25" s="18"/>
    </row>
    <row r="26" spans="1:6" x14ac:dyDescent="0.2">
      <c r="A26" s="18"/>
      <c r="B26" s="18"/>
      <c r="C26" s="18"/>
      <c r="D26" s="18"/>
      <c r="E26" s="18"/>
      <c r="F26" s="18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Normal="100" workbookViewId="0">
      <selection activeCell="A32" sqref="A32"/>
    </sheetView>
  </sheetViews>
  <sheetFormatPr defaultRowHeight="12.75" x14ac:dyDescent="0.2"/>
  <cols>
    <col min="1" max="3" width="11.5703125"/>
    <col min="4" max="4" width="19.140625" customWidth="1"/>
    <col min="5" max="5" width="19" customWidth="1"/>
    <col min="6" max="6" width="12.7109375" customWidth="1"/>
    <col min="7" max="1024" width="11.5703125"/>
  </cols>
  <sheetData>
    <row r="1" spans="1:7" x14ac:dyDescent="0.2">
      <c r="A1" t="s">
        <v>6</v>
      </c>
      <c r="B1" t="s">
        <v>9</v>
      </c>
      <c r="C1" t="s">
        <v>10</v>
      </c>
      <c r="D1" t="s">
        <v>26</v>
      </c>
      <c r="E1" t="s">
        <v>27</v>
      </c>
      <c r="F1" t="s">
        <v>24</v>
      </c>
      <c r="G1" t="s">
        <v>25</v>
      </c>
    </row>
    <row r="2" spans="1:7" x14ac:dyDescent="0.2">
      <c r="A2">
        <v>100</v>
      </c>
      <c r="B2" s="1">
        <v>26783.271547309902</v>
      </c>
      <c r="C2" s="1">
        <v>29606.591594124598</v>
      </c>
      <c r="D2" s="21">
        <f>4*(-0.00000002*A2^2+0.0003*A2+0.1451)</f>
        <v>0.6996</v>
      </c>
      <c r="E2" s="21">
        <f>0.00009*A2+0.0084</f>
        <v>1.7399999999999999E-2</v>
      </c>
      <c r="F2" s="1">
        <f>B2*$A$19/1000/$A$20</f>
        <v>189.58526467577113</v>
      </c>
      <c r="G2" s="1">
        <f>C2*$A$19/1000/$A$20</f>
        <v>209.57012266424698</v>
      </c>
    </row>
    <row r="3" spans="1:7" x14ac:dyDescent="0.2">
      <c r="A3">
        <v>105</v>
      </c>
      <c r="B3" s="1">
        <v>26584.443564355399</v>
      </c>
      <c r="C3" s="1">
        <v>29465.075329920099</v>
      </c>
      <c r="D3" s="21">
        <f t="shared" ref="D3:D17" si="0">4*(-0.00000002*A3^2+0.0003*A3+0.1451)</f>
        <v>0.70551800000000009</v>
      </c>
      <c r="E3" s="21">
        <f t="shared" ref="E3:E17" si="1">0.00009*A3+0.0084</f>
        <v>1.7849999999999998E-2</v>
      </c>
      <c r="F3" s="1">
        <f t="shared" ref="F3:G17" si="2">B3*$A$19/1000/$A$20</f>
        <v>188.17786171132016</v>
      </c>
      <c r="G3" s="1">
        <f t="shared" si="2"/>
        <v>208.56840043782873</v>
      </c>
    </row>
    <row r="4" spans="1:7" x14ac:dyDescent="0.2">
      <c r="A4">
        <v>140</v>
      </c>
      <c r="B4" s="1">
        <v>25234.029183329199</v>
      </c>
      <c r="C4" s="1">
        <v>28541.241696085199</v>
      </c>
      <c r="D4" s="21">
        <f t="shared" si="0"/>
        <v>0.74683199999999994</v>
      </c>
      <c r="E4" s="21">
        <f t="shared" si="1"/>
        <v>2.0999999999999998E-2</v>
      </c>
      <c r="F4" s="1">
        <f t="shared" si="2"/>
        <v>178.61895971547591</v>
      </c>
      <c r="G4" s="1">
        <f t="shared" si="2"/>
        <v>202.02904830238879</v>
      </c>
    </row>
    <row r="5" spans="1:7" x14ac:dyDescent="0.2">
      <c r="A5">
        <v>180</v>
      </c>
      <c r="B5" s="1">
        <v>23675.021194348501</v>
      </c>
      <c r="C5" s="1">
        <v>27441.9910996648</v>
      </c>
      <c r="D5" s="21">
        <f t="shared" si="0"/>
        <v>0.79380799999999996</v>
      </c>
      <c r="E5" s="21">
        <f t="shared" si="1"/>
        <v>2.4600000000000004E-2</v>
      </c>
      <c r="F5" s="1">
        <f t="shared" si="2"/>
        <v>167.58352882345577</v>
      </c>
      <c r="G5" s="1">
        <f t="shared" si="2"/>
        <v>194.24800800269125</v>
      </c>
    </row>
    <row r="6" spans="1:7" x14ac:dyDescent="0.2">
      <c r="A6">
        <v>200</v>
      </c>
      <c r="B6" s="1">
        <v>22880.6461730136</v>
      </c>
      <c r="C6" s="1">
        <v>26872.7280778026</v>
      </c>
      <c r="D6" s="21">
        <f t="shared" si="0"/>
        <v>0.81720000000000004</v>
      </c>
      <c r="E6" s="21">
        <f t="shared" si="1"/>
        <v>2.64E-2</v>
      </c>
      <c r="F6" s="1">
        <f t="shared" si="2"/>
        <v>161.9605488822049</v>
      </c>
      <c r="G6" s="1">
        <f t="shared" si="2"/>
        <v>190.21848231613581</v>
      </c>
    </row>
    <row r="7" spans="1:7" x14ac:dyDescent="0.2">
      <c r="A7">
        <v>272</v>
      </c>
      <c r="B7" s="1">
        <v>20538.754050753501</v>
      </c>
      <c r="C7" s="1">
        <v>26229.428699099</v>
      </c>
      <c r="D7" s="21">
        <f t="shared" si="0"/>
        <v>0.90088128000000001</v>
      </c>
      <c r="E7" s="21">
        <f t="shared" si="1"/>
        <v>3.288E-2</v>
      </c>
      <c r="F7" s="1">
        <f t="shared" si="2"/>
        <v>145.38347624727587</v>
      </c>
      <c r="G7" s="1">
        <f t="shared" si="2"/>
        <v>185.66489061760672</v>
      </c>
    </row>
    <row r="8" spans="1:7" x14ac:dyDescent="0.2">
      <c r="A8">
        <v>300</v>
      </c>
      <c r="B8" s="1">
        <v>19476.127750165499</v>
      </c>
      <c r="C8" s="1">
        <v>25729.5410112024</v>
      </c>
      <c r="D8" s="21">
        <f t="shared" si="0"/>
        <v>0.93320000000000003</v>
      </c>
      <c r="E8" s="21">
        <f t="shared" si="1"/>
        <v>3.5400000000000001E-2</v>
      </c>
      <c r="F8" s="1">
        <f t="shared" si="2"/>
        <v>137.86168085747235</v>
      </c>
      <c r="G8" s="1">
        <f t="shared" si="2"/>
        <v>182.1264379139991</v>
      </c>
    </row>
    <row r="9" spans="1:7" x14ac:dyDescent="0.2">
      <c r="A9">
        <v>400</v>
      </c>
      <c r="B9" s="1">
        <v>16823.233393357699</v>
      </c>
      <c r="C9" s="1">
        <v>22567.483521961702</v>
      </c>
      <c r="D9" s="21">
        <f t="shared" si="0"/>
        <v>1.0476000000000001</v>
      </c>
      <c r="E9" s="21">
        <f t="shared" si="1"/>
        <v>4.4400000000000002E-2</v>
      </c>
      <c r="F9" s="1">
        <f t="shared" si="2"/>
        <v>119.08318033322317</v>
      </c>
      <c r="G9" s="1">
        <f t="shared" si="2"/>
        <v>159.74382849457911</v>
      </c>
    </row>
    <row r="10" spans="1:7" x14ac:dyDescent="0.2">
      <c r="A10">
        <v>459</v>
      </c>
      <c r="B10" s="1">
        <v>15299.3227896025</v>
      </c>
      <c r="C10" s="1">
        <v>20489.070682855101</v>
      </c>
      <c r="D10" s="21">
        <f t="shared" si="0"/>
        <v>1.1143455200000001</v>
      </c>
      <c r="E10" s="21">
        <f t="shared" si="1"/>
        <v>4.9709999999999997E-2</v>
      </c>
      <c r="F10" s="1">
        <f t="shared" si="2"/>
        <v>108.29618612137673</v>
      </c>
      <c r="G10" s="1">
        <f t="shared" si="2"/>
        <v>145.03179275572168</v>
      </c>
    </row>
    <row r="11" spans="1:7" x14ac:dyDescent="0.2">
      <c r="A11">
        <v>500</v>
      </c>
      <c r="B11" s="1">
        <v>14257.909692441401</v>
      </c>
      <c r="C11" s="1">
        <v>19176.772922795499</v>
      </c>
      <c r="D11" s="21">
        <f t="shared" si="0"/>
        <v>1.1604000000000001</v>
      </c>
      <c r="E11" s="21">
        <f t="shared" si="1"/>
        <v>5.3400000000000003E-2</v>
      </c>
      <c r="F11" s="1">
        <f t="shared" si="2"/>
        <v>100.92454829463291</v>
      </c>
      <c r="G11" s="1">
        <f t="shared" si="2"/>
        <v>135.74269908638206</v>
      </c>
    </row>
    <row r="12" spans="1:7" x14ac:dyDescent="0.2">
      <c r="A12">
        <v>600</v>
      </c>
      <c r="B12" s="1">
        <v>13073.044651555099</v>
      </c>
      <c r="C12" s="1">
        <v>17256.6574742021</v>
      </c>
      <c r="D12" s="21">
        <f t="shared" si="0"/>
        <v>1.2715999999999998</v>
      </c>
      <c r="E12" s="21">
        <f t="shared" si="1"/>
        <v>6.2400000000000004E-2</v>
      </c>
      <c r="F12" s="1">
        <f t="shared" si="2"/>
        <v>92.537486542870923</v>
      </c>
      <c r="G12" s="1">
        <f t="shared" si="2"/>
        <v>122.15117069947073</v>
      </c>
    </row>
    <row r="13" spans="1:7" x14ac:dyDescent="0.2">
      <c r="A13">
        <v>700</v>
      </c>
      <c r="B13" s="1">
        <v>12255.1710879416</v>
      </c>
      <c r="C13" s="1">
        <v>15282.3353494723</v>
      </c>
      <c r="D13" s="21">
        <f t="shared" si="0"/>
        <v>1.3812</v>
      </c>
      <c r="E13" s="21">
        <f t="shared" si="1"/>
        <v>7.1400000000000005E-2</v>
      </c>
      <c r="F13" s="1">
        <f t="shared" si="2"/>
        <v>86.748172277991458</v>
      </c>
      <c r="G13" s="1">
        <f t="shared" si="2"/>
        <v>108.17594060441071</v>
      </c>
    </row>
    <row r="14" spans="1:7" x14ac:dyDescent="0.2">
      <c r="A14">
        <v>800</v>
      </c>
      <c r="B14" s="1">
        <v>11518.5198254644</v>
      </c>
      <c r="C14" s="1">
        <v>14526.1723156517</v>
      </c>
      <c r="D14" s="21">
        <f t="shared" si="0"/>
        <v>1.4891999999999999</v>
      </c>
      <c r="E14" s="21">
        <f t="shared" si="1"/>
        <v>8.0400000000000013E-2</v>
      </c>
      <c r="F14" s="1">
        <f t="shared" si="2"/>
        <v>81.533789698783792</v>
      </c>
      <c r="G14" s="1">
        <f t="shared" si="2"/>
        <v>102.82344404133451</v>
      </c>
    </row>
    <row r="15" spans="1:7" x14ac:dyDescent="0.2">
      <c r="A15">
        <v>899</v>
      </c>
      <c r="B15" s="1">
        <v>10857.140778736901</v>
      </c>
      <c r="C15" s="1">
        <v>13423.6276309192</v>
      </c>
      <c r="D15" s="21">
        <f t="shared" si="0"/>
        <v>1.59454392</v>
      </c>
      <c r="E15" s="21">
        <f t="shared" si="1"/>
        <v>8.9310000000000014E-2</v>
      </c>
      <c r="F15" s="1">
        <f t="shared" si="2"/>
        <v>76.852221153157942</v>
      </c>
      <c r="G15" s="1">
        <f t="shared" si="2"/>
        <v>95.019086552644154</v>
      </c>
    </row>
    <row r="16" spans="1:7" x14ac:dyDescent="0.2">
      <c r="A16">
        <v>900</v>
      </c>
      <c r="B16" s="1">
        <v>10855.409322771</v>
      </c>
      <c r="C16" s="1">
        <v>13418.349058476</v>
      </c>
      <c r="D16" s="21">
        <f t="shared" si="0"/>
        <v>1.5955999999999999</v>
      </c>
      <c r="E16" s="21">
        <f t="shared" si="1"/>
        <v>8.9400000000000007E-2</v>
      </c>
      <c r="F16" s="1">
        <f t="shared" si="2"/>
        <v>76.839965050053053</v>
      </c>
      <c r="G16" s="1">
        <f t="shared" si="2"/>
        <v>94.981722201840839</v>
      </c>
    </row>
    <row r="17" spans="1:8" x14ac:dyDescent="0.2">
      <c r="A17">
        <v>1000</v>
      </c>
      <c r="B17" s="1">
        <v>10427.018697771</v>
      </c>
      <c r="C17" s="1">
        <v>12938.207723248801</v>
      </c>
      <c r="D17" s="21">
        <f t="shared" si="0"/>
        <v>1.7003999999999999</v>
      </c>
      <c r="E17" s="21">
        <f t="shared" si="1"/>
        <v>9.8400000000000015E-2</v>
      </c>
      <c r="F17" s="1">
        <f t="shared" si="2"/>
        <v>73.80760397788967</v>
      </c>
      <c r="G17" s="1">
        <f t="shared" si="2"/>
        <v>91.583043964940771</v>
      </c>
    </row>
    <row r="18" spans="1:8" x14ac:dyDescent="0.2">
      <c r="B18" s="1"/>
      <c r="C18" s="1"/>
      <c r="D18" s="19"/>
      <c r="E18" s="19"/>
    </row>
    <row r="19" spans="1:8" x14ac:dyDescent="0.2">
      <c r="A19" s="2">
        <v>308339.26</v>
      </c>
      <c r="B19" s="1"/>
      <c r="C19" s="1"/>
    </row>
    <row r="20" spans="1:8" x14ac:dyDescent="0.2">
      <c r="A20">
        <v>43560</v>
      </c>
      <c r="B20" s="1"/>
      <c r="C20" s="1"/>
    </row>
    <row r="22" spans="1:8" x14ac:dyDescent="0.2">
      <c r="A22" s="4" t="s">
        <v>17</v>
      </c>
      <c r="B22" s="2"/>
      <c r="C22" s="2"/>
      <c r="D22" s="2"/>
      <c r="E22" s="2"/>
      <c r="F22" s="2"/>
      <c r="G22" s="2"/>
      <c r="H22" s="2"/>
    </row>
    <row r="23" spans="1:8" x14ac:dyDescent="0.2">
      <c r="A23" s="4"/>
      <c r="B23" s="2"/>
      <c r="C23" s="2"/>
      <c r="D23" s="2"/>
      <c r="E23" s="2"/>
      <c r="F23" s="2"/>
      <c r="G23" s="2"/>
      <c r="H23" s="2"/>
    </row>
    <row r="24" spans="1:8" x14ac:dyDescent="0.2">
      <c r="A24" s="4" t="s">
        <v>31</v>
      </c>
      <c r="B24" s="4"/>
      <c r="C24" s="4"/>
      <c r="D24" s="4"/>
      <c r="E24" s="2"/>
      <c r="F24" s="2"/>
      <c r="G24" s="2"/>
      <c r="H24" s="2"/>
    </row>
    <row r="25" spans="1:8" x14ac:dyDescent="0.2">
      <c r="A25" s="5" t="s">
        <v>23</v>
      </c>
      <c r="B25" s="6"/>
      <c r="C25" s="6"/>
      <c r="D25" s="7"/>
      <c r="E25" s="2"/>
      <c r="F25" s="2"/>
      <c r="G25" s="2"/>
      <c r="H25" s="2"/>
    </row>
    <row r="26" spans="1:8" x14ac:dyDescent="0.2">
      <c r="A26" s="11" t="s">
        <v>22</v>
      </c>
      <c r="B26" s="14" t="s">
        <v>19</v>
      </c>
      <c r="C26" s="14" t="s">
        <v>20</v>
      </c>
      <c r="D26" s="15" t="s">
        <v>21</v>
      </c>
      <c r="E26" s="2"/>
      <c r="F26" s="2"/>
      <c r="G26" s="2"/>
      <c r="H26" s="2"/>
    </row>
    <row r="27" spans="1:8" x14ac:dyDescent="0.2">
      <c r="A27" s="8">
        <v>272</v>
      </c>
      <c r="B27" s="9">
        <v>3.5917191000000002</v>
      </c>
      <c r="C27" s="9">
        <v>4.6889433</v>
      </c>
      <c r="D27" s="10">
        <v>0.2340024457109558</v>
      </c>
      <c r="E27" s="2"/>
      <c r="F27" s="2"/>
      <c r="G27" s="2"/>
      <c r="H27" s="2"/>
    </row>
    <row r="28" spans="1:8" x14ac:dyDescent="0.2">
      <c r="A28" s="8">
        <v>459</v>
      </c>
      <c r="B28" s="9">
        <v>3.3274628999999996</v>
      </c>
      <c r="C28" s="9">
        <v>4.7107843874999995</v>
      </c>
      <c r="D28" s="10">
        <v>0.29364992615043561</v>
      </c>
      <c r="E28" s="2"/>
      <c r="F28" s="2"/>
      <c r="G28" s="2"/>
      <c r="H28" s="2"/>
    </row>
    <row r="29" spans="1:8" x14ac:dyDescent="0.2">
      <c r="A29" s="11">
        <v>899</v>
      </c>
      <c r="B29" s="17">
        <v>2.3892008000000002</v>
      </c>
      <c r="C29" s="17">
        <v>4.1863212000000001</v>
      </c>
      <c r="D29" s="13">
        <f>(C29-B29)/C29</f>
        <v>0.42928392594433507</v>
      </c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x14ac:dyDescent="0.2">
      <c r="A31" s="4" t="s">
        <v>32</v>
      </c>
      <c r="B31" s="4"/>
      <c r="C31" s="4"/>
      <c r="D31" s="4"/>
      <c r="E31" s="2"/>
      <c r="F31" s="2"/>
      <c r="G31" s="2"/>
      <c r="H31" s="2"/>
    </row>
    <row r="32" spans="1:8" x14ac:dyDescent="0.2">
      <c r="A32" s="5" t="s">
        <v>30</v>
      </c>
      <c r="B32" s="6"/>
      <c r="C32" s="6"/>
      <c r="D32" s="7"/>
      <c r="E32" s="2"/>
      <c r="F32" s="2"/>
      <c r="G32" s="2"/>
      <c r="H32" s="2"/>
    </row>
    <row r="33" spans="1:8" x14ac:dyDescent="0.2">
      <c r="A33" s="11" t="s">
        <v>22</v>
      </c>
      <c r="B33" s="14" t="s">
        <v>19</v>
      </c>
      <c r="C33" s="14" t="s">
        <v>20</v>
      </c>
      <c r="D33" s="15" t="s">
        <v>21</v>
      </c>
      <c r="E33" s="2"/>
      <c r="F33" s="2"/>
      <c r="G33" s="2"/>
      <c r="H33" s="2"/>
    </row>
    <row r="34" spans="1:8" x14ac:dyDescent="0.2">
      <c r="A34" s="8">
        <v>272</v>
      </c>
      <c r="B34" s="16">
        <v>6.5846177500000005</v>
      </c>
      <c r="C34" s="16">
        <v>6.8124136499999999</v>
      </c>
      <c r="D34" s="10">
        <f>(C34-B34)/C34</f>
        <v>3.3438354114037012E-2</v>
      </c>
      <c r="E34" s="2"/>
      <c r="F34" s="2"/>
      <c r="G34" s="2"/>
      <c r="H34" s="2"/>
    </row>
    <row r="35" spans="1:8" x14ac:dyDescent="0.2">
      <c r="A35" s="11">
        <v>459</v>
      </c>
      <c r="B35" s="17">
        <v>6.4014103500000008</v>
      </c>
      <c r="C35" s="17">
        <v>6.7028988499999995</v>
      </c>
      <c r="D35" s="13">
        <f>(C35-B35)/C35</f>
        <v>4.4978822856621019E-2</v>
      </c>
      <c r="E35" s="2"/>
      <c r="F35" s="2"/>
      <c r="G35" s="2"/>
      <c r="H35" s="2"/>
    </row>
    <row r="36" spans="1:8" x14ac:dyDescent="0.2">
      <c r="A36" s="11">
        <v>899</v>
      </c>
      <c r="B36" s="17">
        <v>5.7393590000000003</v>
      </c>
      <c r="C36" s="17">
        <v>6.2786946500000003</v>
      </c>
      <c r="D36" s="13">
        <f>(C36-B36)/C36</f>
        <v>8.5899327816491275E-2</v>
      </c>
      <c r="E36" s="2"/>
      <c r="F36" s="2"/>
      <c r="G36" s="2"/>
      <c r="H36" s="2"/>
    </row>
    <row r="37" spans="1:8" x14ac:dyDescent="0.2">
      <c r="A37" s="2"/>
      <c r="B37" s="2"/>
      <c r="C37" s="2"/>
      <c r="D37" s="2"/>
      <c r="E37" s="2"/>
      <c r="F37" s="2"/>
      <c r="G37" s="2"/>
      <c r="H37" s="2"/>
    </row>
    <row r="38" spans="1:8" x14ac:dyDescent="0.2">
      <c r="A38" s="2"/>
      <c r="B38" s="2"/>
      <c r="C38" s="2"/>
      <c r="D38" s="2"/>
      <c r="E38" s="2"/>
      <c r="F38" s="2"/>
      <c r="G38" s="2"/>
      <c r="H38" s="2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C2" sqref="C2:C8"/>
    </sheetView>
  </sheetViews>
  <sheetFormatPr defaultRowHeight="12.75" x14ac:dyDescent="0.2"/>
  <cols>
    <col min="1" max="1" width="11.5703125"/>
    <col min="2" max="2" width="18" customWidth="1"/>
    <col min="3" max="3" width="26.28515625" customWidth="1"/>
    <col min="4" max="4" width="16.42578125" customWidth="1"/>
    <col min="5" max="1025" width="11.5703125"/>
  </cols>
  <sheetData>
    <row r="1" spans="1:5" x14ac:dyDescent="0.2">
      <c r="A1" t="s">
        <v>6</v>
      </c>
      <c r="B1" t="s">
        <v>11</v>
      </c>
      <c r="C1" t="s">
        <v>12</v>
      </c>
      <c r="D1" s="3" t="s">
        <v>13</v>
      </c>
      <c r="E1" s="3" t="s">
        <v>14</v>
      </c>
    </row>
    <row r="2" spans="1:5" x14ac:dyDescent="0.2">
      <c r="A2">
        <v>400</v>
      </c>
      <c r="B2">
        <v>0</v>
      </c>
      <c r="C2" s="20">
        <v>0</v>
      </c>
      <c r="D2" s="3">
        <v>0</v>
      </c>
      <c r="E2" s="3">
        <v>223</v>
      </c>
    </row>
    <row r="3" spans="1:5" x14ac:dyDescent="0.2">
      <c r="A3">
        <v>800</v>
      </c>
      <c r="B3" s="1">
        <v>135.49921970732899</v>
      </c>
      <c r="C3" s="20">
        <f>(0.5*E3)</f>
        <v>111.5</v>
      </c>
      <c r="D3" s="3">
        <v>50</v>
      </c>
      <c r="E3" s="3">
        <v>223</v>
      </c>
    </row>
    <row r="4" spans="1:5" x14ac:dyDescent="0.2">
      <c r="A4">
        <v>900</v>
      </c>
      <c r="B4" s="1">
        <v>160.71513775530801</v>
      </c>
      <c r="C4" s="20">
        <f>(0.5*E3)</f>
        <v>111.5</v>
      </c>
      <c r="D4" s="3">
        <v>50</v>
      </c>
      <c r="E4" s="3">
        <v>223</v>
      </c>
    </row>
    <row r="5" spans="1:5" x14ac:dyDescent="0.2">
      <c r="A5">
        <v>1100</v>
      </c>
      <c r="B5" s="1">
        <v>203.67629751151199</v>
      </c>
      <c r="C5" s="20">
        <f>(0.75*E3)</f>
        <v>167.25</v>
      </c>
      <c r="D5" s="3">
        <v>75</v>
      </c>
      <c r="E5" s="3">
        <v>223</v>
      </c>
    </row>
    <row r="6" spans="1:5" x14ac:dyDescent="0.2">
      <c r="A6">
        <v>1300</v>
      </c>
      <c r="B6" s="1">
        <v>239.440549001308</v>
      </c>
      <c r="C6" s="20">
        <f>(1*E3)</f>
        <v>223</v>
      </c>
      <c r="D6" s="3">
        <v>100</v>
      </c>
      <c r="E6" s="3">
        <v>223</v>
      </c>
    </row>
    <row r="7" spans="1:5" x14ac:dyDescent="0.2">
      <c r="A7">
        <v>1500</v>
      </c>
      <c r="B7" s="1">
        <v>270.07670238053402</v>
      </c>
      <c r="C7" s="20">
        <f>(1*E3)</f>
        <v>223</v>
      </c>
      <c r="D7" s="3">
        <v>100</v>
      </c>
      <c r="E7" s="3">
        <v>223</v>
      </c>
    </row>
    <row r="8" spans="1:5" x14ac:dyDescent="0.2">
      <c r="A8">
        <v>1700</v>
      </c>
      <c r="B8" s="1">
        <v>296.872611806431</v>
      </c>
      <c r="C8" s="20">
        <f>(1*E3)</f>
        <v>223</v>
      </c>
      <c r="D8" s="3">
        <v>100</v>
      </c>
      <c r="E8" s="3">
        <v>223</v>
      </c>
    </row>
    <row r="12" spans="1:5" x14ac:dyDescent="0.2">
      <c r="A12" s="4" t="s">
        <v>16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spawning</vt:lpstr>
      <vt:lpstr>instream_rearing</vt:lpstr>
      <vt:lpstr>floodplain_rearing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Bilski, Robyn</dc:creator>
  <cp:lastModifiedBy>Bilski, Robyn</cp:lastModifiedBy>
  <cp:revision>4</cp:revision>
  <dcterms:created xsi:type="dcterms:W3CDTF">2019-05-21T18:19:59Z</dcterms:created>
  <dcterms:modified xsi:type="dcterms:W3CDTF">2019-05-23T21:18:15Z</dcterms:modified>
  <dc:language>en-US</dc:language>
</cp:coreProperties>
</file>