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WYT" sheetId="1" state="visible" r:id="rId3"/>
    <sheet name="VA_base_426_data" sheetId="2" state="visible" r:id="rId4"/>
    <sheet name="PostPro4FW" sheetId="3" state="visible" r:id="rId5"/>
    <sheet name="Output" sheetId="4" state="visible" r:id="rId6"/>
  </sheets>
  <definedNames>
    <definedName function="false" hidden="false" name="diff_start" vbProcedure="false">#REF!</definedName>
    <definedName function="false" hidden="false" name="duration_start" vbProcedure="false">#REF!</definedName>
    <definedName function="false" hidden="false" name="min_duration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<sst xmlns="http://schemas.openxmlformats.org/spreadsheetml/2006/main" count="303" uniqueCount="74">
  <si>
    <t xml:space="preserve">WY</t>
  </si>
  <si>
    <t xml:space="preserve">OM</t>
  </si>
  <si>
    <t xml:space="preserve">AJ</t>
  </si>
  <si>
    <t xml:space="preserve">Wysum</t>
  </si>
  <si>
    <t xml:space="preserve">WYIndx</t>
  </si>
  <si>
    <t xml:space="preserve">SVI</t>
  </si>
  <si>
    <t xml:space="preserve">SJI</t>
  </si>
  <si>
    <t xml:space="preserve">Feather VA Action</t>
  </si>
  <si>
    <t xml:space="preserve">AN</t>
  </si>
  <si>
    <t xml:space="preserve">W</t>
  </si>
  <si>
    <t xml:space="preserve">BN</t>
  </si>
  <si>
    <t xml:space="preserve">C</t>
  </si>
  <si>
    <t xml:space="preserve">D</t>
  </si>
  <si>
    <t xml:space="preserve">CALSIM</t>
  </si>
  <si>
    <t xml:space="preserve">CALSIM_CYCLE9</t>
  </si>
  <si>
    <t xml:space="preserve">C203</t>
  </si>
  <si>
    <t xml:space="preserve">C203_MIF</t>
  </si>
  <si>
    <t xml:space="preserve">C200A</t>
  </si>
  <si>
    <t xml:space="preserve">S6</t>
  </si>
  <si>
    <t xml:space="preserve">C406</t>
  </si>
  <si>
    <t xml:space="preserve">X2_PRV_KM</t>
  </si>
  <si>
    <t xml:space="preserve">FLOW-CHANNEL</t>
  </si>
  <si>
    <t xml:space="preserve">FLOW-MIN-INSTREAM</t>
  </si>
  <si>
    <t xml:space="preserve">STORAGE</t>
  </si>
  <si>
    <t xml:space="preserve">X2-POSITION-PREV</t>
  </si>
  <si>
    <t xml:space="preserve">2020D09E</t>
  </si>
  <si>
    <t xml:space="preserve">CFS</t>
  </si>
  <si>
    <t xml:space="preserve">TAF</t>
  </si>
  <si>
    <t xml:space="preserve">KM</t>
  </si>
  <si>
    <t xml:space="preserve">PER-AVER</t>
  </si>
  <si>
    <t xml:space="preserve">WYT</t>
  </si>
  <si>
    <t xml:space="preserve">LFC</t>
  </si>
  <si>
    <t xml:space="preserve">HFC</t>
  </si>
  <si>
    <t xml:space="preserve">add VA</t>
  </si>
  <si>
    <t xml:space="preserve">Flow above</t>
  </si>
  <si>
    <t xml:space="preserve">Max</t>
  </si>
  <si>
    <t xml:space="preserve">Available</t>
  </si>
  <si>
    <t xml:space="preserve">Num days</t>
  </si>
  <si>
    <t xml:space="preserve">Vol</t>
  </si>
  <si>
    <t xml:space="preserve">Resulting</t>
  </si>
  <si>
    <t xml:space="preserve">Peak</t>
  </si>
  <si>
    <t xml:space="preserve">Volume</t>
  </si>
  <si>
    <t xml:space="preserve">Start mon</t>
  </si>
  <si>
    <t xml:space="preserve">action</t>
  </si>
  <si>
    <t xml:space="preserve">post action</t>
  </si>
  <si>
    <t xml:space="preserve">Simulated</t>
  </si>
  <si>
    <t xml:space="preserve">Min</t>
  </si>
  <si>
    <t xml:space="preserve">HFC Min</t>
  </si>
  <si>
    <t xml:space="preserve">Avail Pulse</t>
  </si>
  <si>
    <t xml:space="preserve">Flow</t>
  </si>
  <si>
    <t xml:space="preserve">LFC vol</t>
  </si>
  <si>
    <t xml:space="preserve">to use Vol</t>
  </si>
  <si>
    <t xml:space="preserve">used</t>
  </si>
  <si>
    <t xml:space="preserve">LFC Pulse</t>
  </si>
  <si>
    <t xml:space="preserve">Duration</t>
  </si>
  <si>
    <t xml:space="preserve">Avg Flow</t>
  </si>
  <si>
    <t xml:space="preserve">Check</t>
  </si>
  <si>
    <t xml:space="preserve">Total Vol</t>
  </si>
  <si>
    <t xml:space="preserve">taf</t>
  </si>
  <si>
    <t xml:space="preserve">mon</t>
  </si>
  <si>
    <t xml:space="preserve">day</t>
  </si>
  <si>
    <t xml:space="preserve">(flag)</t>
  </si>
  <si>
    <t xml:space="preserve">(cfs)</t>
  </si>
  <si>
    <t xml:space="preserve">(taf)</t>
  </si>
  <si>
    <t xml:space="preserve">(days)</t>
  </si>
  <si>
    <t xml:space="preserve">Max Pulse</t>
  </si>
  <si>
    <t xml:space="preserve">cfs</t>
  </si>
  <si>
    <t xml:space="preserve">date</t>
  </si>
  <si>
    <t xml:space="preserve">Base HFC (cfs)</t>
  </si>
  <si>
    <t xml:space="preserve">Base LFC (cfs)</t>
  </si>
  <si>
    <t xml:space="preserve">VA HFC (cfs)</t>
  </si>
  <si>
    <t xml:space="preserve">VA LFC (cfs)</t>
  </si>
  <si>
    <t xml:space="preserve">VA LFC Pulse (cfs)</t>
  </si>
  <si>
    <t xml:space="preserve">VA LFC Pulse Duration (days)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</si>
</sst>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MMMYYYY"/>
    <numFmt numFmtId="166" formatCode="0"/>
    <numFmt numFmtId="167" formatCode="0.0"/>
    <numFmt numFmtId="168" formatCode="0.00"/>
    <numFmt numFmtId="169" formatCode="0.0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 Unicode MS"/>
      <family val="2"/>
      <charset val="1"/>
    </font>
    <font>
      <b val="true"/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9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61" activeCellId="0" sqref="L61"/>
    </sheetView>
  </sheetViews>
  <sheetFormatPr defaultRowHeight="14.35" zeroHeight="false" outlineLevelRow="0" outlineLevelCol="0"/>
  <cols>
    <col collapsed="false" customWidth="true" hidden="false" outlineLevel="0" max="1025" min="1" style="0" width="8.53"/>
  </cols>
  <sheetData>
    <row r="1" customFormat="false" ht="14.3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1</v>
      </c>
      <c r="H1" s="0" t="s">
        <v>2</v>
      </c>
      <c r="I1" s="0" t="s">
        <v>3</v>
      </c>
      <c r="J1" s="0" t="s">
        <v>4</v>
      </c>
      <c r="K1" s="0" t="s">
        <v>6</v>
      </c>
      <c r="L1" s="0" t="s">
        <v>7</v>
      </c>
    </row>
    <row r="2" customFormat="false" ht="14.35" hidden="false" customHeight="false" outlineLevel="0" collapsed="false">
      <c r="A2" s="1" t="n">
        <v>1922</v>
      </c>
      <c r="B2" s="0" t="n">
        <v>6.63</v>
      </c>
      <c r="C2" s="0" t="n">
        <v>10.57</v>
      </c>
      <c r="D2" s="0" t="n">
        <v>17.98</v>
      </c>
      <c r="E2" s="0" t="n">
        <v>8.97</v>
      </c>
      <c r="F2" s="0" t="s">
        <v>8</v>
      </c>
      <c r="G2" s="0" t="n">
        <v>1.51</v>
      </c>
      <c r="H2" s="0" t="n">
        <v>5.99</v>
      </c>
      <c r="I2" s="0" t="n">
        <v>7.68</v>
      </c>
      <c r="J2" s="0" t="n">
        <v>4.54</v>
      </c>
      <c r="K2" s="0" t="s">
        <v>9</v>
      </c>
      <c r="L2" s="0" t="n">
        <f aca="false">IF(OR(F2="AN",F2="BN",F2="D"),1,0)</f>
        <v>1</v>
      </c>
    </row>
    <row r="3" customFormat="false" ht="14.35" hidden="false" customHeight="false" outlineLevel="0" collapsed="false">
      <c r="A3" s="1" t="n">
        <v>1923</v>
      </c>
      <c r="B3" s="0" t="n">
        <v>6.21</v>
      </c>
      <c r="C3" s="0" t="n">
        <v>6.27</v>
      </c>
      <c r="D3" s="0" t="n">
        <v>13.21</v>
      </c>
      <c r="E3" s="0" t="n">
        <v>7.06</v>
      </c>
      <c r="F3" s="0" t="s">
        <v>10</v>
      </c>
      <c r="G3" s="0" t="n">
        <v>1.39</v>
      </c>
      <c r="H3" s="0" t="n">
        <v>3.95</v>
      </c>
      <c r="I3" s="0" t="n">
        <v>5.51</v>
      </c>
      <c r="J3" s="0" t="n">
        <v>3.55</v>
      </c>
      <c r="K3" s="0" t="s">
        <v>8</v>
      </c>
      <c r="L3" s="0" t="n">
        <f aca="false">IF(OR(F3="AN",F3="BN",F3="D"),1,0)</f>
        <v>1</v>
      </c>
    </row>
    <row r="4" customFormat="false" ht="14.35" hidden="false" customHeight="false" outlineLevel="0" collapsed="false">
      <c r="A4" s="1" t="n">
        <v>1924</v>
      </c>
      <c r="B4" s="0" t="n">
        <v>3.27</v>
      </c>
      <c r="C4" s="0" t="n">
        <v>1.94</v>
      </c>
      <c r="D4" s="0" t="n">
        <v>5.74</v>
      </c>
      <c r="E4" s="0" t="n">
        <v>3.87</v>
      </c>
      <c r="F4" s="0" t="s">
        <v>11</v>
      </c>
      <c r="G4" s="0" t="n">
        <v>0.45</v>
      </c>
      <c r="H4" s="0" t="n">
        <v>1.03</v>
      </c>
      <c r="I4" s="0" t="n">
        <v>1.5</v>
      </c>
      <c r="J4" s="0" t="n">
        <v>1.42</v>
      </c>
      <c r="K4" s="0" t="s">
        <v>11</v>
      </c>
      <c r="L4" s="0" t="n">
        <f aca="false">IF(OR(F4="AN",F4="BN",F4="D"),1,0)</f>
        <v>0</v>
      </c>
    </row>
    <row r="5" customFormat="false" ht="14.35" hidden="false" customHeight="false" outlineLevel="0" collapsed="false">
      <c r="A5" s="1" t="n">
        <v>1925</v>
      </c>
      <c r="B5" s="0" t="n">
        <v>8.76</v>
      </c>
      <c r="C5" s="0" t="n">
        <v>6.51</v>
      </c>
      <c r="D5" s="0" t="n">
        <v>15.99</v>
      </c>
      <c r="E5" s="0" t="n">
        <v>6.39</v>
      </c>
      <c r="F5" s="0" t="s">
        <v>12</v>
      </c>
      <c r="G5" s="0" t="n">
        <v>1.45</v>
      </c>
      <c r="H5" s="0" t="n">
        <v>3.93</v>
      </c>
      <c r="I5" s="0" t="n">
        <v>5.51</v>
      </c>
      <c r="J5" s="0" t="n">
        <v>2.93</v>
      </c>
      <c r="K5" s="0" t="s">
        <v>10</v>
      </c>
      <c r="L5" s="0" t="n">
        <f aca="false">IF(OR(F5="AN",F5="BN",F5="D"),1,0)</f>
        <v>1</v>
      </c>
    </row>
    <row r="6" customFormat="false" ht="14.35" hidden="false" customHeight="false" outlineLevel="0" collapsed="false">
      <c r="A6" s="1" t="n">
        <v>1926</v>
      </c>
      <c r="B6" s="0" t="n">
        <v>6.37</v>
      </c>
      <c r="C6" s="0" t="n">
        <v>4.79</v>
      </c>
      <c r="D6" s="0" t="n">
        <v>11.76</v>
      </c>
      <c r="E6" s="0" t="n">
        <v>5.75</v>
      </c>
      <c r="F6" s="0" t="s">
        <v>12</v>
      </c>
      <c r="G6" s="0" t="n">
        <v>0.89</v>
      </c>
      <c r="H6" s="0" t="n">
        <v>2.56</v>
      </c>
      <c r="I6" s="0" t="n">
        <v>3.49</v>
      </c>
      <c r="J6" s="0" t="n">
        <v>2.3</v>
      </c>
      <c r="K6" s="0" t="s">
        <v>12</v>
      </c>
      <c r="L6" s="0" t="n">
        <f aca="false">IF(OR(F6="AN",F6="BN",F6="D"),1,0)</f>
        <v>1</v>
      </c>
    </row>
    <row r="7" customFormat="false" ht="14.35" hidden="false" customHeight="false" outlineLevel="0" collapsed="false">
      <c r="A7" s="1" t="n">
        <v>1927</v>
      </c>
      <c r="B7" s="0" t="n">
        <v>14.34</v>
      </c>
      <c r="C7" s="0" t="n">
        <v>8.75</v>
      </c>
      <c r="D7" s="0" t="n">
        <v>23.83</v>
      </c>
      <c r="E7" s="0" t="n">
        <v>9.52</v>
      </c>
      <c r="F7" s="0" t="s">
        <v>9</v>
      </c>
      <c r="G7" s="0" t="n">
        <v>1.8</v>
      </c>
      <c r="H7" s="0" t="n">
        <v>4.56</v>
      </c>
      <c r="I7" s="0" t="n">
        <v>6.5</v>
      </c>
      <c r="J7" s="0" t="n">
        <v>3.56</v>
      </c>
      <c r="K7" s="0" t="s">
        <v>8</v>
      </c>
      <c r="L7" s="0" t="n">
        <f aca="false">IF(OR(F7="AN",F7="BN",F7="D"),1,0)</f>
        <v>0</v>
      </c>
    </row>
    <row r="8" customFormat="false" ht="14.35" hidden="false" customHeight="false" outlineLevel="0" collapsed="false">
      <c r="A8" s="1" t="n">
        <v>1928</v>
      </c>
      <c r="B8" s="0" t="n">
        <v>10.24</v>
      </c>
      <c r="C8" s="0" t="n">
        <v>5.86</v>
      </c>
      <c r="D8" s="0" t="n">
        <v>16.76</v>
      </c>
      <c r="E8" s="0" t="n">
        <v>8.27</v>
      </c>
      <c r="F8" s="0" t="s">
        <v>8</v>
      </c>
      <c r="G8" s="0" t="n">
        <v>1.69</v>
      </c>
      <c r="H8" s="0" t="n">
        <v>2.64</v>
      </c>
      <c r="I8" s="0" t="n">
        <v>4.37</v>
      </c>
      <c r="J8" s="0" t="n">
        <v>2.63</v>
      </c>
      <c r="K8" s="0" t="s">
        <v>10</v>
      </c>
      <c r="L8" s="0" t="n">
        <f aca="false">IF(OR(F8="AN",F8="BN",F8="D"),1,0)</f>
        <v>1</v>
      </c>
    </row>
    <row r="9" customFormat="false" ht="14.35" hidden="false" customHeight="false" outlineLevel="0" collapsed="false">
      <c r="A9" s="1" t="n">
        <v>1929</v>
      </c>
      <c r="B9" s="0" t="n">
        <v>4</v>
      </c>
      <c r="C9" s="0" t="n">
        <v>3.84</v>
      </c>
      <c r="D9" s="0" t="n">
        <v>8.4</v>
      </c>
      <c r="E9" s="0" t="n">
        <v>5.22</v>
      </c>
      <c r="F9" s="0" t="s">
        <v>11</v>
      </c>
      <c r="G9" s="0" t="n">
        <v>0.52</v>
      </c>
      <c r="H9" s="0" t="n">
        <v>2.29</v>
      </c>
      <c r="I9" s="0" t="n">
        <v>2.84</v>
      </c>
      <c r="J9" s="0" t="n">
        <v>2</v>
      </c>
      <c r="K9" s="0" t="s">
        <v>11</v>
      </c>
      <c r="L9" s="0" t="n">
        <f aca="false">IF(OR(F9="AN",F9="BN",F9="D"),1,0)</f>
        <v>0</v>
      </c>
    </row>
    <row r="10" customFormat="false" ht="14.35" hidden="false" customHeight="false" outlineLevel="0" collapsed="false">
      <c r="A10" s="1" t="n">
        <v>1930</v>
      </c>
      <c r="B10" s="0" t="n">
        <v>8.24</v>
      </c>
      <c r="C10" s="0" t="n">
        <v>4.65</v>
      </c>
      <c r="D10" s="0" t="n">
        <v>13.52</v>
      </c>
      <c r="E10" s="0" t="n">
        <v>5.9</v>
      </c>
      <c r="F10" s="0" t="s">
        <v>12</v>
      </c>
      <c r="G10" s="0" t="n">
        <v>0.76</v>
      </c>
      <c r="H10" s="0" t="n">
        <v>2.44</v>
      </c>
      <c r="I10" s="0" t="n">
        <v>3.25</v>
      </c>
      <c r="J10" s="0" t="n">
        <v>2.02</v>
      </c>
      <c r="K10" s="0" t="s">
        <v>11</v>
      </c>
      <c r="L10" s="0" t="n">
        <f aca="false">IF(OR(F10="AN",F10="BN",F10="D"),1,0)</f>
        <v>1</v>
      </c>
    </row>
    <row r="11" customFormat="false" ht="14.35" hidden="false" customHeight="false" outlineLevel="0" collapsed="false">
      <c r="A11" s="1" t="n">
        <v>1931</v>
      </c>
      <c r="B11" s="0" t="n">
        <v>3.52</v>
      </c>
      <c r="C11" s="0" t="n">
        <v>2.09</v>
      </c>
      <c r="D11" s="0" t="n">
        <v>6.1</v>
      </c>
      <c r="E11" s="0" t="n">
        <v>3.66</v>
      </c>
      <c r="F11" s="0" t="s">
        <v>11</v>
      </c>
      <c r="G11" s="0" t="n">
        <v>0.46</v>
      </c>
      <c r="H11" s="0" t="n">
        <v>1.18</v>
      </c>
      <c r="I11" s="0" t="n">
        <v>1.66</v>
      </c>
      <c r="J11" s="0" t="n">
        <v>1.2</v>
      </c>
      <c r="K11" s="0" t="s">
        <v>11</v>
      </c>
      <c r="L11" s="0" t="n">
        <f aca="false">IF(OR(F11="AN",F11="BN",F11="D"),1,0)</f>
        <v>0</v>
      </c>
    </row>
    <row r="12" customFormat="false" ht="14.35" hidden="false" customHeight="false" outlineLevel="0" collapsed="false">
      <c r="A12" s="1" t="n">
        <v>1932</v>
      </c>
      <c r="B12" s="0" t="n">
        <v>6.28</v>
      </c>
      <c r="C12" s="0" t="n">
        <v>6.24</v>
      </c>
      <c r="D12" s="0" t="n">
        <v>13.12</v>
      </c>
      <c r="E12" s="0" t="n">
        <v>5.48</v>
      </c>
      <c r="F12" s="0" t="s">
        <v>12</v>
      </c>
      <c r="G12" s="0" t="n">
        <v>1.79</v>
      </c>
      <c r="H12" s="0" t="n">
        <v>4.69</v>
      </c>
      <c r="I12" s="0" t="n">
        <v>6.63</v>
      </c>
      <c r="J12" s="0" t="n">
        <v>3.41</v>
      </c>
      <c r="K12" s="0" t="s">
        <v>8</v>
      </c>
      <c r="L12" s="0" t="n">
        <f aca="false">IF(OR(F12="AN",F12="BN",F12="D"),1,0)</f>
        <v>1</v>
      </c>
    </row>
    <row r="13" customFormat="false" ht="14.35" hidden="false" customHeight="false" outlineLevel="0" collapsed="false">
      <c r="A13" s="1" t="n">
        <v>1933</v>
      </c>
      <c r="B13" s="0" t="n">
        <v>3.73</v>
      </c>
      <c r="C13" s="0" t="n">
        <v>4.66</v>
      </c>
      <c r="D13" s="0" t="n">
        <v>8.94</v>
      </c>
      <c r="E13" s="0" t="n">
        <v>4.63</v>
      </c>
      <c r="F13" s="0" t="s">
        <v>11</v>
      </c>
      <c r="G13" s="0" t="n">
        <v>0.49</v>
      </c>
      <c r="H13" s="0" t="n">
        <v>2.77</v>
      </c>
      <c r="I13" s="0" t="n">
        <v>3.34</v>
      </c>
      <c r="J13" s="0" t="n">
        <v>2.44</v>
      </c>
      <c r="K13" s="0" t="s">
        <v>12</v>
      </c>
      <c r="L13" s="0" t="n">
        <f aca="false">IF(OR(F13="AN",F13="BN",F13="D"),1,0)</f>
        <v>0</v>
      </c>
    </row>
    <row r="14" customFormat="false" ht="14.35" hidden="false" customHeight="false" outlineLevel="0" collapsed="false">
      <c r="A14" s="1" t="n">
        <v>1934</v>
      </c>
      <c r="B14" s="0" t="n">
        <v>5.68</v>
      </c>
      <c r="C14" s="0" t="n">
        <v>2.45</v>
      </c>
      <c r="D14" s="0" t="n">
        <v>8.63</v>
      </c>
      <c r="E14" s="0" t="n">
        <v>4.07</v>
      </c>
      <c r="F14" s="0" t="s">
        <v>11</v>
      </c>
      <c r="G14" s="0" t="n">
        <v>0.98</v>
      </c>
      <c r="H14" s="0" t="n">
        <v>1.26</v>
      </c>
      <c r="I14" s="0" t="n">
        <v>2.28</v>
      </c>
      <c r="J14" s="0" t="n">
        <v>1.44</v>
      </c>
      <c r="K14" s="0" t="s">
        <v>11</v>
      </c>
      <c r="L14" s="0" t="n">
        <f aca="false">IF(OR(F14="AN",F14="BN",F14="D"),1,0)</f>
        <v>0</v>
      </c>
    </row>
    <row r="15" customFormat="false" ht="14.35" hidden="false" customHeight="false" outlineLevel="0" collapsed="false">
      <c r="A15" s="1" t="n">
        <v>1935</v>
      </c>
      <c r="B15" s="0" t="n">
        <v>6.27</v>
      </c>
      <c r="C15" s="0" t="n">
        <v>9.69</v>
      </c>
      <c r="D15" s="0" t="n">
        <v>16.59</v>
      </c>
      <c r="E15" s="0" t="n">
        <v>6.98</v>
      </c>
      <c r="F15" s="0" t="s">
        <v>10</v>
      </c>
      <c r="G15" s="0" t="n">
        <v>1.26</v>
      </c>
      <c r="H15" s="0" t="n">
        <v>5.03</v>
      </c>
      <c r="I15" s="0" t="n">
        <v>6.41</v>
      </c>
      <c r="J15" s="0" t="n">
        <v>3.56</v>
      </c>
      <c r="K15" s="0" t="s">
        <v>8</v>
      </c>
      <c r="L15" s="0" t="n">
        <f aca="false">IF(OR(F15="AN",F15="BN",F15="D"),1,0)</f>
        <v>1</v>
      </c>
    </row>
    <row r="16" customFormat="false" ht="14.35" hidden="false" customHeight="false" outlineLevel="0" collapsed="false">
      <c r="A16" s="1" t="n">
        <v>1936</v>
      </c>
      <c r="B16" s="0" t="n">
        <v>10.32</v>
      </c>
      <c r="C16" s="0" t="n">
        <v>6.41</v>
      </c>
      <c r="D16" s="0" t="n">
        <v>17.35</v>
      </c>
      <c r="E16" s="0" t="n">
        <v>7.75</v>
      </c>
      <c r="F16" s="0" t="s">
        <v>10</v>
      </c>
      <c r="G16" s="0" t="n">
        <v>2</v>
      </c>
      <c r="H16" s="0" t="n">
        <v>4.38</v>
      </c>
      <c r="I16" s="0" t="n">
        <v>6.49</v>
      </c>
      <c r="J16" s="0" t="n">
        <v>3.74</v>
      </c>
      <c r="K16" s="0" t="s">
        <v>8</v>
      </c>
      <c r="L16" s="0" t="n">
        <f aca="false">IF(OR(F16="AN",F16="BN",F16="D"),1,0)</f>
        <v>1</v>
      </c>
    </row>
    <row r="17" customFormat="false" ht="14.35" hidden="false" customHeight="false" outlineLevel="0" collapsed="false">
      <c r="A17" s="1" t="n">
        <v>1937</v>
      </c>
      <c r="B17" s="0" t="n">
        <v>5.5</v>
      </c>
      <c r="C17" s="0" t="n">
        <v>7.24</v>
      </c>
      <c r="D17" s="0" t="n">
        <v>13.33</v>
      </c>
      <c r="E17" s="0" t="n">
        <v>6.87</v>
      </c>
      <c r="F17" s="0" t="s">
        <v>10</v>
      </c>
      <c r="G17" s="0" t="n">
        <v>1.78</v>
      </c>
      <c r="H17" s="0" t="n">
        <v>4.66</v>
      </c>
      <c r="I17" s="0" t="n">
        <v>6.53</v>
      </c>
      <c r="J17" s="0" t="n">
        <v>3.9</v>
      </c>
      <c r="K17" s="0" t="s">
        <v>9</v>
      </c>
      <c r="L17" s="0" t="n">
        <f aca="false">IF(OR(F17="AN",F17="BN",F17="D"),1,0)</f>
        <v>1</v>
      </c>
    </row>
    <row r="18" customFormat="false" ht="14.35" hidden="false" customHeight="false" outlineLevel="0" collapsed="false">
      <c r="A18" s="1" t="n">
        <v>1938</v>
      </c>
      <c r="B18" s="0" t="n">
        <v>17.96</v>
      </c>
      <c r="C18" s="0" t="n">
        <v>12.93</v>
      </c>
      <c r="D18" s="0" t="n">
        <v>31.83</v>
      </c>
      <c r="E18" s="0" t="n">
        <v>12.62</v>
      </c>
      <c r="F18" s="0" t="s">
        <v>9</v>
      </c>
      <c r="G18" s="0" t="n">
        <v>3.58</v>
      </c>
      <c r="H18" s="0" t="n">
        <v>7.33</v>
      </c>
      <c r="I18" s="0" t="n">
        <v>11.24</v>
      </c>
      <c r="J18" s="0" t="n">
        <v>5.89</v>
      </c>
      <c r="K18" s="0" t="s">
        <v>9</v>
      </c>
      <c r="L18" s="0" t="n">
        <f aca="false">IF(OR(F18="AN",F18="BN",F18="D"),1,0)</f>
        <v>0</v>
      </c>
    </row>
    <row r="19" customFormat="false" ht="14.35" hidden="false" customHeight="false" outlineLevel="0" collapsed="false">
      <c r="A19" s="1" t="n">
        <v>1939</v>
      </c>
      <c r="B19" s="0" t="n">
        <v>4.56</v>
      </c>
      <c r="C19" s="0" t="n">
        <v>3.04</v>
      </c>
      <c r="D19" s="0" t="n">
        <v>8.18</v>
      </c>
      <c r="E19" s="0" t="n">
        <v>5.58</v>
      </c>
      <c r="F19" s="0" t="s">
        <v>12</v>
      </c>
      <c r="G19" s="0" t="n">
        <v>1</v>
      </c>
      <c r="H19" s="0" t="n">
        <v>1.83</v>
      </c>
      <c r="I19" s="0" t="n">
        <v>2.9</v>
      </c>
      <c r="J19" s="0" t="n">
        <v>2.2</v>
      </c>
      <c r="K19" s="0" t="s">
        <v>12</v>
      </c>
      <c r="L19" s="0" t="n">
        <f aca="false">IF(OR(F19="AN",F19="BN",F19="D"),1,0)</f>
        <v>1</v>
      </c>
    </row>
    <row r="20" customFormat="false" ht="14.35" hidden="false" customHeight="false" outlineLevel="0" collapsed="false">
      <c r="A20" s="1" t="n">
        <v>1940</v>
      </c>
      <c r="B20" s="0" t="n">
        <v>14.78</v>
      </c>
      <c r="C20" s="0" t="n">
        <v>6.93</v>
      </c>
      <c r="D20" s="0" t="n">
        <v>22.43</v>
      </c>
      <c r="E20" s="0" t="n">
        <v>8.88</v>
      </c>
      <c r="F20" s="0" t="s">
        <v>8</v>
      </c>
      <c r="G20" s="0" t="n">
        <v>2.49</v>
      </c>
      <c r="H20" s="0" t="n">
        <v>4.04</v>
      </c>
      <c r="I20" s="0" t="n">
        <v>6.59</v>
      </c>
      <c r="J20" s="0" t="n">
        <v>3.36</v>
      </c>
      <c r="K20" s="0" t="s">
        <v>8</v>
      </c>
      <c r="L20" s="0" t="n">
        <f aca="false">IF(OR(F20="AN",F20="BN",F20="D"),1,0)</f>
        <v>1</v>
      </c>
    </row>
    <row r="21" customFormat="false" ht="14.35" hidden="false" customHeight="false" outlineLevel="0" collapsed="false">
      <c r="A21" s="1" t="n">
        <v>1941</v>
      </c>
      <c r="B21" s="0" t="n">
        <v>16.32</v>
      </c>
      <c r="C21" s="0" t="n">
        <v>9.77</v>
      </c>
      <c r="D21" s="0" t="n">
        <v>27.08</v>
      </c>
      <c r="E21" s="0" t="n">
        <v>11.47</v>
      </c>
      <c r="F21" s="0" t="s">
        <v>9</v>
      </c>
      <c r="G21" s="0" t="n">
        <v>2.22</v>
      </c>
      <c r="H21" s="0" t="n">
        <v>5.51</v>
      </c>
      <c r="I21" s="0" t="n">
        <v>7.93</v>
      </c>
      <c r="J21" s="0" t="n">
        <v>4.43</v>
      </c>
      <c r="K21" s="0" t="s">
        <v>9</v>
      </c>
      <c r="L21" s="0" t="n">
        <f aca="false">IF(OR(F21="AN",F21="BN",F21="D"),1,0)</f>
        <v>0</v>
      </c>
    </row>
    <row r="22" customFormat="false" ht="14.35" hidden="false" customHeight="false" outlineLevel="0" collapsed="false">
      <c r="A22" s="1" t="n">
        <v>1942</v>
      </c>
      <c r="B22" s="0" t="n">
        <v>14.33</v>
      </c>
      <c r="C22" s="0" t="n">
        <v>9.93</v>
      </c>
      <c r="D22" s="0" t="n">
        <v>25.24</v>
      </c>
      <c r="E22" s="0" t="n">
        <v>11.27</v>
      </c>
      <c r="F22" s="0" t="s">
        <v>9</v>
      </c>
      <c r="G22" s="0" t="n">
        <v>1.93</v>
      </c>
      <c r="H22" s="0" t="n">
        <v>5.28</v>
      </c>
      <c r="I22" s="0" t="n">
        <v>7.38</v>
      </c>
      <c r="J22" s="0" t="n">
        <v>4.44</v>
      </c>
      <c r="K22" s="0" t="s">
        <v>9</v>
      </c>
      <c r="L22" s="0" t="n">
        <f aca="false">IF(OR(F22="AN",F22="BN",F22="D"),1,0)</f>
        <v>0</v>
      </c>
    </row>
    <row r="23" customFormat="false" ht="14.35" hidden="false" customHeight="false" outlineLevel="0" collapsed="false">
      <c r="A23" s="1" t="n">
        <v>1943</v>
      </c>
      <c r="B23" s="0" t="n">
        <v>13.37</v>
      </c>
      <c r="C23" s="0" t="n">
        <v>6.9</v>
      </c>
      <c r="D23" s="0" t="n">
        <v>21.13</v>
      </c>
      <c r="E23" s="0" t="n">
        <v>9.77</v>
      </c>
      <c r="F23" s="0" t="s">
        <v>9</v>
      </c>
      <c r="G23" s="0" t="n">
        <v>2.86</v>
      </c>
      <c r="H23" s="0" t="n">
        <v>4.28</v>
      </c>
      <c r="I23" s="0" t="n">
        <v>7.28</v>
      </c>
      <c r="J23" s="0" t="n">
        <v>4.03</v>
      </c>
      <c r="K23" s="0" t="s">
        <v>9</v>
      </c>
      <c r="L23" s="0" t="n">
        <f aca="false">IF(OR(F23="AN",F23="BN",F23="D"),1,0)</f>
        <v>0</v>
      </c>
    </row>
    <row r="24" customFormat="false" ht="14.35" hidden="false" customHeight="false" outlineLevel="0" collapsed="false">
      <c r="A24" s="1" t="n">
        <v>1944</v>
      </c>
      <c r="B24" s="0" t="n">
        <v>4.81</v>
      </c>
      <c r="C24" s="0" t="n">
        <v>4.93</v>
      </c>
      <c r="D24" s="0" t="n">
        <v>10.43</v>
      </c>
      <c r="E24" s="0" t="n">
        <v>6.35</v>
      </c>
      <c r="F24" s="0" t="s">
        <v>12</v>
      </c>
      <c r="G24" s="0" t="n">
        <v>0.87</v>
      </c>
      <c r="H24" s="0" t="n">
        <v>2.97</v>
      </c>
      <c r="I24" s="0" t="n">
        <v>3.92</v>
      </c>
      <c r="J24" s="0" t="n">
        <v>2.76</v>
      </c>
      <c r="K24" s="0" t="s">
        <v>10</v>
      </c>
      <c r="L24" s="0" t="n">
        <f aca="false">IF(OR(F24="AN",F24="BN",F24="D"),1,0)</f>
        <v>1</v>
      </c>
    </row>
    <row r="25" customFormat="false" ht="14.35" hidden="false" customHeight="false" outlineLevel="0" collapsed="false">
      <c r="A25" s="1" t="n">
        <v>1945</v>
      </c>
      <c r="B25" s="0" t="n">
        <v>8.42</v>
      </c>
      <c r="C25" s="0" t="n">
        <v>5.92</v>
      </c>
      <c r="D25" s="0" t="n">
        <v>15.06</v>
      </c>
      <c r="E25" s="0" t="n">
        <v>6.8</v>
      </c>
      <c r="F25" s="0" t="s">
        <v>10</v>
      </c>
      <c r="G25" s="0" t="n">
        <v>2.07</v>
      </c>
      <c r="H25" s="0" t="n">
        <v>4.37</v>
      </c>
      <c r="I25" s="0" t="n">
        <v>6.6</v>
      </c>
      <c r="J25" s="0" t="n">
        <v>3.59</v>
      </c>
      <c r="K25" s="0" t="s">
        <v>8</v>
      </c>
      <c r="L25" s="0" t="n">
        <f aca="false">IF(OR(F25="AN",F25="BN",F25="D"),1,0)</f>
        <v>1</v>
      </c>
    </row>
    <row r="26" customFormat="false" ht="14.35" hidden="false" customHeight="false" outlineLevel="0" collapsed="false">
      <c r="A26" s="1" t="n">
        <v>1946</v>
      </c>
      <c r="B26" s="0" t="n">
        <v>10.89</v>
      </c>
      <c r="C26" s="0" t="n">
        <v>5.97</v>
      </c>
      <c r="D26" s="0" t="n">
        <v>17.62</v>
      </c>
      <c r="E26" s="0" t="n">
        <v>7.7</v>
      </c>
      <c r="F26" s="0" t="s">
        <v>10</v>
      </c>
      <c r="G26" s="0" t="n">
        <v>1.99</v>
      </c>
      <c r="H26" s="0" t="n">
        <v>3.65</v>
      </c>
      <c r="I26" s="0" t="n">
        <v>5.73</v>
      </c>
      <c r="J26" s="0" t="n">
        <v>3.3</v>
      </c>
      <c r="K26" s="0" t="s">
        <v>8</v>
      </c>
      <c r="L26" s="0" t="n">
        <f aca="false">IF(OR(F26="AN",F26="BN",F26="D"),1,0)</f>
        <v>1</v>
      </c>
    </row>
    <row r="27" customFormat="false" ht="14.35" hidden="false" customHeight="false" outlineLevel="0" collapsed="false">
      <c r="A27" s="1" t="n">
        <v>1947</v>
      </c>
      <c r="B27" s="0" t="n">
        <v>5.9</v>
      </c>
      <c r="C27" s="0" t="n">
        <v>3.83</v>
      </c>
      <c r="D27" s="0" t="n">
        <v>10.39</v>
      </c>
      <c r="E27" s="0" t="n">
        <v>5.61</v>
      </c>
      <c r="F27" s="0" t="s">
        <v>12</v>
      </c>
      <c r="G27" s="0" t="n">
        <v>1.26</v>
      </c>
      <c r="H27" s="0" t="n">
        <v>2.12</v>
      </c>
      <c r="I27" s="0" t="n">
        <v>3.42</v>
      </c>
      <c r="J27" s="0" t="n">
        <v>2.18</v>
      </c>
      <c r="K27" s="0" t="s">
        <v>12</v>
      </c>
      <c r="L27" s="0" t="n">
        <f aca="false">IF(OR(F27="AN",F27="BN",F27="D"),1,0)</f>
        <v>1</v>
      </c>
    </row>
    <row r="28" customFormat="false" ht="14.35" hidden="false" customHeight="false" outlineLevel="0" collapsed="false">
      <c r="A28" s="1" t="n">
        <v>1948</v>
      </c>
      <c r="B28" s="0" t="n">
        <v>5.39</v>
      </c>
      <c r="C28" s="0" t="n">
        <v>9.55</v>
      </c>
      <c r="D28" s="0" t="n">
        <v>15.75</v>
      </c>
      <c r="E28" s="0" t="n">
        <v>7.12</v>
      </c>
      <c r="F28" s="0" t="s">
        <v>10</v>
      </c>
      <c r="G28" s="0" t="n">
        <v>0.56</v>
      </c>
      <c r="H28" s="0" t="n">
        <v>3.58</v>
      </c>
      <c r="I28" s="0" t="n">
        <v>4.21</v>
      </c>
      <c r="J28" s="0" t="n">
        <v>2.7</v>
      </c>
      <c r="K28" s="0" t="s">
        <v>10</v>
      </c>
      <c r="L28" s="0" t="n">
        <f aca="false">IF(OR(F28="AN",F28="BN",F28="D"),1,0)</f>
        <v>1</v>
      </c>
    </row>
    <row r="29" customFormat="false" ht="14.35" hidden="false" customHeight="false" outlineLevel="0" collapsed="false">
      <c r="A29" s="1" t="n">
        <v>1949</v>
      </c>
      <c r="B29" s="0" t="n">
        <v>5.73</v>
      </c>
      <c r="C29" s="0" t="n">
        <v>5.59</v>
      </c>
      <c r="D29" s="0" t="n">
        <v>11.97</v>
      </c>
      <c r="E29" s="0" t="n">
        <v>6.09</v>
      </c>
      <c r="F29" s="0" t="s">
        <v>12</v>
      </c>
      <c r="G29" s="0" t="n">
        <v>0.62</v>
      </c>
      <c r="H29" s="0" t="n">
        <v>3.12</v>
      </c>
      <c r="I29" s="0" t="n">
        <v>3.79</v>
      </c>
      <c r="J29" s="0" t="n">
        <v>2.53</v>
      </c>
      <c r="K29" s="0" t="s">
        <v>10</v>
      </c>
      <c r="L29" s="0" t="n">
        <f aca="false">IF(OR(F29="AN",F29="BN",F29="D"),1,0)</f>
        <v>1</v>
      </c>
    </row>
    <row r="30" customFormat="false" ht="14.35" hidden="false" customHeight="false" outlineLevel="0" collapsed="false">
      <c r="A30" s="1" t="n">
        <v>1950</v>
      </c>
      <c r="B30" s="0" t="n">
        <v>7.01</v>
      </c>
      <c r="C30" s="0" t="n">
        <v>6.72</v>
      </c>
      <c r="D30" s="0" t="n">
        <v>14.44</v>
      </c>
      <c r="E30" s="0" t="n">
        <v>6.62</v>
      </c>
      <c r="F30" s="0" t="s">
        <v>10</v>
      </c>
      <c r="G30" s="0" t="n">
        <v>1.02</v>
      </c>
      <c r="H30" s="0" t="n">
        <v>3.57</v>
      </c>
      <c r="I30" s="0" t="n">
        <v>4.65</v>
      </c>
      <c r="J30" s="0" t="n">
        <v>2.85</v>
      </c>
      <c r="K30" s="0" t="s">
        <v>10</v>
      </c>
      <c r="L30" s="0" t="n">
        <f aca="false">IF(OR(F30="AN",F30="BN",F30="D"),1,0)</f>
        <v>1</v>
      </c>
    </row>
    <row r="31" customFormat="false" ht="14.35" hidden="false" customHeight="false" outlineLevel="0" collapsed="false">
      <c r="A31" s="1" t="n">
        <v>1951</v>
      </c>
      <c r="B31" s="0" t="n">
        <v>16.77</v>
      </c>
      <c r="C31" s="0" t="n">
        <v>5.42</v>
      </c>
      <c r="D31" s="0" t="n">
        <v>22.95</v>
      </c>
      <c r="E31" s="0" t="n">
        <v>9.18</v>
      </c>
      <c r="F31" s="0" t="s">
        <v>8</v>
      </c>
      <c r="G31" s="0" t="n">
        <v>4.35</v>
      </c>
      <c r="H31" s="0" t="n">
        <v>2.83</v>
      </c>
      <c r="I31" s="0" t="n">
        <v>7.25</v>
      </c>
      <c r="J31" s="0" t="n">
        <v>3.14</v>
      </c>
      <c r="K31" s="0" t="s">
        <v>8</v>
      </c>
      <c r="L31" s="0" t="n">
        <f aca="false">IF(OR(F31="AN",F31="BN",F31="D"),1,0)</f>
        <v>1</v>
      </c>
    </row>
    <row r="32" customFormat="false" ht="14.35" hidden="false" customHeight="false" outlineLevel="0" collapsed="false">
      <c r="A32" s="1" t="n">
        <v>1952</v>
      </c>
      <c r="B32" s="0" t="n">
        <v>13.86</v>
      </c>
      <c r="C32" s="0" t="n">
        <v>13.68</v>
      </c>
      <c r="D32" s="0" t="n">
        <v>28.6</v>
      </c>
      <c r="E32" s="0" t="n">
        <v>12.38</v>
      </c>
      <c r="F32" s="0" t="s">
        <v>9</v>
      </c>
      <c r="G32" s="0" t="n">
        <v>2.18</v>
      </c>
      <c r="H32" s="0" t="n">
        <v>6.84</v>
      </c>
      <c r="I32" s="0" t="n">
        <v>9.3</v>
      </c>
      <c r="J32" s="0" t="n">
        <v>5.17</v>
      </c>
      <c r="K32" s="0" t="s">
        <v>9</v>
      </c>
      <c r="L32" s="0" t="n">
        <f aca="false">IF(OR(F32="AN",F32="BN",F32="D"),1,0)</f>
        <v>0</v>
      </c>
    </row>
    <row r="33" customFormat="false" ht="14.35" hidden="false" customHeight="false" outlineLevel="0" collapsed="false">
      <c r="A33" s="1" t="n">
        <v>1953</v>
      </c>
      <c r="B33" s="0" t="n">
        <v>10.84</v>
      </c>
      <c r="C33" s="0" t="n">
        <v>8.26</v>
      </c>
      <c r="D33" s="0" t="n">
        <v>20.09</v>
      </c>
      <c r="E33" s="0" t="n">
        <v>9.55</v>
      </c>
      <c r="F33" s="0" t="s">
        <v>9</v>
      </c>
      <c r="G33" s="0" t="n">
        <v>1.07</v>
      </c>
      <c r="H33" s="0" t="n">
        <v>3.18</v>
      </c>
      <c r="I33" s="0" t="n">
        <v>4.35</v>
      </c>
      <c r="J33" s="0" t="n">
        <v>3.03</v>
      </c>
      <c r="K33" s="0" t="s">
        <v>10</v>
      </c>
      <c r="L33" s="0" t="n">
        <f aca="false">IF(OR(F33="AN",F33="BN",F33="D"),1,0)</f>
        <v>0</v>
      </c>
    </row>
    <row r="34" customFormat="false" ht="14.35" hidden="false" customHeight="false" outlineLevel="0" collapsed="false">
      <c r="A34" s="1" t="n">
        <v>1954</v>
      </c>
      <c r="B34" s="0" t="n">
        <v>9.74</v>
      </c>
      <c r="C34" s="0" t="n">
        <v>6.81</v>
      </c>
      <c r="D34" s="0" t="n">
        <v>17.43</v>
      </c>
      <c r="E34" s="0" t="n">
        <v>8.51</v>
      </c>
      <c r="F34" s="0" t="s">
        <v>8</v>
      </c>
      <c r="G34" s="0" t="n">
        <v>1.1</v>
      </c>
      <c r="H34" s="0" t="n">
        <v>3.16</v>
      </c>
      <c r="I34" s="0" t="n">
        <v>4.3</v>
      </c>
      <c r="J34" s="0" t="n">
        <v>2.72</v>
      </c>
      <c r="K34" s="0" t="s">
        <v>10</v>
      </c>
      <c r="L34" s="0" t="n">
        <f aca="false">IF(OR(F34="AN",F34="BN",F34="D"),1,0)</f>
        <v>1</v>
      </c>
    </row>
    <row r="35" customFormat="false" ht="14.35" hidden="false" customHeight="false" outlineLevel="0" collapsed="false">
      <c r="A35" s="1" t="n">
        <v>1955</v>
      </c>
      <c r="B35" s="0" t="n">
        <v>5.19</v>
      </c>
      <c r="C35" s="0" t="n">
        <v>5.07</v>
      </c>
      <c r="D35" s="0" t="n">
        <v>10.98</v>
      </c>
      <c r="E35" s="0" t="n">
        <v>6.14</v>
      </c>
      <c r="F35" s="0" t="s">
        <v>12</v>
      </c>
      <c r="G35" s="0" t="n">
        <v>0.78</v>
      </c>
      <c r="H35" s="0" t="n">
        <v>2.67</v>
      </c>
      <c r="I35" s="0" t="n">
        <v>3.5</v>
      </c>
      <c r="J35" s="0" t="n">
        <v>2.3</v>
      </c>
      <c r="K35" s="0" t="s">
        <v>12</v>
      </c>
      <c r="L35" s="0" t="n">
        <f aca="false">IF(OR(F35="AN",F35="BN",F35="D"),1,0)</f>
        <v>1</v>
      </c>
    </row>
    <row r="36" customFormat="false" ht="14.35" hidden="false" customHeight="false" outlineLevel="0" collapsed="false">
      <c r="A36" s="1" t="n">
        <v>1956</v>
      </c>
      <c r="B36" s="0" t="n">
        <v>20.32</v>
      </c>
      <c r="C36" s="0" t="n">
        <v>8.6</v>
      </c>
      <c r="D36" s="0" t="n">
        <v>29.89</v>
      </c>
      <c r="E36" s="0" t="n">
        <v>11.38</v>
      </c>
      <c r="F36" s="0" t="s">
        <v>9</v>
      </c>
      <c r="G36" s="0" t="n">
        <v>4.14</v>
      </c>
      <c r="H36" s="0" t="n">
        <v>5.29</v>
      </c>
      <c r="I36" s="0" t="n">
        <v>9.67</v>
      </c>
      <c r="J36" s="0" t="n">
        <v>4.46</v>
      </c>
      <c r="K36" s="0" t="s">
        <v>9</v>
      </c>
      <c r="L36" s="0" t="n">
        <f aca="false">IF(OR(F36="AN",F36="BN",F36="D"),1,0)</f>
        <v>0</v>
      </c>
    </row>
    <row r="37" customFormat="false" ht="14.35" hidden="false" customHeight="false" outlineLevel="0" collapsed="false">
      <c r="A37" s="1" t="n">
        <v>1957</v>
      </c>
      <c r="B37" s="0" t="n">
        <v>7.72</v>
      </c>
      <c r="C37" s="0" t="n">
        <v>6.29</v>
      </c>
      <c r="D37" s="0" t="n">
        <v>14.89</v>
      </c>
      <c r="E37" s="0" t="n">
        <v>7.83</v>
      </c>
      <c r="F37" s="0" t="s">
        <v>8</v>
      </c>
      <c r="G37" s="0" t="n">
        <v>1.02</v>
      </c>
      <c r="H37" s="0" t="n">
        <v>3.19</v>
      </c>
      <c r="I37" s="0" t="n">
        <v>4.29</v>
      </c>
      <c r="J37" s="0" t="n">
        <v>3.01</v>
      </c>
      <c r="K37" s="0" t="s">
        <v>10</v>
      </c>
      <c r="L37" s="0" t="n">
        <f aca="false">IF(OR(F37="AN",F37="BN",F37="D"),1,0)</f>
        <v>1</v>
      </c>
    </row>
    <row r="38" customFormat="false" ht="14.35" hidden="false" customHeight="false" outlineLevel="0" collapsed="false">
      <c r="A38" s="1" t="n">
        <v>1958</v>
      </c>
      <c r="B38" s="0" t="n">
        <v>16.37</v>
      </c>
      <c r="C38" s="0" t="n">
        <v>12.24</v>
      </c>
      <c r="D38" s="0" t="n">
        <v>29.71</v>
      </c>
      <c r="E38" s="0" t="n">
        <v>12.16</v>
      </c>
      <c r="F38" s="0" t="s">
        <v>9</v>
      </c>
      <c r="G38" s="0" t="n">
        <v>1.67</v>
      </c>
      <c r="H38" s="0" t="n">
        <v>6.4</v>
      </c>
      <c r="I38" s="0" t="n">
        <v>8.36</v>
      </c>
      <c r="J38" s="0" t="n">
        <v>4.77</v>
      </c>
      <c r="K38" s="0" t="s">
        <v>9</v>
      </c>
      <c r="L38" s="0" t="n">
        <f aca="false">IF(OR(F38="AN",F38="BN",F38="D"),1,0)</f>
        <v>0</v>
      </c>
    </row>
    <row r="39" customFormat="false" ht="14.35" hidden="false" customHeight="false" outlineLevel="0" collapsed="false">
      <c r="A39" s="1" t="n">
        <v>1959</v>
      </c>
      <c r="B39" s="0" t="n">
        <v>7.4</v>
      </c>
      <c r="C39" s="0" t="n">
        <v>3.84</v>
      </c>
      <c r="D39" s="0" t="n">
        <v>12.05</v>
      </c>
      <c r="E39" s="0" t="n">
        <v>6.75</v>
      </c>
      <c r="F39" s="0" t="s">
        <v>10</v>
      </c>
      <c r="G39" s="0" t="n">
        <v>0.98</v>
      </c>
      <c r="H39" s="0" t="n">
        <v>1.85</v>
      </c>
      <c r="I39" s="0" t="n">
        <v>2.98</v>
      </c>
      <c r="J39" s="0" t="n">
        <v>2.21</v>
      </c>
      <c r="K39" s="0" t="s">
        <v>12</v>
      </c>
      <c r="L39" s="0" t="n">
        <f aca="false">IF(OR(F39="AN",F39="BN",F39="D"),1,0)</f>
        <v>1</v>
      </c>
    </row>
    <row r="40" customFormat="false" ht="14.35" hidden="false" customHeight="false" outlineLevel="0" collapsed="false">
      <c r="A40" s="1" t="n">
        <v>1960</v>
      </c>
      <c r="B40" s="0" t="n">
        <v>7.72</v>
      </c>
      <c r="C40" s="0" t="n">
        <v>4.65</v>
      </c>
      <c r="D40" s="0" t="n">
        <v>13.06</v>
      </c>
      <c r="E40" s="0" t="n">
        <v>6.2</v>
      </c>
      <c r="F40" s="0" t="s">
        <v>12</v>
      </c>
      <c r="G40" s="0" t="n">
        <v>0.85</v>
      </c>
      <c r="H40" s="0" t="n">
        <v>2.07</v>
      </c>
      <c r="I40" s="0" t="n">
        <v>2.96</v>
      </c>
      <c r="J40" s="0" t="n">
        <v>1.85</v>
      </c>
      <c r="K40" s="0" t="s">
        <v>11</v>
      </c>
      <c r="L40" s="0" t="n">
        <f aca="false">IF(OR(F40="AN",F40="BN",F40="D"),1,0)</f>
        <v>1</v>
      </c>
    </row>
    <row r="41" customFormat="false" ht="14.35" hidden="false" customHeight="false" outlineLevel="0" collapsed="false">
      <c r="A41" s="1" t="n">
        <v>1961</v>
      </c>
      <c r="B41" s="0" t="n">
        <v>6.87</v>
      </c>
      <c r="C41" s="0" t="n">
        <v>4.39</v>
      </c>
      <c r="D41" s="0" t="n">
        <v>11.97</v>
      </c>
      <c r="E41" s="0" t="n">
        <v>5.68</v>
      </c>
      <c r="F41" s="0" t="s">
        <v>12</v>
      </c>
      <c r="G41" s="0" t="n">
        <v>0.54</v>
      </c>
      <c r="H41" s="0" t="n">
        <v>1.5</v>
      </c>
      <c r="I41" s="0" t="n">
        <v>2.1</v>
      </c>
      <c r="J41" s="0" t="n">
        <v>1.38</v>
      </c>
      <c r="K41" s="0" t="s">
        <v>11</v>
      </c>
      <c r="L41" s="0" t="n">
        <f aca="false">IF(OR(F41="AN",F41="BN",F41="D"),1,0)</f>
        <v>1</v>
      </c>
    </row>
    <row r="42" customFormat="false" ht="14.35" hidden="false" customHeight="false" outlineLevel="0" collapsed="false">
      <c r="A42" s="1" t="n">
        <v>1962</v>
      </c>
      <c r="B42" s="0" t="n">
        <v>8.17</v>
      </c>
      <c r="C42" s="0" t="n">
        <v>6.23</v>
      </c>
      <c r="D42" s="0" t="n">
        <v>15.11</v>
      </c>
      <c r="E42" s="0" t="n">
        <v>6.65</v>
      </c>
      <c r="F42" s="0" t="s">
        <v>10</v>
      </c>
      <c r="G42" s="0" t="n">
        <v>1.26</v>
      </c>
      <c r="H42" s="0" t="n">
        <v>4.24</v>
      </c>
      <c r="I42" s="0" t="n">
        <v>5.61</v>
      </c>
      <c r="J42" s="0" t="n">
        <v>3.07</v>
      </c>
      <c r="K42" s="0" t="s">
        <v>10</v>
      </c>
      <c r="L42" s="0" t="n">
        <f aca="false">IF(OR(F42="AN",F42="BN",F42="D"),1,0)</f>
        <v>1</v>
      </c>
    </row>
    <row r="43" customFormat="false" ht="14.35" hidden="false" customHeight="false" outlineLevel="0" collapsed="false">
      <c r="A43" s="1" t="n">
        <v>1963</v>
      </c>
      <c r="B43" s="0" t="n">
        <v>12.01</v>
      </c>
      <c r="C43" s="0" t="n">
        <v>10.09</v>
      </c>
      <c r="D43" s="0" t="n">
        <v>22.99</v>
      </c>
      <c r="E43" s="0" t="n">
        <v>9.63</v>
      </c>
      <c r="F43" s="0" t="s">
        <v>9</v>
      </c>
      <c r="G43" s="0" t="n">
        <v>1.68</v>
      </c>
      <c r="H43" s="0" t="n">
        <v>4.37</v>
      </c>
      <c r="I43" s="0" t="n">
        <v>6.24</v>
      </c>
      <c r="J43" s="0" t="n">
        <v>3.57</v>
      </c>
      <c r="K43" s="0" t="s">
        <v>8</v>
      </c>
      <c r="L43" s="0" t="n">
        <f aca="false">IF(OR(F43="AN",F43="BN",F43="D"),1,0)</f>
        <v>0</v>
      </c>
    </row>
    <row r="44" customFormat="false" ht="14.35" hidden="false" customHeight="false" outlineLevel="0" collapsed="false">
      <c r="A44" s="1" t="n">
        <v>1964</v>
      </c>
      <c r="B44" s="0" t="n">
        <v>5.9</v>
      </c>
      <c r="C44" s="0" t="n">
        <v>4.37</v>
      </c>
      <c r="D44" s="0" t="n">
        <v>10.92</v>
      </c>
      <c r="E44" s="0" t="n">
        <v>6.41</v>
      </c>
      <c r="F44" s="0" t="s">
        <v>12</v>
      </c>
      <c r="G44" s="0" t="n">
        <v>0.93</v>
      </c>
      <c r="H44" s="0" t="n">
        <v>2.14</v>
      </c>
      <c r="I44" s="0" t="n">
        <v>3.14</v>
      </c>
      <c r="J44" s="0" t="n">
        <v>2.19</v>
      </c>
      <c r="K44" s="0" t="s">
        <v>12</v>
      </c>
      <c r="L44" s="0" t="n">
        <f aca="false">IF(OR(F44="AN",F44="BN",F44="D"),1,0)</f>
        <v>1</v>
      </c>
    </row>
    <row r="45" customFormat="false" ht="14.35" hidden="false" customHeight="false" outlineLevel="0" collapsed="false">
      <c r="A45" s="1" t="n">
        <v>1965</v>
      </c>
      <c r="B45" s="0" t="n">
        <v>16.59</v>
      </c>
      <c r="C45" s="0" t="n">
        <v>8.13</v>
      </c>
      <c r="D45" s="0" t="n">
        <v>25.64</v>
      </c>
      <c r="E45" s="0" t="n">
        <v>10.15</v>
      </c>
      <c r="F45" s="0" t="s">
        <v>9</v>
      </c>
      <c r="G45" s="0" t="n">
        <v>3.2</v>
      </c>
      <c r="H45" s="0" t="n">
        <v>4.55</v>
      </c>
      <c r="I45" s="0" t="n">
        <v>8.13</v>
      </c>
      <c r="J45" s="0" t="n">
        <v>3.81</v>
      </c>
      <c r="K45" s="0" t="s">
        <v>9</v>
      </c>
      <c r="L45" s="0" t="n">
        <f aca="false">IF(OR(F45="AN",F45="BN",F45="D"),1,0)</f>
        <v>0</v>
      </c>
    </row>
    <row r="46" customFormat="false" ht="14.35" hidden="false" customHeight="false" outlineLevel="0" collapsed="false">
      <c r="A46" s="1" t="n">
        <v>1966</v>
      </c>
      <c r="B46" s="0" t="n">
        <v>7.42</v>
      </c>
      <c r="C46" s="0" t="n">
        <v>4.84</v>
      </c>
      <c r="D46" s="0" t="n">
        <v>12.95</v>
      </c>
      <c r="E46" s="0" t="n">
        <v>7.16</v>
      </c>
      <c r="F46" s="0" t="s">
        <v>10</v>
      </c>
      <c r="G46" s="0" t="n">
        <v>1.49</v>
      </c>
      <c r="H46" s="0" t="n">
        <v>2.42</v>
      </c>
      <c r="I46" s="0" t="n">
        <v>3.98</v>
      </c>
      <c r="J46" s="0" t="n">
        <v>2.51</v>
      </c>
      <c r="K46" s="0" t="s">
        <v>10</v>
      </c>
      <c r="L46" s="0" t="n">
        <f aca="false">IF(OR(F46="AN",F46="BN",F46="D"),1,0)</f>
        <v>1</v>
      </c>
    </row>
    <row r="47" customFormat="false" ht="14.35" hidden="false" customHeight="false" outlineLevel="0" collapsed="false">
      <c r="A47" s="1" t="n">
        <v>1967</v>
      </c>
      <c r="B47" s="0" t="n">
        <v>12.14</v>
      </c>
      <c r="C47" s="0" t="n">
        <v>11.01</v>
      </c>
      <c r="D47" s="0" t="n">
        <v>24.06</v>
      </c>
      <c r="E47" s="0" t="n">
        <v>10.2</v>
      </c>
      <c r="F47" s="0" t="s">
        <v>9</v>
      </c>
      <c r="G47" s="0" t="n">
        <v>2.46</v>
      </c>
      <c r="H47" s="0" t="n">
        <v>7.09</v>
      </c>
      <c r="I47" s="0" t="n">
        <v>9.98</v>
      </c>
      <c r="J47" s="0" t="n">
        <v>5.25</v>
      </c>
      <c r="K47" s="0" t="s">
        <v>9</v>
      </c>
      <c r="L47" s="0" t="n">
        <f aca="false">IF(OR(F47="AN",F47="BN",F47="D"),1,0)</f>
        <v>0</v>
      </c>
    </row>
    <row r="48" customFormat="false" ht="14.35" hidden="false" customHeight="false" outlineLevel="0" collapsed="false">
      <c r="A48" s="1" t="n">
        <v>1968</v>
      </c>
      <c r="B48" s="0" t="n">
        <v>8.66</v>
      </c>
      <c r="C48" s="0" t="n">
        <v>4.12</v>
      </c>
      <c r="D48" s="0" t="n">
        <v>13.64</v>
      </c>
      <c r="E48" s="0" t="n">
        <v>7.24</v>
      </c>
      <c r="F48" s="0" t="s">
        <v>10</v>
      </c>
      <c r="G48" s="0" t="n">
        <v>1.02</v>
      </c>
      <c r="H48" s="0" t="n">
        <v>1.85</v>
      </c>
      <c r="I48" s="0" t="n">
        <v>2.94</v>
      </c>
      <c r="J48" s="0" t="n">
        <v>2.21</v>
      </c>
      <c r="K48" s="0" t="s">
        <v>12</v>
      </c>
      <c r="L48" s="0" t="n">
        <f aca="false">IF(OR(F48="AN",F48="BN",F48="D"),1,0)</f>
        <v>1</v>
      </c>
    </row>
    <row r="49" customFormat="false" ht="14.35" hidden="false" customHeight="false" outlineLevel="0" collapsed="false">
      <c r="A49" s="1" t="n">
        <v>1969</v>
      </c>
      <c r="B49" s="0" t="n">
        <v>15.33</v>
      </c>
      <c r="C49" s="0" t="n">
        <v>10.68</v>
      </c>
      <c r="D49" s="0" t="n">
        <v>26.98</v>
      </c>
      <c r="E49" s="0" t="n">
        <v>11.05</v>
      </c>
      <c r="F49" s="0" t="s">
        <v>9</v>
      </c>
      <c r="G49" s="0" t="n">
        <v>3.84</v>
      </c>
      <c r="H49" s="0" t="n">
        <v>8.14</v>
      </c>
      <c r="I49" s="0" t="n">
        <v>12.29</v>
      </c>
      <c r="J49" s="0" t="n">
        <v>6.09</v>
      </c>
      <c r="K49" s="0" t="s">
        <v>9</v>
      </c>
      <c r="L49" s="0" t="n">
        <f aca="false">IF(OR(F49="AN",F49="BN",F49="D"),1,0)</f>
        <v>0</v>
      </c>
    </row>
    <row r="50" customFormat="false" ht="14.35" hidden="false" customHeight="false" outlineLevel="0" collapsed="false">
      <c r="A50" s="1" t="n">
        <v>1970</v>
      </c>
      <c r="B50" s="0" t="n">
        <v>18.87</v>
      </c>
      <c r="C50" s="0" t="n">
        <v>4.35</v>
      </c>
      <c r="D50" s="0" t="n">
        <v>24.06</v>
      </c>
      <c r="E50" s="0" t="n">
        <v>10.4</v>
      </c>
      <c r="F50" s="0" t="s">
        <v>9</v>
      </c>
      <c r="G50" s="0" t="n">
        <v>2.55</v>
      </c>
      <c r="H50" s="0" t="n">
        <v>2.96</v>
      </c>
      <c r="I50" s="0" t="n">
        <v>5.61</v>
      </c>
      <c r="J50" s="0" t="n">
        <v>3.18</v>
      </c>
      <c r="K50" s="0" t="s">
        <v>8</v>
      </c>
      <c r="L50" s="0" t="n">
        <f aca="false">IF(OR(F50="AN",F50="BN",F50="D"),1,0)</f>
        <v>0</v>
      </c>
    </row>
    <row r="51" customFormat="false" ht="14.35" hidden="false" customHeight="false" outlineLevel="0" collapsed="false">
      <c r="A51" s="1" t="n">
        <v>1971</v>
      </c>
      <c r="B51" s="0" t="n">
        <v>12.71</v>
      </c>
      <c r="C51" s="0" t="n">
        <v>8.9</v>
      </c>
      <c r="D51" s="0" t="n">
        <v>22.57</v>
      </c>
      <c r="E51" s="0" t="n">
        <v>10.37</v>
      </c>
      <c r="F51" s="0" t="s">
        <v>9</v>
      </c>
      <c r="G51" s="0" t="n">
        <v>1.56</v>
      </c>
      <c r="H51" s="0" t="n">
        <v>3.23</v>
      </c>
      <c r="I51" s="0" t="n">
        <v>4.91</v>
      </c>
      <c r="J51" s="0" t="n">
        <v>2.89</v>
      </c>
      <c r="K51" s="0" t="s">
        <v>10</v>
      </c>
      <c r="L51" s="0" t="n">
        <f aca="false">IF(OR(F51="AN",F51="BN",F51="D"),1,0)</f>
        <v>0</v>
      </c>
    </row>
    <row r="52" customFormat="false" ht="14.35" hidden="false" customHeight="false" outlineLevel="0" collapsed="false">
      <c r="A52" s="1" t="n">
        <v>1972</v>
      </c>
      <c r="B52" s="0" t="n">
        <v>7.61</v>
      </c>
      <c r="C52" s="0" t="n">
        <v>5.02</v>
      </c>
      <c r="D52" s="0" t="n">
        <v>13.43</v>
      </c>
      <c r="E52" s="0" t="n">
        <v>7.29</v>
      </c>
      <c r="F52" s="0" t="s">
        <v>10</v>
      </c>
      <c r="G52" s="0" t="n">
        <v>1.25</v>
      </c>
      <c r="H52" s="0" t="n">
        <v>2.22</v>
      </c>
      <c r="I52" s="0" t="n">
        <v>3.57</v>
      </c>
      <c r="J52" s="0" t="n">
        <v>2.16</v>
      </c>
      <c r="K52" s="0" t="s">
        <v>12</v>
      </c>
      <c r="L52" s="0" t="n">
        <f aca="false">IF(OR(F52="AN",F52="BN",F52="D"),1,0)</f>
        <v>1</v>
      </c>
    </row>
    <row r="53" customFormat="false" ht="14.35" hidden="false" customHeight="false" outlineLevel="0" collapsed="false">
      <c r="A53" s="1" t="n">
        <v>1973</v>
      </c>
      <c r="B53" s="0" t="n">
        <v>12.8</v>
      </c>
      <c r="C53" s="0" t="n">
        <v>6.38</v>
      </c>
      <c r="D53" s="0" t="n">
        <v>20.05</v>
      </c>
      <c r="E53" s="0" t="n">
        <v>8.58</v>
      </c>
      <c r="F53" s="0" t="s">
        <v>8</v>
      </c>
      <c r="G53" s="0" t="n">
        <v>1.87</v>
      </c>
      <c r="H53" s="0" t="n">
        <v>4.48</v>
      </c>
      <c r="I53" s="0" t="n">
        <v>6.47</v>
      </c>
      <c r="J53" s="0" t="n">
        <v>3.5</v>
      </c>
      <c r="K53" s="0" t="s">
        <v>8</v>
      </c>
      <c r="L53" s="0" t="n">
        <f aca="false">IF(OR(F53="AN",F53="BN",F53="D"),1,0)</f>
        <v>1</v>
      </c>
    </row>
    <row r="54" customFormat="false" ht="14.35" hidden="false" customHeight="false" outlineLevel="0" collapsed="false">
      <c r="A54" s="1" t="n">
        <v>1974</v>
      </c>
      <c r="B54" s="0" t="n">
        <v>21.69</v>
      </c>
      <c r="C54" s="0" t="n">
        <v>9.78</v>
      </c>
      <c r="D54" s="0" t="n">
        <v>32.5</v>
      </c>
      <c r="E54" s="0" t="n">
        <v>12.99</v>
      </c>
      <c r="F54" s="0" t="s">
        <v>9</v>
      </c>
      <c r="G54" s="0" t="n">
        <v>2.43</v>
      </c>
      <c r="H54" s="0" t="n">
        <v>4.53</v>
      </c>
      <c r="I54" s="0" t="n">
        <v>7.12</v>
      </c>
      <c r="J54" s="0" t="n">
        <v>3.9</v>
      </c>
      <c r="K54" s="0" t="s">
        <v>9</v>
      </c>
      <c r="L54" s="0" t="n">
        <f aca="false">IF(OR(F54="AN",F54="BN",F54="D"),1,0)</f>
        <v>0</v>
      </c>
    </row>
    <row r="55" customFormat="false" ht="14.35" hidden="false" customHeight="false" outlineLevel="0" collapsed="false">
      <c r="A55" s="1" t="n">
        <v>1975</v>
      </c>
      <c r="B55" s="0" t="n">
        <v>9.24</v>
      </c>
      <c r="C55" s="0" t="n">
        <v>8.95</v>
      </c>
      <c r="D55" s="0" t="n">
        <v>19.23</v>
      </c>
      <c r="E55" s="0" t="n">
        <v>9.35</v>
      </c>
      <c r="F55" s="0" t="s">
        <v>9</v>
      </c>
      <c r="G55" s="0" t="n">
        <v>1.37</v>
      </c>
      <c r="H55" s="0" t="n">
        <v>4.65</v>
      </c>
      <c r="I55" s="0" t="n">
        <v>6.18</v>
      </c>
      <c r="J55" s="0" t="n">
        <v>3.85</v>
      </c>
      <c r="K55" s="0" t="s">
        <v>9</v>
      </c>
      <c r="L55" s="0" t="n">
        <f aca="false">IF(OR(F55="AN",F55="BN",F55="D"),1,0)</f>
        <v>0</v>
      </c>
    </row>
    <row r="56" customFormat="false" ht="14.35" hidden="false" customHeight="false" outlineLevel="0" collapsed="false">
      <c r="A56" s="1" t="n">
        <v>1976</v>
      </c>
      <c r="B56" s="0" t="n">
        <v>4.63</v>
      </c>
      <c r="C56" s="0" t="n">
        <v>2.75</v>
      </c>
      <c r="D56" s="0" t="n">
        <v>8.2</v>
      </c>
      <c r="E56" s="0" t="n">
        <v>5.29</v>
      </c>
      <c r="F56" s="0" t="s">
        <v>11</v>
      </c>
      <c r="G56" s="0" t="n">
        <v>0.78</v>
      </c>
      <c r="H56" s="0" t="n">
        <v>1.07</v>
      </c>
      <c r="I56" s="0" t="n">
        <v>1.97</v>
      </c>
      <c r="J56" s="0" t="n">
        <v>1.57</v>
      </c>
      <c r="K56" s="0" t="s">
        <v>11</v>
      </c>
      <c r="L56" s="0" t="n">
        <f aca="false">IF(OR(F56="AN",F56="BN",F56="D"),1,0)</f>
        <v>0</v>
      </c>
    </row>
    <row r="57" customFormat="false" ht="14.35" hidden="false" customHeight="false" outlineLevel="0" collapsed="false">
      <c r="A57" s="1" t="n">
        <v>1977</v>
      </c>
      <c r="B57" s="0" t="n">
        <v>2.49</v>
      </c>
      <c r="C57" s="0" t="n">
        <v>1.93</v>
      </c>
      <c r="D57" s="0" t="n">
        <v>5.12</v>
      </c>
      <c r="E57" s="0" t="n">
        <v>3.11</v>
      </c>
      <c r="F57" s="0" t="s">
        <v>11</v>
      </c>
      <c r="G57" s="0" t="n">
        <v>0.22</v>
      </c>
      <c r="H57" s="0" t="n">
        <v>0.8</v>
      </c>
      <c r="I57" s="0" t="n">
        <v>1.05</v>
      </c>
      <c r="J57" s="0" t="n">
        <v>0.84</v>
      </c>
      <c r="K57" s="0" t="s">
        <v>11</v>
      </c>
      <c r="L57" s="0" t="n">
        <f aca="false">IF(OR(F57="AN",F57="BN",F57="D"),1,0)</f>
        <v>0</v>
      </c>
    </row>
    <row r="58" customFormat="false" ht="14.35" hidden="false" customHeight="false" outlineLevel="0" collapsed="false">
      <c r="A58" s="1" t="n">
        <v>1978</v>
      </c>
      <c r="B58" s="0" t="n">
        <v>14.9</v>
      </c>
      <c r="C58" s="0" t="n">
        <v>8.12</v>
      </c>
      <c r="D58" s="0" t="n">
        <v>23.92</v>
      </c>
      <c r="E58" s="0" t="n">
        <v>8.65</v>
      </c>
      <c r="F58" s="0" t="s">
        <v>8</v>
      </c>
      <c r="G58" s="0" t="n">
        <v>2.57</v>
      </c>
      <c r="H58" s="0" t="n">
        <v>6.5</v>
      </c>
      <c r="I58" s="0" t="n">
        <v>9.65</v>
      </c>
      <c r="J58" s="0" t="n">
        <v>4.58</v>
      </c>
      <c r="K58" s="0" t="s">
        <v>9</v>
      </c>
      <c r="L58" s="0" t="n">
        <f aca="false">IF(OR(F58="AN",F58="BN",F58="D"),1,0)</f>
        <v>1</v>
      </c>
    </row>
    <row r="59" customFormat="false" ht="14.35" hidden="false" customHeight="false" outlineLevel="0" collapsed="false">
      <c r="A59" s="1" t="n">
        <v>1979</v>
      </c>
      <c r="B59" s="0" t="n">
        <v>6.06</v>
      </c>
      <c r="C59" s="0" t="n">
        <v>5.64</v>
      </c>
      <c r="D59" s="0" t="n">
        <v>12.41</v>
      </c>
      <c r="E59" s="0" t="n">
        <v>6.67</v>
      </c>
      <c r="F59" s="0" t="s">
        <v>10</v>
      </c>
      <c r="G59" s="0" t="n">
        <v>1.87</v>
      </c>
      <c r="H59" s="0" t="n">
        <v>3.99</v>
      </c>
      <c r="I59" s="0" t="n">
        <v>5.98</v>
      </c>
      <c r="J59" s="0" t="n">
        <v>3.67</v>
      </c>
      <c r="K59" s="0" t="s">
        <v>8</v>
      </c>
      <c r="L59" s="0" t="n">
        <f aca="false">IF(OR(F59="AN",F59="BN",F59="D"),1,0)</f>
        <v>1</v>
      </c>
    </row>
    <row r="60" customFormat="false" ht="14.35" hidden="false" customHeight="false" outlineLevel="0" collapsed="false">
      <c r="A60" s="1" t="n">
        <v>1980</v>
      </c>
      <c r="B60" s="0" t="n">
        <v>15.49</v>
      </c>
      <c r="C60" s="0" t="n">
        <v>6</v>
      </c>
      <c r="D60" s="0" t="n">
        <v>22.33</v>
      </c>
      <c r="E60" s="0" t="n">
        <v>9.04</v>
      </c>
      <c r="F60" s="0" t="s">
        <v>8</v>
      </c>
      <c r="G60" s="0" t="n">
        <v>3.74</v>
      </c>
      <c r="H60" s="0" t="n">
        <v>5.41</v>
      </c>
      <c r="I60" s="0" t="n">
        <v>9.47</v>
      </c>
      <c r="J60" s="0" t="n">
        <v>4.73</v>
      </c>
      <c r="K60" s="0" t="s">
        <v>9</v>
      </c>
      <c r="L60" s="0" t="n">
        <f aca="false">IF(OR(F60="AN",F60="BN",F60="D"),1,0)</f>
        <v>1</v>
      </c>
    </row>
    <row r="61" customFormat="false" ht="14.35" hidden="false" customHeight="false" outlineLevel="0" collapsed="false">
      <c r="A61" s="1" t="n">
        <v>1981</v>
      </c>
      <c r="B61" s="0" t="n">
        <v>6.81</v>
      </c>
      <c r="C61" s="0" t="n">
        <v>3.63</v>
      </c>
      <c r="D61" s="0" t="n">
        <v>11.1</v>
      </c>
      <c r="E61" s="0" t="n">
        <v>6.21</v>
      </c>
      <c r="F61" s="0" t="s">
        <v>12</v>
      </c>
      <c r="G61" s="0" t="n">
        <v>0.85</v>
      </c>
      <c r="H61" s="0" t="n">
        <v>2.29</v>
      </c>
      <c r="I61" s="0" t="n">
        <v>3.22</v>
      </c>
      <c r="J61" s="0" t="n">
        <v>2.44</v>
      </c>
      <c r="K61" s="0" t="s">
        <v>12</v>
      </c>
      <c r="L61" s="0" t="n">
        <f aca="false">IF(OR(F61="AN",F61="BN",F61="D"),1,0)</f>
        <v>1</v>
      </c>
    </row>
    <row r="62" customFormat="false" ht="14.35" hidden="false" customHeight="false" outlineLevel="0" collapsed="false">
      <c r="A62" s="1" t="n">
        <v>1982</v>
      </c>
      <c r="B62" s="0" t="n">
        <v>20.56</v>
      </c>
      <c r="C62" s="0" t="n">
        <v>11.82</v>
      </c>
      <c r="D62" s="0" t="n">
        <v>33.41</v>
      </c>
      <c r="E62" s="0" t="n">
        <v>12.76</v>
      </c>
      <c r="F62" s="0" t="s">
        <v>9</v>
      </c>
      <c r="G62" s="0" t="n">
        <v>3.78</v>
      </c>
      <c r="H62" s="0" t="n">
        <v>7</v>
      </c>
      <c r="I62" s="0" t="n">
        <v>11.41</v>
      </c>
      <c r="J62" s="0" t="n">
        <v>5.45</v>
      </c>
      <c r="K62" s="0" t="s">
        <v>9</v>
      </c>
      <c r="L62" s="0" t="n">
        <f aca="false">IF(OR(F62="AN",F62="BN",F62="D"),1,0)</f>
        <v>0</v>
      </c>
    </row>
    <row r="63" customFormat="false" ht="14.35" hidden="false" customHeight="false" outlineLevel="0" collapsed="false">
      <c r="A63" s="1" t="n">
        <v>1983</v>
      </c>
      <c r="B63" s="0" t="n">
        <v>22.75</v>
      </c>
      <c r="C63" s="0" t="n">
        <v>13.66</v>
      </c>
      <c r="D63" s="0" t="n">
        <v>37.68</v>
      </c>
      <c r="E63" s="0" t="n">
        <v>15.29</v>
      </c>
      <c r="F63" s="0" t="s">
        <v>9</v>
      </c>
      <c r="G63" s="0" t="n">
        <v>5.42</v>
      </c>
      <c r="H63" s="0" t="n">
        <v>8.73</v>
      </c>
      <c r="I63" s="0" t="n">
        <v>15.01</v>
      </c>
      <c r="J63" s="0" t="n">
        <v>7.22</v>
      </c>
      <c r="K63" s="0" t="s">
        <v>9</v>
      </c>
      <c r="L63" s="0" t="n">
        <f aca="false">IF(OR(F63="AN",F63="BN",F63="D"),1,0)</f>
        <v>0</v>
      </c>
    </row>
    <row r="64" customFormat="false" ht="14.35" hidden="false" customHeight="false" outlineLevel="0" collapsed="false">
      <c r="A64" s="1" t="n">
        <v>1984</v>
      </c>
      <c r="B64" s="0" t="n">
        <v>15.98</v>
      </c>
      <c r="C64" s="0" t="n">
        <v>5.52</v>
      </c>
      <c r="D64" s="0" t="n">
        <v>22.35</v>
      </c>
      <c r="E64" s="0" t="n">
        <v>10</v>
      </c>
      <c r="F64" s="0" t="s">
        <v>9</v>
      </c>
      <c r="G64" s="0" t="n">
        <v>3.51</v>
      </c>
      <c r="H64" s="0" t="n">
        <v>3.48</v>
      </c>
      <c r="I64" s="0" t="n">
        <v>7.13</v>
      </c>
      <c r="J64" s="0" t="n">
        <v>3.69</v>
      </c>
      <c r="K64" s="0" t="s">
        <v>8</v>
      </c>
      <c r="L64" s="0" t="n">
        <f aca="false">IF(OR(F64="AN",F64="BN",F64="D"),1,0)</f>
        <v>0</v>
      </c>
    </row>
    <row r="65" customFormat="false" ht="14.35" hidden="false" customHeight="false" outlineLevel="0" collapsed="false">
      <c r="A65" s="1" t="n">
        <v>1985</v>
      </c>
      <c r="B65" s="0" t="n">
        <v>6.24</v>
      </c>
      <c r="C65" s="0" t="n">
        <v>4</v>
      </c>
      <c r="D65" s="0" t="n">
        <v>11.04</v>
      </c>
      <c r="E65" s="0" t="n">
        <v>6.47</v>
      </c>
      <c r="F65" s="0" t="s">
        <v>12</v>
      </c>
      <c r="G65" s="0" t="n">
        <v>1.11</v>
      </c>
      <c r="H65" s="0" t="n">
        <v>2.41</v>
      </c>
      <c r="I65" s="0" t="n">
        <v>3.6</v>
      </c>
      <c r="J65" s="0" t="n">
        <v>2.4</v>
      </c>
      <c r="K65" s="0" t="s">
        <v>12</v>
      </c>
      <c r="L65" s="0" t="n">
        <f aca="false">IF(OR(F65="AN",F65="BN",F65="D"),1,0)</f>
        <v>1</v>
      </c>
    </row>
    <row r="66" customFormat="false" ht="14.35" hidden="false" customHeight="false" outlineLevel="0" collapsed="false">
      <c r="A66" s="1" t="n">
        <v>1986</v>
      </c>
      <c r="B66" s="0" t="n">
        <v>19.45</v>
      </c>
      <c r="C66" s="0" t="n">
        <v>5.45</v>
      </c>
      <c r="D66" s="0" t="n">
        <v>25.83</v>
      </c>
      <c r="E66" s="0" t="n">
        <v>9.96</v>
      </c>
      <c r="F66" s="0" t="s">
        <v>9</v>
      </c>
      <c r="G66" s="0" t="n">
        <v>4.36</v>
      </c>
      <c r="H66" s="0" t="n">
        <v>4.92</v>
      </c>
      <c r="I66" s="0" t="n">
        <v>9.5</v>
      </c>
      <c r="J66" s="0" t="n">
        <v>4.31</v>
      </c>
      <c r="K66" s="0" t="s">
        <v>9</v>
      </c>
      <c r="L66" s="0" t="n">
        <f aca="false">IF(OR(F66="AN",F66="BN",F66="D"),1,0)</f>
        <v>0</v>
      </c>
    </row>
    <row r="67" customFormat="false" ht="14.35" hidden="false" customHeight="false" outlineLevel="0" collapsed="false">
      <c r="A67" s="1" t="n">
        <v>1987</v>
      </c>
      <c r="B67" s="0" t="n">
        <v>5.85</v>
      </c>
      <c r="C67" s="0" t="n">
        <v>2.8</v>
      </c>
      <c r="D67" s="0" t="n">
        <v>9.27</v>
      </c>
      <c r="E67" s="0" t="n">
        <v>5.86</v>
      </c>
      <c r="F67" s="0" t="s">
        <v>12</v>
      </c>
      <c r="G67" s="0" t="n">
        <v>0.55</v>
      </c>
      <c r="H67" s="0" t="n">
        <v>1.48</v>
      </c>
      <c r="I67" s="0" t="n">
        <v>2.08</v>
      </c>
      <c r="J67" s="0" t="n">
        <v>1.86</v>
      </c>
      <c r="K67" s="0" t="s">
        <v>11</v>
      </c>
      <c r="L67" s="0" t="n">
        <f aca="false">IF(OR(F67="AN",F67="BN",F67="D"),1,0)</f>
        <v>1</v>
      </c>
    </row>
    <row r="68" customFormat="false" ht="14.35" hidden="false" customHeight="false" outlineLevel="0" collapsed="false">
      <c r="A68" s="1" t="n">
        <v>1988</v>
      </c>
      <c r="B68" s="0" t="n">
        <v>5.78</v>
      </c>
      <c r="C68" s="0" t="n">
        <v>2.9</v>
      </c>
      <c r="D68" s="0" t="n">
        <v>9.23</v>
      </c>
      <c r="E68" s="0" t="n">
        <v>4.65</v>
      </c>
      <c r="F68" s="0" t="s">
        <v>11</v>
      </c>
      <c r="G68" s="0" t="n">
        <v>0.86</v>
      </c>
      <c r="H68" s="0" t="n">
        <v>1.55</v>
      </c>
      <c r="I68" s="0" t="n">
        <v>2.48</v>
      </c>
      <c r="J68" s="0" t="n">
        <v>1.48</v>
      </c>
      <c r="K68" s="0" t="s">
        <v>11</v>
      </c>
      <c r="L68" s="0" t="n">
        <f aca="false">IF(OR(F68="AN",F68="BN",F68="D"),1,0)</f>
        <v>0</v>
      </c>
    </row>
    <row r="69" customFormat="false" ht="14.35" hidden="false" customHeight="false" outlineLevel="0" collapsed="false">
      <c r="A69" s="1" t="n">
        <v>1989</v>
      </c>
      <c r="B69" s="0" t="n">
        <v>9.03</v>
      </c>
      <c r="C69" s="0" t="n">
        <v>5.07</v>
      </c>
      <c r="D69" s="0" t="n">
        <v>14.82</v>
      </c>
      <c r="E69" s="0" t="n">
        <v>6.13</v>
      </c>
      <c r="F69" s="0" t="s">
        <v>12</v>
      </c>
      <c r="G69" s="0" t="n">
        <v>1.07</v>
      </c>
      <c r="H69" s="0" t="n">
        <v>2.42</v>
      </c>
      <c r="I69" s="0" t="n">
        <v>3.56</v>
      </c>
      <c r="J69" s="0" t="n">
        <v>1.96</v>
      </c>
      <c r="K69" s="0" t="s">
        <v>11</v>
      </c>
      <c r="L69" s="0" t="n">
        <f aca="false">IF(OR(F69="AN",F69="BN",F69="D"),1,0)</f>
        <v>1</v>
      </c>
    </row>
    <row r="70" customFormat="false" ht="14.35" hidden="false" customHeight="false" outlineLevel="0" collapsed="false">
      <c r="A70" s="1" t="n">
        <v>1990</v>
      </c>
      <c r="B70" s="0" t="n">
        <v>4.94</v>
      </c>
      <c r="C70" s="0" t="n">
        <v>3.72</v>
      </c>
      <c r="D70" s="0" t="n">
        <v>9.26</v>
      </c>
      <c r="E70" s="0" t="n">
        <v>4.81</v>
      </c>
      <c r="F70" s="0" t="s">
        <v>11</v>
      </c>
      <c r="G70" s="0" t="n">
        <v>0.83</v>
      </c>
      <c r="H70" s="0" t="n">
        <v>1.59</v>
      </c>
      <c r="I70" s="0" t="n">
        <v>2.46</v>
      </c>
      <c r="J70" s="0" t="n">
        <v>1.51</v>
      </c>
      <c r="K70" s="0" t="s">
        <v>11</v>
      </c>
      <c r="L70" s="0" t="n">
        <f aca="false">IF(OR(F70="AN",F70="BN",F70="D"),1,0)</f>
        <v>0</v>
      </c>
    </row>
    <row r="71" customFormat="false" ht="14.35" hidden="false" customHeight="false" outlineLevel="0" collapsed="false">
      <c r="A71" s="1" t="n">
        <v>1991</v>
      </c>
      <c r="B71" s="0" t="n">
        <v>3.9</v>
      </c>
      <c r="C71" s="0" t="n">
        <v>4.01</v>
      </c>
      <c r="D71" s="0" t="n">
        <v>8.44</v>
      </c>
      <c r="E71" s="0" t="n">
        <v>4.21</v>
      </c>
      <c r="F71" s="0" t="s">
        <v>11</v>
      </c>
      <c r="G71" s="0" t="n">
        <v>0.56</v>
      </c>
      <c r="H71" s="0" t="n">
        <v>2.57</v>
      </c>
      <c r="I71" s="0" t="n">
        <v>3.2</v>
      </c>
      <c r="J71" s="0" t="n">
        <v>1.96</v>
      </c>
      <c r="K71" s="0" t="s">
        <v>11</v>
      </c>
      <c r="L71" s="0" t="n">
        <f aca="false">IF(OR(F71="AN",F71="BN",F71="D"),1,0)</f>
        <v>0</v>
      </c>
    </row>
    <row r="72" customFormat="false" ht="14.35" hidden="false" customHeight="false" outlineLevel="0" collapsed="false">
      <c r="A72" s="1" t="n">
        <v>1992</v>
      </c>
      <c r="B72" s="0" t="n">
        <v>5.41</v>
      </c>
      <c r="C72" s="0" t="n">
        <v>2.93</v>
      </c>
      <c r="D72" s="0" t="n">
        <v>8.87</v>
      </c>
      <c r="E72" s="0" t="n">
        <v>4.06</v>
      </c>
      <c r="F72" s="0" t="s">
        <v>11</v>
      </c>
      <c r="G72" s="0" t="n">
        <v>0.86</v>
      </c>
      <c r="H72" s="0" t="n">
        <v>1.66</v>
      </c>
      <c r="I72" s="0" t="n">
        <v>2.58</v>
      </c>
      <c r="J72" s="0" t="n">
        <v>1.56</v>
      </c>
      <c r="K72" s="0" t="s">
        <v>11</v>
      </c>
      <c r="L72" s="0" t="n">
        <f aca="false">IF(OR(F72="AN",F72="BN",F72="D"),1,0)</f>
        <v>0</v>
      </c>
    </row>
    <row r="73" customFormat="false" ht="14.35" hidden="false" customHeight="false" outlineLevel="0" collapsed="false">
      <c r="A73" s="1" t="n">
        <v>1993</v>
      </c>
      <c r="B73" s="0" t="n">
        <v>12.44</v>
      </c>
      <c r="C73" s="0" t="n">
        <v>8.98</v>
      </c>
      <c r="D73" s="0" t="n">
        <v>22.21</v>
      </c>
      <c r="E73" s="0" t="n">
        <v>8.54</v>
      </c>
      <c r="F73" s="0" t="s">
        <v>8</v>
      </c>
      <c r="G73" s="0" t="n">
        <v>2.49</v>
      </c>
      <c r="H73" s="0" t="n">
        <v>5.65</v>
      </c>
      <c r="I73" s="0" t="n">
        <v>8.38</v>
      </c>
      <c r="J73" s="0" t="n">
        <v>4.2</v>
      </c>
      <c r="K73" s="0" t="s">
        <v>9</v>
      </c>
      <c r="L73" s="0" t="n">
        <f aca="false">IF(OR(F73="AN",F73="BN",F73="D"),1,0)</f>
        <v>1</v>
      </c>
    </row>
    <row r="74" customFormat="false" ht="14.35" hidden="false" customHeight="false" outlineLevel="0" collapsed="false">
      <c r="A74" s="1" t="n">
        <v>1994</v>
      </c>
      <c r="B74" s="0" t="n">
        <v>4.55</v>
      </c>
      <c r="C74" s="0" t="n">
        <v>2.73</v>
      </c>
      <c r="D74" s="0" t="n">
        <v>7.81</v>
      </c>
      <c r="E74" s="0" t="n">
        <v>5.02</v>
      </c>
      <c r="F74" s="0" t="s">
        <v>11</v>
      </c>
      <c r="G74" s="0" t="n">
        <v>0.66</v>
      </c>
      <c r="H74" s="0" t="n">
        <v>1.8</v>
      </c>
      <c r="I74" s="0" t="n">
        <v>2.54</v>
      </c>
      <c r="J74" s="0" t="n">
        <v>2.05</v>
      </c>
      <c r="K74" s="0" t="s">
        <v>11</v>
      </c>
      <c r="L74" s="0" t="n">
        <f aca="false">IF(OR(F74="AN",F74="BN",F74="D"),1,0)</f>
        <v>0</v>
      </c>
    </row>
    <row r="75" customFormat="false" ht="14.35" hidden="false" customHeight="false" outlineLevel="0" collapsed="false">
      <c r="A75" s="1" t="n">
        <v>1995</v>
      </c>
      <c r="B75" s="0" t="n">
        <v>19.83</v>
      </c>
      <c r="C75" s="0" t="n">
        <v>13.6</v>
      </c>
      <c r="D75" s="0" t="n">
        <v>34.55</v>
      </c>
      <c r="E75" s="0" t="n">
        <v>12.89</v>
      </c>
      <c r="F75" s="0" t="s">
        <v>9</v>
      </c>
      <c r="G75" s="0" t="n">
        <v>3.67</v>
      </c>
      <c r="H75" s="0" t="n">
        <v>8.01</v>
      </c>
      <c r="I75" s="0" t="n">
        <v>12.32</v>
      </c>
      <c r="J75" s="0" t="n">
        <v>5.95</v>
      </c>
      <c r="K75" s="0" t="s">
        <v>9</v>
      </c>
      <c r="L75" s="0" t="n">
        <f aca="false">IF(OR(F75="AN",F75="BN",F75="D"),1,0)</f>
        <v>0</v>
      </c>
    </row>
    <row r="76" customFormat="false" ht="14.35" hidden="false" customHeight="false" outlineLevel="0" collapsed="false">
      <c r="A76" s="1" t="n">
        <v>1996</v>
      </c>
      <c r="B76" s="0" t="n">
        <v>13.05</v>
      </c>
      <c r="C76" s="0" t="n">
        <v>8.37</v>
      </c>
      <c r="D76" s="0" t="n">
        <v>22.29</v>
      </c>
      <c r="E76" s="0" t="n">
        <v>10.26</v>
      </c>
      <c r="F76" s="0" t="s">
        <v>9</v>
      </c>
      <c r="G76" s="0" t="n">
        <v>2.57</v>
      </c>
      <c r="H76" s="0" t="n">
        <v>4.51</v>
      </c>
      <c r="I76" s="0" t="n">
        <v>7.22</v>
      </c>
      <c r="J76" s="0" t="n">
        <v>4.12</v>
      </c>
      <c r="K76" s="0" t="s">
        <v>9</v>
      </c>
      <c r="L76" s="0" t="n">
        <f aca="false">IF(OR(F76="AN",F76="BN",F76="D"),1,0)</f>
        <v>0</v>
      </c>
    </row>
    <row r="77" customFormat="false" ht="14.35" hidden="false" customHeight="false" outlineLevel="0" collapsed="false">
      <c r="A77" s="1" t="n">
        <v>1997</v>
      </c>
      <c r="B77" s="0" t="n">
        <v>20.22</v>
      </c>
      <c r="C77" s="0" t="n">
        <v>4.39</v>
      </c>
      <c r="D77" s="0" t="n">
        <v>25.42</v>
      </c>
      <c r="E77" s="0" t="n">
        <v>10.82</v>
      </c>
      <c r="F77" s="0" t="s">
        <v>9</v>
      </c>
      <c r="G77" s="0" t="n">
        <v>5.75</v>
      </c>
      <c r="H77" s="0" t="n">
        <v>3.59</v>
      </c>
      <c r="I77" s="0" t="n">
        <v>9.51</v>
      </c>
      <c r="J77" s="0" t="n">
        <v>4.13</v>
      </c>
      <c r="K77" s="0" t="s">
        <v>9</v>
      </c>
      <c r="L77" s="0" t="n">
        <f aca="false">IF(OR(F77="AN",F77="BN",F77="D"),1,0)</f>
        <v>0</v>
      </c>
    </row>
    <row r="78" customFormat="false" ht="14.35" hidden="false" customHeight="false" outlineLevel="0" collapsed="false">
      <c r="A78" s="1" t="n">
        <v>1998</v>
      </c>
      <c r="B78" s="0" t="n">
        <v>17.65</v>
      </c>
      <c r="C78" s="0" t="n">
        <v>12.54</v>
      </c>
      <c r="D78" s="0" t="n">
        <v>31.4</v>
      </c>
      <c r="E78" s="0" t="n">
        <v>13.31</v>
      </c>
      <c r="F78" s="0" t="s">
        <v>9</v>
      </c>
      <c r="G78" s="0" t="n">
        <v>2.82</v>
      </c>
      <c r="H78" s="0" t="n">
        <v>7.11</v>
      </c>
      <c r="I78" s="0" t="n">
        <v>10.43</v>
      </c>
      <c r="J78" s="0" t="n">
        <v>5.65</v>
      </c>
      <c r="K78" s="0" t="s">
        <v>9</v>
      </c>
      <c r="L78" s="0" t="n">
        <f aca="false">IF(OR(F78="AN",F78="BN",F78="D"),1,0)</f>
        <v>0</v>
      </c>
    </row>
    <row r="79" customFormat="false" ht="14.35" hidden="false" customHeight="false" outlineLevel="0" collapsed="false">
      <c r="A79" s="1" t="n">
        <v>1999</v>
      </c>
      <c r="B79" s="0" t="n">
        <v>12.97</v>
      </c>
      <c r="C79" s="0" t="n">
        <v>7.26</v>
      </c>
      <c r="D79" s="0" t="n">
        <v>21.19</v>
      </c>
      <c r="E79" s="0" t="n">
        <v>9.8</v>
      </c>
      <c r="F79" s="0" t="s">
        <v>9</v>
      </c>
      <c r="G79" s="0" t="n">
        <v>1.9</v>
      </c>
      <c r="H79" s="0" t="n">
        <v>3.85</v>
      </c>
      <c r="I79" s="0" t="n">
        <v>5.91</v>
      </c>
      <c r="J79" s="0" t="n">
        <v>3.59</v>
      </c>
      <c r="K79" s="0" t="s">
        <v>8</v>
      </c>
      <c r="L79" s="0" t="n">
        <f aca="false">IF(OR(F79="AN",F79="BN",F79="D"),1,0)</f>
        <v>0</v>
      </c>
    </row>
    <row r="80" customFormat="false" ht="14.35" hidden="false" customHeight="false" outlineLevel="0" collapsed="false">
      <c r="A80" s="1" t="n">
        <v>2000</v>
      </c>
      <c r="B80" s="0" t="n">
        <v>12.06</v>
      </c>
      <c r="C80" s="0" t="n">
        <v>5.96</v>
      </c>
      <c r="D80" s="0" t="n">
        <v>18.9</v>
      </c>
      <c r="E80" s="0" t="n">
        <v>8.94</v>
      </c>
      <c r="F80" s="0" t="s">
        <v>8</v>
      </c>
      <c r="G80" s="0" t="n">
        <v>1.98</v>
      </c>
      <c r="H80" s="0" t="n">
        <v>3.78</v>
      </c>
      <c r="I80" s="0" t="n">
        <v>5.9</v>
      </c>
      <c r="J80" s="0" t="n">
        <v>3.38</v>
      </c>
      <c r="K80" s="0" t="s">
        <v>8</v>
      </c>
      <c r="L80" s="0" t="n">
        <f aca="false">IF(OR(F80="AN",F80="BN",F80="D"),1,0)</f>
        <v>1</v>
      </c>
    </row>
    <row r="81" customFormat="false" ht="14.35" hidden="false" customHeight="false" outlineLevel="0" collapsed="false">
      <c r="A81" s="1" t="n">
        <v>2001</v>
      </c>
      <c r="B81" s="0" t="n">
        <v>5.64</v>
      </c>
      <c r="C81" s="0" t="n">
        <v>3.46</v>
      </c>
      <c r="D81" s="0" t="n">
        <v>9.81</v>
      </c>
      <c r="E81" s="0" t="n">
        <v>5.76</v>
      </c>
      <c r="F81" s="0" t="s">
        <v>12</v>
      </c>
      <c r="G81" s="0" t="n">
        <v>0.92</v>
      </c>
      <c r="H81" s="0" t="n">
        <v>2.23</v>
      </c>
      <c r="I81" s="0" t="n">
        <v>3.18</v>
      </c>
      <c r="J81" s="0" t="n">
        <v>2.2</v>
      </c>
      <c r="K81" s="0" t="s">
        <v>12</v>
      </c>
      <c r="L81" s="0" t="n">
        <f aca="false">IF(OR(F81="AN",F81="BN",F81="D"),1,0)</f>
        <v>1</v>
      </c>
    </row>
    <row r="82" customFormat="false" ht="14.35" hidden="false" customHeight="false" outlineLevel="0" collapsed="false">
      <c r="A82" s="1" t="n">
        <v>2002</v>
      </c>
      <c r="B82" s="0" t="n">
        <v>9.32</v>
      </c>
      <c r="C82" s="0" t="n">
        <v>4.57</v>
      </c>
      <c r="D82" s="0" t="n">
        <v>14.6</v>
      </c>
      <c r="E82" s="0" t="n">
        <v>6.35</v>
      </c>
      <c r="F82" s="0" t="s">
        <v>12</v>
      </c>
      <c r="G82" s="0" t="n">
        <v>1.27</v>
      </c>
      <c r="H82" s="0" t="n">
        <v>2.75</v>
      </c>
      <c r="I82" s="0" t="n">
        <v>4.06</v>
      </c>
      <c r="J82" s="0" t="n">
        <v>2.34</v>
      </c>
      <c r="K82" s="0" t="s">
        <v>12</v>
      </c>
      <c r="L82" s="0" t="n">
        <f aca="false">IF(OR(F82="AN",F82="BN",F82="D"),1,0)</f>
        <v>1</v>
      </c>
    </row>
    <row r="83" customFormat="false" ht="14.35" hidden="false" customHeight="false" outlineLevel="0" collapsed="false">
      <c r="A83" s="1" t="n">
        <v>2003</v>
      </c>
      <c r="B83" s="0" t="n">
        <v>10.71</v>
      </c>
      <c r="C83" s="0" t="n">
        <v>7.74</v>
      </c>
      <c r="D83" s="0" t="n">
        <v>19.31</v>
      </c>
      <c r="E83" s="0" t="n">
        <v>8.21</v>
      </c>
      <c r="F83" s="0" t="s">
        <v>8</v>
      </c>
      <c r="G83" s="0" t="n">
        <v>1.25</v>
      </c>
      <c r="H83" s="0" t="n">
        <v>3.49</v>
      </c>
      <c r="I83" s="0" t="n">
        <v>4.87</v>
      </c>
      <c r="J83" s="0" t="n">
        <v>2.81</v>
      </c>
      <c r="K83" s="0" t="s">
        <v>10</v>
      </c>
      <c r="L83" s="0" t="n">
        <f aca="false">IF(OR(F83="AN",F83="BN",F83="D"),1,0)</f>
        <v>1</v>
      </c>
    </row>
    <row r="84" customFormat="false" ht="14.35" hidden="false" customHeight="false" outlineLevel="0" collapsed="false">
      <c r="A84" s="1" t="n">
        <v>2004</v>
      </c>
      <c r="B84" s="0" t="n">
        <v>10.95</v>
      </c>
      <c r="C84" s="0" t="n">
        <v>4.4</v>
      </c>
      <c r="D84" s="0" t="n">
        <v>16.04</v>
      </c>
      <c r="E84" s="0" t="n">
        <v>7.51</v>
      </c>
      <c r="F84" s="0" t="s">
        <v>10</v>
      </c>
      <c r="G84" s="0" t="n">
        <v>1.51</v>
      </c>
      <c r="H84" s="0" t="n">
        <v>2.25</v>
      </c>
      <c r="I84" s="0" t="n">
        <v>3.81</v>
      </c>
      <c r="J84" s="0" t="n">
        <v>2.21</v>
      </c>
      <c r="K84" s="0" t="s">
        <v>12</v>
      </c>
      <c r="L84" s="0" t="n">
        <f aca="false">IF(OR(F84="AN",F84="BN",F84="D"),1,0)</f>
        <v>1</v>
      </c>
    </row>
    <row r="85" customFormat="false" ht="14.35" hidden="false" customHeight="false" outlineLevel="0" collapsed="false">
      <c r="A85" s="1" t="n">
        <v>2005</v>
      </c>
      <c r="B85" s="0" t="n">
        <v>8.4</v>
      </c>
      <c r="C85" s="0" t="n">
        <v>9.28</v>
      </c>
      <c r="D85" s="0" t="n">
        <v>18.55</v>
      </c>
      <c r="E85" s="0" t="n">
        <v>8.49</v>
      </c>
      <c r="F85" s="0" t="s">
        <v>8</v>
      </c>
      <c r="G85" s="0" t="n">
        <v>2.73</v>
      </c>
      <c r="H85" s="0" t="n">
        <v>6.28</v>
      </c>
      <c r="I85" s="0" t="n">
        <v>9.21</v>
      </c>
      <c r="J85" s="0" t="n">
        <v>4.75</v>
      </c>
      <c r="K85" s="0" t="s">
        <v>9</v>
      </c>
      <c r="L85" s="0" t="n">
        <f aca="false">IF(OR(F85="AN",F85="BN",F85="D"),1,0)</f>
        <v>1</v>
      </c>
    </row>
    <row r="86" customFormat="false" ht="14.35" hidden="false" customHeight="false" outlineLevel="0" collapsed="false">
      <c r="A86" s="1" t="n">
        <v>2006</v>
      </c>
      <c r="B86" s="0" t="n">
        <v>18.06</v>
      </c>
      <c r="C86" s="0" t="n">
        <v>13.09</v>
      </c>
      <c r="D86" s="0" t="n">
        <v>32.09</v>
      </c>
      <c r="E86" s="0" t="n">
        <v>13.2</v>
      </c>
      <c r="F86" s="0" t="s">
        <v>9</v>
      </c>
      <c r="G86" s="0" t="n">
        <v>2.86</v>
      </c>
      <c r="H86" s="0" t="n">
        <v>7.37</v>
      </c>
      <c r="I86" s="0" t="n">
        <v>10.44</v>
      </c>
      <c r="J86" s="0" t="n">
        <v>5.9</v>
      </c>
      <c r="K86" s="0" t="s">
        <v>9</v>
      </c>
      <c r="L86" s="0" t="n">
        <f aca="false">IF(OR(F86="AN",F86="BN",F86="D"),1,0)</f>
        <v>0</v>
      </c>
    </row>
    <row r="87" customFormat="false" ht="14.35" hidden="false" customHeight="false" outlineLevel="0" collapsed="false">
      <c r="A87" s="1" t="n">
        <v>2007</v>
      </c>
      <c r="B87" s="0" t="n">
        <v>6.59</v>
      </c>
      <c r="C87" s="0" t="n">
        <v>3.04</v>
      </c>
      <c r="D87" s="0" t="n">
        <v>10.28</v>
      </c>
      <c r="E87" s="0" t="n">
        <v>6.19</v>
      </c>
      <c r="F87" s="0" t="s">
        <v>12</v>
      </c>
      <c r="G87" s="0" t="n">
        <v>0.99</v>
      </c>
      <c r="H87" s="0" t="n">
        <v>1.46</v>
      </c>
      <c r="I87" s="0" t="n">
        <v>2.51</v>
      </c>
      <c r="J87" s="0" t="n">
        <v>1.97</v>
      </c>
      <c r="K87" s="0" t="s">
        <v>11</v>
      </c>
      <c r="L87" s="0" t="n">
        <f aca="false">IF(OR(F87="AN",F87="BN",F87="D"),1,0)</f>
        <v>1</v>
      </c>
    </row>
    <row r="88" customFormat="false" ht="14.35" hidden="false" customHeight="false" outlineLevel="0" collapsed="false">
      <c r="A88" s="1" t="n">
        <v>2008</v>
      </c>
      <c r="B88" s="0" t="n">
        <v>5.9</v>
      </c>
      <c r="C88" s="0" t="n">
        <v>3.82</v>
      </c>
      <c r="D88" s="0" t="n">
        <v>10.28</v>
      </c>
      <c r="E88" s="0" t="n">
        <v>5.16</v>
      </c>
      <c r="F88" s="0" t="s">
        <v>11</v>
      </c>
      <c r="G88" s="0" t="n">
        <v>0.99</v>
      </c>
      <c r="H88" s="0" t="n">
        <v>2.45</v>
      </c>
      <c r="I88" s="0" t="n">
        <v>3.49</v>
      </c>
      <c r="J88" s="0" t="n">
        <v>2.06</v>
      </c>
      <c r="K88" s="0" t="s">
        <v>11</v>
      </c>
      <c r="L88" s="0" t="n">
        <f aca="false">IF(OR(F88="AN",F88="BN",F88="D"),1,0)</f>
        <v>0</v>
      </c>
    </row>
    <row r="89" customFormat="false" ht="14.35" hidden="false" customHeight="false" outlineLevel="0" collapsed="false">
      <c r="A89" s="1" t="n">
        <v>2009</v>
      </c>
      <c r="B89" s="0" t="n">
        <v>7.05</v>
      </c>
      <c r="C89" s="0" t="n">
        <v>5.3</v>
      </c>
      <c r="D89" s="0" t="n">
        <v>13.02</v>
      </c>
      <c r="E89" s="0" t="n">
        <v>5.78</v>
      </c>
      <c r="F89" s="0" t="s">
        <v>12</v>
      </c>
      <c r="G89" s="0" t="n">
        <v>1.51</v>
      </c>
      <c r="H89" s="0" t="n">
        <v>3.35</v>
      </c>
      <c r="I89" s="0" t="n">
        <v>4.94</v>
      </c>
      <c r="J89" s="0" t="n">
        <v>2.72</v>
      </c>
      <c r="K89" s="0" t="s">
        <v>10</v>
      </c>
      <c r="L89" s="0" t="n">
        <f aca="false">IF(OR(F89="AN",F89="BN",F89="D"),1,0)</f>
        <v>1</v>
      </c>
    </row>
    <row r="90" customFormat="false" ht="14.35" hidden="false" customHeight="false" outlineLevel="0" collapsed="false">
      <c r="A90" s="1" t="n">
        <v>2010</v>
      </c>
      <c r="B90" s="0" t="n">
        <v>7.45</v>
      </c>
      <c r="C90" s="0" t="n">
        <v>7.78</v>
      </c>
      <c r="D90" s="0" t="n">
        <v>16.01</v>
      </c>
      <c r="E90" s="0" t="n">
        <v>7.08</v>
      </c>
      <c r="F90" s="0" t="s">
        <v>10</v>
      </c>
      <c r="G90" s="0" t="n">
        <v>1.43</v>
      </c>
      <c r="H90" s="0" t="n">
        <v>4.53</v>
      </c>
      <c r="I90" s="0" t="n">
        <v>6.08</v>
      </c>
      <c r="J90" s="0" t="n">
        <v>3.55</v>
      </c>
      <c r="K90" s="0" t="s">
        <v>8</v>
      </c>
      <c r="L90" s="0" t="n">
        <f aca="false">IF(OR(F90="AN",F90="BN",F90="D"),1,0)</f>
        <v>1</v>
      </c>
    </row>
    <row r="91" customFormat="false" ht="14.35" hidden="false" customHeight="false" outlineLevel="0" collapsed="false">
      <c r="A91" s="1" t="n">
        <v>2011</v>
      </c>
      <c r="B91" s="0" t="n">
        <v>12.68</v>
      </c>
      <c r="C91" s="0" t="n">
        <v>11.53</v>
      </c>
      <c r="D91" s="0" t="n">
        <v>25.21</v>
      </c>
      <c r="E91" s="0" t="n">
        <v>10.54</v>
      </c>
      <c r="F91" s="0" t="s">
        <v>9</v>
      </c>
      <c r="G91" s="0" t="n">
        <v>3.68</v>
      </c>
      <c r="H91" s="0" t="n">
        <v>6.9</v>
      </c>
      <c r="I91" s="0" t="n">
        <v>10.99</v>
      </c>
      <c r="J91" s="0" t="n">
        <v>5.58</v>
      </c>
      <c r="K91" s="0" t="s">
        <v>9</v>
      </c>
      <c r="L91" s="0" t="n">
        <f aca="false">IF(OR(F91="AN",F91="BN",F91="D"),1,0)</f>
        <v>0</v>
      </c>
    </row>
    <row r="92" customFormat="false" ht="14.35" hidden="false" customHeight="false" outlineLevel="0" collapsed="false">
      <c r="A92" s="1" t="n">
        <v>2012</v>
      </c>
      <c r="B92" s="0" t="n">
        <v>5.69</v>
      </c>
      <c r="C92" s="0" t="n">
        <v>5.46</v>
      </c>
      <c r="D92" s="0" t="n">
        <v>11.84</v>
      </c>
      <c r="E92" s="0" t="n">
        <v>6.89</v>
      </c>
      <c r="F92" s="0" t="s">
        <v>10</v>
      </c>
      <c r="G92" s="0" t="n">
        <v>0.83</v>
      </c>
      <c r="H92" s="0" t="n">
        <v>1.86</v>
      </c>
      <c r="I92" s="0" t="n">
        <v>2.76</v>
      </c>
      <c r="J92" s="0" t="n">
        <v>2.18</v>
      </c>
      <c r="K92" s="0" t="s">
        <v>12</v>
      </c>
      <c r="L92" s="0" t="n">
        <f aca="false">IF(OR(F92="AN",F92="BN",F92="D"),1,0)</f>
        <v>1</v>
      </c>
    </row>
    <row r="93" customFormat="false" ht="14.35" hidden="false" customHeight="false" outlineLevel="0" collapsed="false">
      <c r="A93" s="1" t="n">
        <v>2013</v>
      </c>
      <c r="B93" s="0" t="n">
        <v>8.52</v>
      </c>
      <c r="C93" s="0" t="n">
        <v>3.01</v>
      </c>
      <c r="D93" s="0" t="n">
        <v>12.19</v>
      </c>
      <c r="E93" s="0" t="n">
        <v>5.83</v>
      </c>
      <c r="F93" s="0" t="s">
        <v>12</v>
      </c>
      <c r="G93" s="0" t="n">
        <v>1.33</v>
      </c>
      <c r="H93" s="0" t="n">
        <v>1.67</v>
      </c>
      <c r="I93" s="0" t="n">
        <v>3.05</v>
      </c>
      <c r="J93" s="0" t="n">
        <v>1.71</v>
      </c>
      <c r="K93" s="0" t="s">
        <v>11</v>
      </c>
      <c r="L93" s="0" t="n">
        <f aca="false">IF(OR(F93="AN",F93="BN",F93="D"),1,0)</f>
        <v>1</v>
      </c>
    </row>
    <row r="94" customFormat="false" ht="14.35" hidden="false" customHeight="false" outlineLevel="0" collapsed="false">
      <c r="A94" s="1" t="n">
        <v>2014</v>
      </c>
      <c r="B94" s="0" t="n">
        <v>4.29</v>
      </c>
      <c r="C94" s="0" t="n">
        <v>2.59</v>
      </c>
      <c r="D94" s="0" t="n">
        <v>7.46</v>
      </c>
      <c r="E94" s="0" t="n">
        <v>4.07</v>
      </c>
      <c r="F94" s="0" t="s">
        <v>11</v>
      </c>
      <c r="G94" s="0" t="n">
        <v>0.46</v>
      </c>
      <c r="H94" s="0" t="n">
        <v>1.21</v>
      </c>
      <c r="I94" s="0" t="n">
        <v>1.72</v>
      </c>
      <c r="J94" s="0" t="n">
        <v>1.16</v>
      </c>
      <c r="K94" s="0" t="s">
        <v>11</v>
      </c>
      <c r="L94" s="0" t="n">
        <f aca="false">IF(OR(F94="AN",F94="BN",F94="D"),1,0)</f>
        <v>0</v>
      </c>
    </row>
    <row r="95" customFormat="false" ht="14.35" hidden="false" customHeight="false" outlineLevel="0" collapsed="false">
      <c r="A95" s="1" t="n">
        <v>2015</v>
      </c>
      <c r="B95" s="0" t="n">
        <v>6.91</v>
      </c>
      <c r="C95" s="0" t="n">
        <v>1.77</v>
      </c>
      <c r="D95" s="0" t="n">
        <v>9.23</v>
      </c>
      <c r="E95" s="0" t="n">
        <v>4</v>
      </c>
      <c r="F95" s="0" t="s">
        <v>11</v>
      </c>
      <c r="G95" s="0" t="n">
        <v>0.67</v>
      </c>
      <c r="H95" s="0" t="n">
        <v>0.74</v>
      </c>
      <c r="I95" s="0" t="n">
        <v>1.44</v>
      </c>
      <c r="J95" s="0" t="n">
        <v>0.81</v>
      </c>
      <c r="K95" s="0" t="s">
        <v>11</v>
      </c>
      <c r="L95" s="0" t="n">
        <f aca="false">IF(OR(F95="AN",F95="BN",F95="D"),1,0)</f>
        <v>0</v>
      </c>
    </row>
    <row r="96" customFormat="false" ht="14.35" hidden="false" customHeight="false" outlineLevel="0" collapsed="false">
      <c r="A96" s="1" t="n">
        <v>2016</v>
      </c>
      <c r="B96" s="0" t="n">
        <v>12.24</v>
      </c>
      <c r="C96" s="0" t="n">
        <v>4.6</v>
      </c>
      <c r="D96" s="0" t="n">
        <v>17.48</v>
      </c>
      <c r="E96" s="0" t="n">
        <v>6.71</v>
      </c>
      <c r="F96" s="0" t="s">
        <v>10</v>
      </c>
      <c r="G96" s="0" t="n">
        <v>2.03</v>
      </c>
      <c r="H96" s="0" t="n">
        <v>2.98</v>
      </c>
      <c r="I96" s="0" t="n">
        <v>5.06</v>
      </c>
      <c r="J96" s="0" t="n">
        <v>2.35</v>
      </c>
      <c r="K96" s="0" t="s">
        <v>12</v>
      </c>
      <c r="L96" s="0" t="n">
        <f aca="false">IF(OR(F96="AN",F96="BN",F96="D"),1,0)</f>
        <v>1</v>
      </c>
    </row>
    <row r="97" customFormat="false" ht="14.35" hidden="false" customHeight="false" outlineLevel="0" collapsed="false">
      <c r="A97" s="1" t="n">
        <v>2017</v>
      </c>
      <c r="B97" s="0" t="n">
        <v>26.17</v>
      </c>
      <c r="C97" s="0" t="n">
        <v>10.69</v>
      </c>
      <c r="D97" s="0" t="n">
        <v>37.82</v>
      </c>
      <c r="E97" s="0" t="n">
        <v>14.14</v>
      </c>
      <c r="F97" s="0" t="s">
        <v>9</v>
      </c>
      <c r="G97" s="0" t="n">
        <v>6.65</v>
      </c>
      <c r="H97" s="0" t="n">
        <v>7.77</v>
      </c>
      <c r="I97" s="0" t="n">
        <v>14.84</v>
      </c>
      <c r="J97" s="0" t="n">
        <v>6.46</v>
      </c>
      <c r="K97" s="0" t="s">
        <v>9</v>
      </c>
      <c r="L97" s="0" t="n">
        <f aca="false">IF(OR(F97="AN",F97="BN",F97="D"),1,0)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9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35" zeroHeight="false" outlineLevelRow="0" outlineLevelCol="0"/>
  <cols>
    <col collapsed="false" customWidth="true" hidden="false" outlineLevel="0" max="1" min="1" style="0" width="11"/>
    <col collapsed="false" customWidth="true" hidden="false" outlineLevel="0" max="3" min="2" style="0" width="12"/>
    <col collapsed="false" customWidth="true" hidden="false" outlineLevel="0" max="1025" min="4" style="0" width="8.53"/>
  </cols>
  <sheetData>
    <row r="1" customFormat="false" ht="14.35" hidden="false" customHeight="false" outlineLevel="0" collapsed="false">
      <c r="A1" s="2"/>
      <c r="B1" s="2" t="s">
        <v>13</v>
      </c>
      <c r="C1" s="2" t="s">
        <v>13</v>
      </c>
      <c r="D1" s="2" t="s">
        <v>13</v>
      </c>
      <c r="E1" s="2" t="s">
        <v>13</v>
      </c>
      <c r="F1" s="2" t="s">
        <v>13</v>
      </c>
      <c r="G1" s="2" t="s">
        <v>14</v>
      </c>
    </row>
    <row r="2" customFormat="false" ht="14.35" hidden="false" customHeight="false" outlineLevel="0" collapsed="false">
      <c r="A2" s="2"/>
      <c r="B2" s="2" t="s">
        <v>15</v>
      </c>
      <c r="C2" s="2" t="s">
        <v>16</v>
      </c>
      <c r="D2" s="2" t="s">
        <v>17</v>
      </c>
      <c r="E2" s="2" t="s">
        <v>18</v>
      </c>
      <c r="F2" s="2" t="s">
        <v>19</v>
      </c>
      <c r="G2" s="2" t="s">
        <v>20</v>
      </c>
    </row>
    <row r="3" customFormat="false" ht="14.35" hidden="false" customHeight="false" outlineLevel="0" collapsed="false">
      <c r="A3" s="2"/>
      <c r="B3" s="2" t="s">
        <v>21</v>
      </c>
      <c r="C3" s="2" t="s">
        <v>22</v>
      </c>
      <c r="D3" s="2" t="s">
        <v>21</v>
      </c>
      <c r="E3" s="2" t="s">
        <v>23</v>
      </c>
      <c r="F3" s="2" t="s">
        <v>21</v>
      </c>
      <c r="G3" s="3" t="s">
        <v>24</v>
      </c>
    </row>
    <row r="4" customFormat="false" ht="14.35" hidden="false" customHeight="false" outlineLevel="0" collapsed="false">
      <c r="A4" s="2"/>
      <c r="B4" s="2"/>
      <c r="C4" s="2"/>
      <c r="D4" s="2"/>
      <c r="E4" s="2"/>
      <c r="F4" s="2"/>
      <c r="G4" s="2"/>
    </row>
    <row r="5" customFormat="false" ht="14.35" hidden="false" customHeight="false" outlineLevel="0" collapsed="false">
      <c r="A5" s="2"/>
      <c r="B5" s="2" t="s">
        <v>25</v>
      </c>
      <c r="C5" s="2" t="s">
        <v>25</v>
      </c>
      <c r="D5" s="2" t="s">
        <v>25</v>
      </c>
      <c r="E5" s="2" t="s">
        <v>25</v>
      </c>
      <c r="F5" s="2" t="s">
        <v>25</v>
      </c>
      <c r="G5" s="2" t="s">
        <v>25</v>
      </c>
    </row>
    <row r="6" customFormat="false" ht="14.35" hidden="false" customHeight="false" outlineLevel="0" collapsed="false">
      <c r="A6" s="2"/>
      <c r="B6" s="2" t="s">
        <v>26</v>
      </c>
      <c r="C6" s="2" t="s">
        <v>26</v>
      </c>
      <c r="D6" s="2" t="s">
        <v>26</v>
      </c>
      <c r="E6" s="2" t="s">
        <v>27</v>
      </c>
      <c r="F6" s="2" t="s">
        <v>26</v>
      </c>
      <c r="G6" s="2" t="s">
        <v>28</v>
      </c>
    </row>
    <row r="7" customFormat="false" ht="14.35" hidden="false" customHeight="false" outlineLevel="0" collapsed="false">
      <c r="A7" s="2"/>
      <c r="B7" s="2" t="s">
        <v>29</v>
      </c>
      <c r="C7" s="2" t="s">
        <v>29</v>
      </c>
      <c r="D7" s="2" t="s">
        <v>29</v>
      </c>
      <c r="E7" s="2" t="s">
        <v>29</v>
      </c>
      <c r="F7" s="2" t="s">
        <v>29</v>
      </c>
      <c r="G7" s="2" t="s">
        <v>29</v>
      </c>
      <c r="L7" s="0" t="n">
        <v>1</v>
      </c>
      <c r="M7" s="0" t="n">
        <v>2</v>
      </c>
      <c r="N7" s="0" t="n">
        <v>3</v>
      </c>
      <c r="O7" s="0" t="n">
        <v>4</v>
      </c>
      <c r="P7" s="0" t="n">
        <v>5</v>
      </c>
      <c r="Q7" s="0" t="n">
        <v>6</v>
      </c>
      <c r="R7" s="0" t="n">
        <v>7</v>
      </c>
    </row>
    <row r="8" customFormat="false" ht="14.35" hidden="false" customHeight="false" outlineLevel="0" collapsed="false">
      <c r="A8" s="4" t="n">
        <v>7975</v>
      </c>
      <c r="B8" s="5" t="n">
        <v>4000</v>
      </c>
      <c r="C8" s="6" t="n">
        <v>1700</v>
      </c>
      <c r="D8" s="7" t="n">
        <v>800</v>
      </c>
      <c r="E8" s="6" t="n">
        <v>2289.12468651966</v>
      </c>
      <c r="F8" s="5" t="n">
        <v>4000</v>
      </c>
      <c r="G8" s="8" t="n">
        <v>74.9217868626888</v>
      </c>
    </row>
    <row r="9" customFormat="false" ht="14.35" hidden="false" customHeight="false" outlineLevel="0" collapsed="false">
      <c r="A9" s="4" t="n">
        <v>8005</v>
      </c>
      <c r="B9" s="5" t="n">
        <v>2500</v>
      </c>
      <c r="C9" s="6" t="n">
        <v>1700</v>
      </c>
      <c r="D9" s="7" t="n">
        <v>800</v>
      </c>
      <c r="E9" s="6" t="n">
        <v>2184.71337354846</v>
      </c>
      <c r="F9" s="5" t="n">
        <v>4500</v>
      </c>
      <c r="G9" s="8" t="n">
        <v>83.1830028866509</v>
      </c>
    </row>
    <row r="10" customFormat="false" ht="14.35" hidden="false" customHeight="false" outlineLevel="0" collapsed="false">
      <c r="A10" s="4" t="n">
        <v>8036</v>
      </c>
      <c r="B10" s="5" t="n">
        <v>3359.18877915726</v>
      </c>
      <c r="C10" s="6" t="n">
        <v>1700</v>
      </c>
      <c r="D10" s="7" t="n">
        <v>800</v>
      </c>
      <c r="E10" s="6" t="n">
        <v>2124.17032865283</v>
      </c>
      <c r="F10" s="5" t="n">
        <v>8354.60711029959</v>
      </c>
      <c r="G10" s="8" t="n">
        <v>84.9881874781093</v>
      </c>
    </row>
    <row r="11" customFormat="false" ht="14.35" hidden="false" customHeight="false" outlineLevel="0" collapsed="false">
      <c r="A11" s="4" t="n">
        <v>8067</v>
      </c>
      <c r="B11" s="5" t="n">
        <v>1700</v>
      </c>
      <c r="C11" s="6" t="n">
        <v>1700</v>
      </c>
      <c r="D11" s="7" t="n">
        <v>800</v>
      </c>
      <c r="E11" s="6" t="n">
        <v>2223.68151286387</v>
      </c>
      <c r="F11" s="5" t="n">
        <v>12732.639773856</v>
      </c>
      <c r="G11" s="8" t="n">
        <v>80.8371334034405</v>
      </c>
    </row>
    <row r="12" customFormat="false" ht="14.35" hidden="false" customHeight="false" outlineLevel="0" collapsed="false">
      <c r="A12" s="4" t="n">
        <v>8095</v>
      </c>
      <c r="B12" s="5" t="n">
        <v>1700</v>
      </c>
      <c r="C12" s="6" t="n">
        <v>1700</v>
      </c>
      <c r="D12" s="7" t="n">
        <v>800</v>
      </c>
      <c r="E12" s="6" t="n">
        <v>2559.88992792458</v>
      </c>
      <c r="F12" s="5" t="n">
        <v>35683.1426153002</v>
      </c>
      <c r="G12" s="8" t="n">
        <v>76.2466016450261</v>
      </c>
    </row>
    <row r="13" customFormat="false" ht="14.35" hidden="false" customHeight="false" outlineLevel="0" collapsed="false">
      <c r="A13" s="4" t="n">
        <v>8126</v>
      </c>
      <c r="B13" s="5" t="n">
        <v>1700</v>
      </c>
      <c r="C13" s="6" t="n">
        <v>1700</v>
      </c>
      <c r="D13" s="7" t="n">
        <v>800</v>
      </c>
      <c r="E13" s="6" t="n">
        <v>2857.14444850019</v>
      </c>
      <c r="F13" s="5" t="n">
        <v>25968.3513079398</v>
      </c>
      <c r="G13" s="8" t="n">
        <v>66.8426623798735</v>
      </c>
    </row>
    <row r="14" customFormat="false" ht="14.35" hidden="false" customHeight="false" outlineLevel="0" collapsed="false">
      <c r="A14" s="4" t="n">
        <v>8156</v>
      </c>
      <c r="B14" s="5" t="n">
        <v>1000</v>
      </c>
      <c r="C14" s="6" t="n">
        <v>1000</v>
      </c>
      <c r="D14" s="7" t="n">
        <v>700</v>
      </c>
      <c r="E14" s="6" t="n">
        <v>3398.93360914918</v>
      </c>
      <c r="F14" s="5" t="n">
        <v>30942.1656474716</v>
      </c>
      <c r="G14" s="8" t="n">
        <v>66.196081460079</v>
      </c>
    </row>
    <row r="15" customFormat="false" ht="14.35" hidden="false" customHeight="false" outlineLevel="0" collapsed="false">
      <c r="A15" s="4" t="n">
        <v>8187</v>
      </c>
      <c r="B15" s="5" t="n">
        <v>16006.995469136</v>
      </c>
      <c r="C15" s="6" t="n">
        <v>1000</v>
      </c>
      <c r="D15" s="7" t="n">
        <v>700</v>
      </c>
      <c r="E15" s="6" t="n">
        <v>3538</v>
      </c>
      <c r="F15" s="5" t="n">
        <v>59274.4753148492</v>
      </c>
      <c r="G15" s="8" t="n">
        <v>64.6408555280833</v>
      </c>
    </row>
    <row r="16" customFormat="false" ht="14.35" hidden="false" customHeight="false" outlineLevel="0" collapsed="false">
      <c r="A16" s="4" t="n">
        <v>8217</v>
      </c>
      <c r="B16" s="5" t="n">
        <v>6518.54307301184</v>
      </c>
      <c r="C16" s="6" t="n">
        <v>1000</v>
      </c>
      <c r="D16" s="7" t="n">
        <v>700</v>
      </c>
      <c r="E16" s="6" t="n">
        <v>3538</v>
      </c>
      <c r="F16" s="5" t="n">
        <v>36465.2265301613</v>
      </c>
      <c r="G16" s="8" t="n">
        <v>59.1481572126262</v>
      </c>
    </row>
    <row r="17" customFormat="false" ht="14.35" hidden="false" customHeight="false" outlineLevel="0" collapsed="false">
      <c r="A17" s="4" t="n">
        <v>8248</v>
      </c>
      <c r="B17" s="5" t="n">
        <v>8339.74594415295</v>
      </c>
      <c r="C17" s="6" t="n">
        <v>1000</v>
      </c>
      <c r="D17" s="7" t="n">
        <v>700</v>
      </c>
      <c r="E17" s="6" t="n">
        <v>3081.53965676677</v>
      </c>
      <c r="F17" s="5" t="n">
        <v>8000</v>
      </c>
      <c r="G17" s="8" t="n">
        <v>61.0716030696864</v>
      </c>
    </row>
    <row r="18" customFormat="false" ht="14.35" hidden="false" customHeight="false" outlineLevel="0" collapsed="false">
      <c r="A18" s="4" t="n">
        <v>8279</v>
      </c>
      <c r="B18" s="5" t="n">
        <v>6247.46152264166</v>
      </c>
      <c r="C18" s="6" t="n">
        <v>1000</v>
      </c>
      <c r="D18" s="7" t="n">
        <v>700</v>
      </c>
      <c r="E18" s="6" t="n">
        <v>2735.49664081617</v>
      </c>
      <c r="F18" s="5" t="n">
        <v>4000.00000000004</v>
      </c>
      <c r="G18" s="8" t="n">
        <v>73.3297332158354</v>
      </c>
    </row>
    <row r="19" customFormat="false" ht="14.35" hidden="false" customHeight="false" outlineLevel="0" collapsed="false">
      <c r="A19" s="4" t="n">
        <v>8309</v>
      </c>
      <c r="B19" s="5" t="n">
        <v>8594.91209119239</v>
      </c>
      <c r="C19" s="6" t="n">
        <v>1000</v>
      </c>
      <c r="D19" s="7" t="n">
        <v>773.3333333</v>
      </c>
      <c r="E19" s="6" t="n">
        <v>2256.83750725332</v>
      </c>
      <c r="F19" s="5" t="n">
        <v>13750</v>
      </c>
      <c r="G19" s="8" t="n">
        <v>82.6611277012123</v>
      </c>
    </row>
    <row r="20" customFormat="false" ht="14.35" hidden="false" customHeight="false" outlineLevel="0" collapsed="false">
      <c r="A20" s="4" t="n">
        <v>8340</v>
      </c>
      <c r="B20" s="5" t="n">
        <v>4000</v>
      </c>
      <c r="C20" s="6" t="n">
        <v>1700</v>
      </c>
      <c r="D20" s="7" t="n">
        <v>800</v>
      </c>
      <c r="E20" s="6" t="n">
        <v>2074.38160196679</v>
      </c>
      <c r="F20" s="5" t="n">
        <v>5937.5</v>
      </c>
      <c r="G20" s="8" t="n">
        <v>76.2552750378225</v>
      </c>
    </row>
    <row r="21" customFormat="false" ht="14.35" hidden="false" customHeight="false" outlineLevel="0" collapsed="false">
      <c r="A21" s="4" t="n">
        <v>8370</v>
      </c>
      <c r="B21" s="5" t="n">
        <v>2500</v>
      </c>
      <c r="C21" s="6" t="n">
        <v>1700</v>
      </c>
      <c r="D21" s="7" t="n">
        <v>800</v>
      </c>
      <c r="E21" s="6" t="n">
        <v>1972.51330583955</v>
      </c>
      <c r="F21" s="5" t="n">
        <v>11250</v>
      </c>
      <c r="G21" s="8" t="n">
        <v>80.5923752179271</v>
      </c>
    </row>
    <row r="22" customFormat="false" ht="14.35" hidden="false" customHeight="false" outlineLevel="0" collapsed="false">
      <c r="A22" s="4" t="n">
        <v>8401</v>
      </c>
      <c r="B22" s="5" t="n">
        <v>4132.14026757673</v>
      </c>
      <c r="C22" s="6" t="n">
        <v>1700</v>
      </c>
      <c r="D22" s="7" t="n">
        <v>800</v>
      </c>
      <c r="E22" s="6" t="n">
        <v>1971.86840777147</v>
      </c>
      <c r="F22" s="5" t="n">
        <v>29340.2528177738</v>
      </c>
      <c r="G22" s="8" t="n">
        <v>77.1153385752402</v>
      </c>
    </row>
    <row r="23" customFormat="false" ht="14.35" hidden="false" customHeight="false" outlineLevel="0" collapsed="false">
      <c r="A23" s="4" t="n">
        <v>8432</v>
      </c>
      <c r="B23" s="5" t="n">
        <v>1700</v>
      </c>
      <c r="C23" s="6" t="n">
        <v>1700</v>
      </c>
      <c r="D23" s="7" t="n">
        <v>800</v>
      </c>
      <c r="E23" s="6" t="n">
        <v>2191.15643750718</v>
      </c>
      <c r="F23" s="5" t="n">
        <v>26252.2164460401</v>
      </c>
      <c r="G23" s="8" t="n">
        <v>68.6276710018836</v>
      </c>
    </row>
    <row r="24" customFormat="false" ht="14.35" hidden="false" customHeight="false" outlineLevel="0" collapsed="false">
      <c r="A24" s="4" t="n">
        <v>8460</v>
      </c>
      <c r="B24" s="5" t="n">
        <v>1909.98852321079</v>
      </c>
      <c r="C24" s="6" t="n">
        <v>1700</v>
      </c>
      <c r="D24" s="7" t="n">
        <v>800</v>
      </c>
      <c r="E24" s="6" t="n">
        <v>2290.59478536637</v>
      </c>
      <c r="F24" s="5" t="n">
        <v>16098.214</v>
      </c>
      <c r="G24" s="8" t="n">
        <v>66.6978710727224</v>
      </c>
    </row>
    <row r="25" customFormat="false" ht="14.35" hidden="false" customHeight="false" outlineLevel="0" collapsed="false">
      <c r="A25" s="4" t="n">
        <v>8491</v>
      </c>
      <c r="B25" s="5" t="n">
        <v>1700</v>
      </c>
      <c r="C25" s="6" t="n">
        <v>1700</v>
      </c>
      <c r="D25" s="7" t="n">
        <v>800</v>
      </c>
      <c r="E25" s="6" t="n">
        <v>2481.27129134555</v>
      </c>
      <c r="F25" s="5" t="n">
        <v>10419.61672113</v>
      </c>
      <c r="G25" s="8" t="n">
        <v>69.8139357971619</v>
      </c>
    </row>
    <row r="26" customFormat="false" ht="14.35" hidden="false" customHeight="false" outlineLevel="0" collapsed="false">
      <c r="A26" s="4" t="n">
        <v>8521</v>
      </c>
      <c r="B26" s="5" t="n">
        <v>1000</v>
      </c>
      <c r="C26" s="6" t="n">
        <v>1000</v>
      </c>
      <c r="D26" s="7" t="n">
        <v>700</v>
      </c>
      <c r="E26" s="6" t="n">
        <v>2839.51159347728</v>
      </c>
      <c r="F26" s="5" t="n">
        <v>31028.1850214812</v>
      </c>
      <c r="G26" s="8" t="n">
        <v>74.1699248724387</v>
      </c>
    </row>
    <row r="27" customFormat="false" ht="14.35" hidden="false" customHeight="false" outlineLevel="0" collapsed="false">
      <c r="A27" s="4" t="n">
        <v>8552</v>
      </c>
      <c r="B27" s="5" t="n">
        <v>1000</v>
      </c>
      <c r="C27" s="6" t="n">
        <v>1000</v>
      </c>
      <c r="D27" s="7" t="n">
        <v>700</v>
      </c>
      <c r="E27" s="6" t="n">
        <v>2976.05338628474</v>
      </c>
      <c r="F27" s="5" t="n">
        <v>19199.4526200559</v>
      </c>
      <c r="G27" s="8" t="n">
        <v>67.2334013988488</v>
      </c>
    </row>
    <row r="28" customFormat="false" ht="14.35" hidden="false" customHeight="false" outlineLevel="0" collapsed="false">
      <c r="A28" s="4" t="n">
        <v>8582</v>
      </c>
      <c r="B28" s="5" t="n">
        <v>1000</v>
      </c>
      <c r="C28" s="6" t="n">
        <v>1000</v>
      </c>
      <c r="D28" s="7" t="n">
        <v>700</v>
      </c>
      <c r="E28" s="6" t="n">
        <v>2948.4521115354</v>
      </c>
      <c r="F28" s="5" t="n">
        <v>6722.58489725918</v>
      </c>
      <c r="G28" s="8" t="n">
        <v>68.6390608278618</v>
      </c>
    </row>
    <row r="29" customFormat="false" ht="14.35" hidden="false" customHeight="false" outlineLevel="0" collapsed="false">
      <c r="A29" s="4" t="n">
        <v>8613</v>
      </c>
      <c r="B29" s="5" t="n">
        <v>8046.7532221822</v>
      </c>
      <c r="C29" s="6" t="n">
        <v>1000</v>
      </c>
      <c r="D29" s="7" t="n">
        <v>700</v>
      </c>
      <c r="E29" s="6" t="n">
        <v>2392.01982773346</v>
      </c>
      <c r="F29" s="5" t="n">
        <v>6813.44601137073</v>
      </c>
      <c r="G29" s="8" t="n">
        <v>77.1438685239989</v>
      </c>
    </row>
    <row r="30" customFormat="false" ht="14.35" hidden="false" customHeight="false" outlineLevel="0" collapsed="false">
      <c r="A30" s="4" t="n">
        <v>8644</v>
      </c>
      <c r="B30" s="5" t="n">
        <v>7470.79827928795</v>
      </c>
      <c r="C30" s="6" t="n">
        <v>1000</v>
      </c>
      <c r="D30" s="7" t="n">
        <v>700</v>
      </c>
      <c r="E30" s="6" t="n">
        <v>1891.36537267959</v>
      </c>
      <c r="F30" s="5" t="n">
        <v>4000</v>
      </c>
      <c r="G30" s="8" t="n">
        <v>79.828835746987</v>
      </c>
    </row>
    <row r="31" customFormat="false" ht="14.35" hidden="false" customHeight="false" outlineLevel="0" collapsed="false">
      <c r="A31" s="4" t="n">
        <v>8674</v>
      </c>
      <c r="B31" s="5" t="n">
        <v>5666.36955778672</v>
      </c>
      <c r="C31" s="6" t="n">
        <v>1000</v>
      </c>
      <c r="D31" s="7" t="n">
        <v>773.3333333</v>
      </c>
      <c r="E31" s="6" t="n">
        <v>1553.66414452805</v>
      </c>
      <c r="F31" s="5" t="n">
        <v>4273.5131261449</v>
      </c>
      <c r="G31" s="8" t="n">
        <v>84.7915335109238</v>
      </c>
    </row>
    <row r="32" customFormat="false" ht="14.35" hidden="false" customHeight="false" outlineLevel="0" collapsed="false">
      <c r="A32" s="4" t="n">
        <v>8705</v>
      </c>
      <c r="B32" s="5" t="n">
        <v>1700</v>
      </c>
      <c r="C32" s="6" t="n">
        <v>1700</v>
      </c>
      <c r="D32" s="7" t="n">
        <v>800</v>
      </c>
      <c r="E32" s="6" t="n">
        <v>1431.38677249523</v>
      </c>
      <c r="F32" s="5" t="n">
        <v>4000</v>
      </c>
      <c r="G32" s="8" t="n">
        <v>85.9113086893851</v>
      </c>
    </row>
    <row r="33" customFormat="false" ht="14.35" hidden="false" customHeight="false" outlineLevel="0" collapsed="false">
      <c r="A33" s="4" t="n">
        <v>8735</v>
      </c>
      <c r="B33" s="5" t="n">
        <v>1700</v>
      </c>
      <c r="C33" s="6" t="n">
        <v>1700</v>
      </c>
      <c r="D33" s="7" t="n">
        <v>800</v>
      </c>
      <c r="E33" s="6" t="n">
        <v>1249.11975818525</v>
      </c>
      <c r="F33" s="5" t="n">
        <v>4500</v>
      </c>
      <c r="G33" s="8" t="n">
        <v>86.7853681414419</v>
      </c>
    </row>
    <row r="34" customFormat="false" ht="14.35" hidden="false" customHeight="false" outlineLevel="0" collapsed="false">
      <c r="A34" s="4" t="n">
        <v>8766</v>
      </c>
      <c r="B34" s="5" t="n">
        <v>1764.8134568897</v>
      </c>
      <c r="C34" s="6" t="n">
        <v>1700</v>
      </c>
      <c r="D34" s="7" t="n">
        <v>800</v>
      </c>
      <c r="E34" s="6" t="n">
        <v>1111.07753253119</v>
      </c>
      <c r="F34" s="5" t="n">
        <v>4500</v>
      </c>
      <c r="G34" s="8" t="n">
        <v>86.1690428086298</v>
      </c>
    </row>
    <row r="35" customFormat="false" ht="14.35" hidden="false" customHeight="false" outlineLevel="0" collapsed="false">
      <c r="A35" s="4" t="n">
        <v>8797</v>
      </c>
      <c r="B35" s="5" t="n">
        <v>1700</v>
      </c>
      <c r="C35" s="6" t="n">
        <v>1700</v>
      </c>
      <c r="D35" s="7" t="n">
        <v>800</v>
      </c>
      <c r="E35" s="6" t="n">
        <v>1130.31371549145</v>
      </c>
      <c r="F35" s="5" t="n">
        <v>8088.84354658897</v>
      </c>
      <c r="G35" s="8" t="n">
        <v>85.9670113645341</v>
      </c>
    </row>
    <row r="36" customFormat="false" ht="14.35" hidden="false" customHeight="false" outlineLevel="0" collapsed="false">
      <c r="A36" s="4" t="n">
        <v>8826</v>
      </c>
      <c r="B36" s="5" t="n">
        <v>1700</v>
      </c>
      <c r="C36" s="6" t="n">
        <v>1700</v>
      </c>
      <c r="D36" s="7" t="n">
        <v>800</v>
      </c>
      <c r="E36" s="6" t="n">
        <v>1309.99996109421</v>
      </c>
      <c r="F36" s="5" t="n">
        <v>12542.3855497344</v>
      </c>
      <c r="G36" s="8" t="n">
        <v>81.4057907400009</v>
      </c>
    </row>
    <row r="37" customFormat="false" ht="14.35" hidden="false" customHeight="false" outlineLevel="0" collapsed="false">
      <c r="A37" s="4" t="n">
        <v>8857</v>
      </c>
      <c r="B37" s="5" t="n">
        <v>2744.86057373499</v>
      </c>
      <c r="C37" s="6" t="n">
        <v>1700</v>
      </c>
      <c r="D37" s="7" t="n">
        <v>800</v>
      </c>
      <c r="E37" s="6" t="n">
        <v>1293.74326993962</v>
      </c>
      <c r="F37" s="5" t="n">
        <v>9729.032</v>
      </c>
      <c r="G37" s="8" t="n">
        <v>76.5484086145021</v>
      </c>
    </row>
    <row r="38" customFormat="false" ht="14.35" hidden="false" customHeight="false" outlineLevel="0" collapsed="false">
      <c r="A38" s="4" t="n">
        <v>8887</v>
      </c>
      <c r="B38" s="5" t="n">
        <v>1480.84850478428</v>
      </c>
      <c r="C38" s="6" t="n">
        <v>750</v>
      </c>
      <c r="D38" s="7" t="n">
        <v>700</v>
      </c>
      <c r="E38" s="6" t="n">
        <v>1276.09480783953</v>
      </c>
      <c r="F38" s="5" t="n">
        <v>5312.5</v>
      </c>
      <c r="G38" s="8" t="n">
        <v>76.9031393417922</v>
      </c>
    </row>
    <row r="39" customFormat="false" ht="14.35" hidden="false" customHeight="false" outlineLevel="0" collapsed="false">
      <c r="A39" s="4" t="n">
        <v>8918</v>
      </c>
      <c r="B39" s="5" t="n">
        <v>2892.91463933273</v>
      </c>
      <c r="C39" s="6" t="n">
        <v>750</v>
      </c>
      <c r="D39" s="7" t="n">
        <v>700</v>
      </c>
      <c r="E39" s="6" t="n">
        <v>1140.0519758322</v>
      </c>
      <c r="F39" s="5" t="n">
        <v>4000</v>
      </c>
      <c r="G39" s="8" t="n">
        <v>81.6573227312593</v>
      </c>
    </row>
    <row r="40" customFormat="false" ht="14.35" hidden="false" customHeight="false" outlineLevel="0" collapsed="false">
      <c r="A40" s="4" t="n">
        <v>8948</v>
      </c>
      <c r="B40" s="5" t="n">
        <v>4188.66417761796</v>
      </c>
      <c r="C40" s="6" t="n">
        <v>750</v>
      </c>
      <c r="D40" s="7" t="n">
        <v>700</v>
      </c>
      <c r="E40" s="6" t="n">
        <v>909.641372162331</v>
      </c>
      <c r="F40" s="5" t="n">
        <v>4000</v>
      </c>
      <c r="G40" s="8" t="n">
        <v>85.3909115443683</v>
      </c>
    </row>
    <row r="41" customFormat="false" ht="14.35" hidden="false" customHeight="false" outlineLevel="0" collapsed="false">
      <c r="A41" s="4" t="n">
        <v>8979</v>
      </c>
      <c r="B41" s="5" t="n">
        <v>3906.65386274386</v>
      </c>
      <c r="C41" s="6" t="n">
        <v>750</v>
      </c>
      <c r="D41" s="7" t="n">
        <v>700</v>
      </c>
      <c r="E41" s="6" t="n">
        <v>656.238477260634</v>
      </c>
      <c r="F41" s="5" t="n">
        <v>4119.31532300582</v>
      </c>
      <c r="G41" s="8" t="n">
        <v>86.6147819573054</v>
      </c>
    </row>
    <row r="42" customFormat="false" ht="14.35" hidden="false" customHeight="false" outlineLevel="0" collapsed="false">
      <c r="A42" s="4" t="n">
        <v>9010</v>
      </c>
      <c r="B42" s="5" t="n">
        <v>2895.82701596613</v>
      </c>
      <c r="C42" s="6" t="n">
        <v>750</v>
      </c>
      <c r="D42" s="7" t="n">
        <v>700</v>
      </c>
      <c r="E42" s="6" t="n">
        <v>498.409414818341</v>
      </c>
      <c r="F42" s="5" t="n">
        <v>4171.24096645905</v>
      </c>
      <c r="G42" s="8" t="n">
        <v>86.7906636162751</v>
      </c>
    </row>
    <row r="43" customFormat="false" ht="14.35" hidden="false" customHeight="false" outlineLevel="0" collapsed="false">
      <c r="A43" s="4" t="n">
        <v>9040</v>
      </c>
      <c r="B43" s="5" t="n">
        <v>1422.27138451402</v>
      </c>
      <c r="C43" s="6" t="n">
        <v>750</v>
      </c>
      <c r="D43" s="7" t="n">
        <v>773.3333333</v>
      </c>
      <c r="E43" s="6" t="n">
        <v>456.576652381801</v>
      </c>
      <c r="F43" s="5" t="n">
        <v>3000</v>
      </c>
      <c r="G43" s="8" t="n">
        <v>86.7522973568703</v>
      </c>
    </row>
    <row r="44" customFormat="false" ht="14.35" hidden="false" customHeight="false" outlineLevel="0" collapsed="false">
      <c r="A44" s="4" t="n">
        <v>9071</v>
      </c>
      <c r="B44" s="5" t="n">
        <v>900</v>
      </c>
      <c r="C44" s="6" t="n">
        <v>900</v>
      </c>
      <c r="D44" s="7" t="n">
        <v>800</v>
      </c>
      <c r="E44" s="6" t="n">
        <v>463.943604257663</v>
      </c>
      <c r="F44" s="5" t="n">
        <v>3000</v>
      </c>
      <c r="G44" s="8" t="n">
        <v>89.26621292778</v>
      </c>
    </row>
    <row r="45" customFormat="false" ht="14.35" hidden="false" customHeight="false" outlineLevel="0" collapsed="false">
      <c r="A45" s="4" t="n">
        <v>9101</v>
      </c>
      <c r="B45" s="5" t="n">
        <v>900</v>
      </c>
      <c r="C45" s="6" t="n">
        <v>900</v>
      </c>
      <c r="D45" s="7" t="n">
        <v>800</v>
      </c>
      <c r="E45" s="6" t="n">
        <v>508.336992336216</v>
      </c>
      <c r="F45" s="5" t="n">
        <v>4300.00846954112</v>
      </c>
      <c r="G45" s="8" t="n">
        <v>90.0902744519243</v>
      </c>
    </row>
    <row r="46" customFormat="false" ht="14.35" hidden="false" customHeight="false" outlineLevel="0" collapsed="false">
      <c r="A46" s="4" t="n">
        <v>9132</v>
      </c>
      <c r="B46" s="5" t="n">
        <v>906.284733850951</v>
      </c>
      <c r="C46" s="6" t="n">
        <v>900</v>
      </c>
      <c r="D46" s="7" t="n">
        <v>800</v>
      </c>
      <c r="E46" s="6" t="n">
        <v>573.820088388543</v>
      </c>
      <c r="F46" s="5" t="n">
        <v>7854.06325968081</v>
      </c>
      <c r="G46" s="8" t="n">
        <v>87.6008586263403</v>
      </c>
    </row>
    <row r="47" customFormat="false" ht="14.35" hidden="false" customHeight="false" outlineLevel="0" collapsed="false">
      <c r="A47" s="4" t="n">
        <v>9163</v>
      </c>
      <c r="B47" s="5" t="n">
        <v>900</v>
      </c>
      <c r="C47" s="6" t="n">
        <v>900</v>
      </c>
      <c r="D47" s="7" t="n">
        <v>800</v>
      </c>
      <c r="E47" s="6" t="n">
        <v>710.295331384659</v>
      </c>
      <c r="F47" s="5" t="n">
        <v>7386.37782270276</v>
      </c>
      <c r="G47" s="8" t="n">
        <v>82.1671453872848</v>
      </c>
    </row>
    <row r="48" customFormat="false" ht="14.35" hidden="false" customHeight="false" outlineLevel="0" collapsed="false">
      <c r="A48" s="4" t="n">
        <v>9191</v>
      </c>
      <c r="B48" s="5" t="n">
        <v>900</v>
      </c>
      <c r="C48" s="6" t="n">
        <v>900</v>
      </c>
      <c r="D48" s="7" t="n">
        <v>800</v>
      </c>
      <c r="E48" s="6" t="n">
        <v>1324.717566911</v>
      </c>
      <c r="F48" s="5" t="n">
        <v>72426.7049100539</v>
      </c>
      <c r="G48" s="8" t="n">
        <v>80.8565739546071</v>
      </c>
    </row>
    <row r="49" customFormat="false" ht="14.35" hidden="false" customHeight="false" outlineLevel="0" collapsed="false">
      <c r="A49" s="4" t="n">
        <v>9222</v>
      </c>
      <c r="B49" s="5" t="n">
        <v>800</v>
      </c>
      <c r="C49" s="6" t="n">
        <v>750</v>
      </c>
      <c r="D49" s="7" t="n">
        <v>800</v>
      </c>
      <c r="E49" s="6" t="n">
        <v>1553.25544486395</v>
      </c>
      <c r="F49" s="5" t="n">
        <v>13717.8172886519</v>
      </c>
      <c r="G49" s="8" t="n">
        <v>62.927572407226</v>
      </c>
    </row>
    <row r="50" customFormat="false" ht="14.35" hidden="false" customHeight="false" outlineLevel="0" collapsed="false">
      <c r="A50" s="4" t="n">
        <v>9252</v>
      </c>
      <c r="B50" s="5" t="n">
        <v>750</v>
      </c>
      <c r="C50" s="6" t="n">
        <v>750</v>
      </c>
      <c r="D50" s="7" t="n">
        <v>700</v>
      </c>
      <c r="E50" s="6" t="n">
        <v>1851.75761594187</v>
      </c>
      <c r="F50" s="5" t="n">
        <v>30487.109015607</v>
      </c>
      <c r="G50" s="8" t="n">
        <v>69.8045777366756</v>
      </c>
    </row>
    <row r="51" customFormat="false" ht="14.35" hidden="false" customHeight="false" outlineLevel="0" collapsed="false">
      <c r="A51" s="4" t="n">
        <v>9283</v>
      </c>
      <c r="B51" s="5" t="n">
        <v>750</v>
      </c>
      <c r="C51" s="6" t="n">
        <v>750</v>
      </c>
      <c r="D51" s="7" t="n">
        <v>700</v>
      </c>
      <c r="E51" s="6" t="n">
        <v>1994.54107463625</v>
      </c>
      <c r="F51" s="5" t="n">
        <v>17983.4446817125</v>
      </c>
      <c r="G51" s="8" t="n">
        <v>65.9372888805509</v>
      </c>
    </row>
    <row r="52" customFormat="false" ht="14.35" hidden="false" customHeight="false" outlineLevel="0" collapsed="false">
      <c r="A52" s="4" t="n">
        <v>9313</v>
      </c>
      <c r="B52" s="5" t="n">
        <v>1056.30823662604</v>
      </c>
      <c r="C52" s="6" t="n">
        <v>750</v>
      </c>
      <c r="D52" s="7" t="n">
        <v>700</v>
      </c>
      <c r="E52" s="6" t="n">
        <v>1948.3148383215</v>
      </c>
      <c r="F52" s="5" t="n">
        <v>5343.3335</v>
      </c>
      <c r="G52" s="8" t="n">
        <v>68.7157369041711</v>
      </c>
    </row>
    <row r="53" customFormat="false" ht="14.35" hidden="false" customHeight="false" outlineLevel="0" collapsed="false">
      <c r="A53" s="4" t="n">
        <v>9344</v>
      </c>
      <c r="B53" s="5" t="n">
        <v>6184.13708223553</v>
      </c>
      <c r="C53" s="6" t="n">
        <v>750</v>
      </c>
      <c r="D53" s="7" t="n">
        <v>700</v>
      </c>
      <c r="E53" s="6" t="n">
        <v>1539.06458581561</v>
      </c>
      <c r="F53" s="5" t="n">
        <v>5000</v>
      </c>
      <c r="G53" s="8" t="n">
        <v>78.9291317943465</v>
      </c>
    </row>
    <row r="54" customFormat="false" ht="14.35" hidden="false" customHeight="false" outlineLevel="0" collapsed="false">
      <c r="A54" s="4" t="n">
        <v>9375</v>
      </c>
      <c r="B54" s="5" t="n">
        <v>1825.11587035026</v>
      </c>
      <c r="C54" s="6" t="n">
        <v>750</v>
      </c>
      <c r="D54" s="7" t="n">
        <v>700</v>
      </c>
      <c r="E54" s="6" t="n">
        <v>1398.38187333442</v>
      </c>
      <c r="F54" s="5" t="n">
        <v>3848.70822221103</v>
      </c>
      <c r="G54" s="8" t="n">
        <v>82.786148825656</v>
      </c>
    </row>
    <row r="55" customFormat="false" ht="14.35" hidden="false" customHeight="false" outlineLevel="0" collapsed="false">
      <c r="A55" s="4" t="n">
        <v>9405</v>
      </c>
      <c r="B55" s="5" t="n">
        <v>901.291402492888</v>
      </c>
      <c r="C55" s="6" t="n">
        <v>750</v>
      </c>
      <c r="D55" s="7" t="n">
        <v>773.3333333</v>
      </c>
      <c r="E55" s="6" t="n">
        <v>1329.18284823817</v>
      </c>
      <c r="F55" s="5" t="n">
        <v>3000</v>
      </c>
      <c r="G55" s="8" t="n">
        <v>86.0564900527922</v>
      </c>
    </row>
    <row r="56" customFormat="false" ht="14.35" hidden="false" customHeight="false" outlineLevel="0" collapsed="false">
      <c r="A56" s="4" t="n">
        <v>9436</v>
      </c>
      <c r="B56" s="5" t="n">
        <v>900.000000000001</v>
      </c>
      <c r="C56" s="6" t="n">
        <v>900</v>
      </c>
      <c r="D56" s="7" t="n">
        <v>800</v>
      </c>
      <c r="E56" s="6" t="n">
        <v>1213.02792356531</v>
      </c>
      <c r="F56" s="5" t="n">
        <v>4000</v>
      </c>
      <c r="G56" s="8" t="n">
        <v>89.0381272935033</v>
      </c>
    </row>
    <row r="57" customFormat="false" ht="14.35" hidden="false" customHeight="false" outlineLevel="0" collapsed="false">
      <c r="A57" s="4" t="n">
        <v>9466</v>
      </c>
      <c r="B57" s="5" t="n">
        <v>900</v>
      </c>
      <c r="C57" s="6" t="n">
        <v>900</v>
      </c>
      <c r="D57" s="7" t="n">
        <v>800</v>
      </c>
      <c r="E57" s="6" t="n">
        <v>1125.40991446151</v>
      </c>
      <c r="F57" s="5" t="n">
        <v>4500</v>
      </c>
      <c r="G57" s="8" t="n">
        <v>87.8103392798718</v>
      </c>
    </row>
    <row r="58" customFormat="false" ht="14.35" hidden="false" customHeight="false" outlineLevel="0" collapsed="false">
      <c r="A58" s="4" t="n">
        <v>9497</v>
      </c>
      <c r="B58" s="5" t="n">
        <v>1744.58118641401</v>
      </c>
      <c r="C58" s="6" t="n">
        <v>900</v>
      </c>
      <c r="D58" s="7" t="n">
        <v>800</v>
      </c>
      <c r="E58" s="6" t="n">
        <v>1050.76812990387</v>
      </c>
      <c r="F58" s="5" t="n">
        <v>4927.51883874576</v>
      </c>
      <c r="G58" s="8" t="n">
        <v>86.5050283478072</v>
      </c>
    </row>
    <row r="59" customFormat="false" ht="14.35" hidden="false" customHeight="false" outlineLevel="0" collapsed="false">
      <c r="A59" s="4" t="n">
        <v>9528</v>
      </c>
      <c r="B59" s="5" t="n">
        <v>900</v>
      </c>
      <c r="C59" s="6" t="n">
        <v>900</v>
      </c>
      <c r="D59" s="7" t="n">
        <v>800</v>
      </c>
      <c r="E59" s="6" t="n">
        <v>1164.17799754656</v>
      </c>
      <c r="F59" s="5" t="n">
        <v>13887.2134561719</v>
      </c>
      <c r="G59" s="8" t="n">
        <v>85.3814589150202</v>
      </c>
    </row>
    <row r="60" customFormat="false" ht="14.35" hidden="false" customHeight="false" outlineLevel="0" collapsed="false">
      <c r="A60" s="4" t="n">
        <v>9556</v>
      </c>
      <c r="B60" s="5" t="n">
        <v>900</v>
      </c>
      <c r="C60" s="6" t="n">
        <v>900</v>
      </c>
      <c r="D60" s="7" t="n">
        <v>800</v>
      </c>
      <c r="E60" s="6" t="n">
        <v>1624.06134038073</v>
      </c>
      <c r="F60" s="5" t="n">
        <v>44563.3192143123</v>
      </c>
      <c r="G60" s="8" t="n">
        <v>77.0708855238406</v>
      </c>
    </row>
    <row r="61" customFormat="false" ht="14.35" hidden="false" customHeight="false" outlineLevel="0" collapsed="false">
      <c r="A61" s="4" t="n">
        <v>9587</v>
      </c>
      <c r="B61" s="5" t="n">
        <v>1126.7099268621</v>
      </c>
      <c r="C61" s="6" t="n">
        <v>750</v>
      </c>
      <c r="D61" s="7" t="n">
        <v>800</v>
      </c>
      <c r="E61" s="6" t="n">
        <v>1892.21205427202</v>
      </c>
      <c r="F61" s="5" t="n">
        <v>12758.064</v>
      </c>
      <c r="G61" s="8" t="n">
        <v>65.4093828530732</v>
      </c>
    </row>
    <row r="62" customFormat="false" ht="14.35" hidden="false" customHeight="false" outlineLevel="0" collapsed="false">
      <c r="A62" s="4" t="n">
        <v>9617</v>
      </c>
      <c r="B62" s="5" t="n">
        <v>750</v>
      </c>
      <c r="C62" s="6" t="n">
        <v>750</v>
      </c>
      <c r="D62" s="7" t="n">
        <v>700</v>
      </c>
      <c r="E62" s="6" t="n">
        <v>2517.7923148369</v>
      </c>
      <c r="F62" s="5" t="n">
        <v>26831.9278463299</v>
      </c>
      <c r="G62" s="8" t="n">
        <v>71.1740943952481</v>
      </c>
    </row>
    <row r="63" customFormat="false" ht="14.35" hidden="false" customHeight="false" outlineLevel="0" collapsed="false">
      <c r="A63" s="4" t="n">
        <v>9648</v>
      </c>
      <c r="B63" s="5" t="n">
        <v>3103.48242879183</v>
      </c>
      <c r="C63" s="6" t="n">
        <v>750</v>
      </c>
      <c r="D63" s="7" t="n">
        <v>700</v>
      </c>
      <c r="E63" s="6" t="n">
        <v>2430.07390295595</v>
      </c>
      <c r="F63" s="5" t="n">
        <v>10185.483</v>
      </c>
      <c r="G63" s="8" t="n">
        <v>67.3651625065928</v>
      </c>
    </row>
    <row r="64" customFormat="false" ht="14.35" hidden="false" customHeight="false" outlineLevel="0" collapsed="false">
      <c r="A64" s="4" t="n">
        <v>9678</v>
      </c>
      <c r="B64" s="5" t="n">
        <v>5735.42790999036</v>
      </c>
      <c r="C64" s="6" t="n">
        <v>750</v>
      </c>
      <c r="D64" s="7" t="n">
        <v>700</v>
      </c>
      <c r="E64" s="6" t="n">
        <v>2043.25522515281</v>
      </c>
      <c r="F64" s="5" t="n">
        <v>5312.5</v>
      </c>
      <c r="G64" s="8" t="n">
        <v>73.5414245309379</v>
      </c>
    </row>
    <row r="65" customFormat="false" ht="14.35" hidden="false" customHeight="false" outlineLevel="0" collapsed="false">
      <c r="A65" s="4" t="n">
        <v>9709</v>
      </c>
      <c r="B65" s="5" t="n">
        <v>7615.83156085365</v>
      </c>
      <c r="C65" s="6" t="n">
        <v>750</v>
      </c>
      <c r="D65" s="7" t="n">
        <v>700</v>
      </c>
      <c r="E65" s="6" t="n">
        <v>1539.02231527062</v>
      </c>
      <c r="F65" s="5" t="n">
        <v>5000</v>
      </c>
      <c r="G65" s="8" t="n">
        <v>80.5553526162612</v>
      </c>
    </row>
    <row r="66" customFormat="false" ht="14.35" hidden="false" customHeight="false" outlineLevel="0" collapsed="false">
      <c r="A66" s="4" t="n">
        <v>9740</v>
      </c>
      <c r="B66" s="5" t="n">
        <v>2105.99342307134</v>
      </c>
      <c r="C66" s="6" t="n">
        <v>750</v>
      </c>
      <c r="D66" s="7" t="n">
        <v>700</v>
      </c>
      <c r="E66" s="6" t="n">
        <v>1368.13032619751</v>
      </c>
      <c r="F66" s="5" t="n">
        <v>3500</v>
      </c>
      <c r="G66" s="8" t="n">
        <v>83.3192240110797</v>
      </c>
    </row>
    <row r="67" customFormat="false" ht="14.35" hidden="false" customHeight="false" outlineLevel="0" collapsed="false">
      <c r="A67" s="4" t="n">
        <v>9770</v>
      </c>
      <c r="B67" s="5" t="n">
        <v>992.376431051323</v>
      </c>
      <c r="C67" s="6" t="n">
        <v>750</v>
      </c>
      <c r="D67" s="7" t="n">
        <v>773.3333333</v>
      </c>
      <c r="E67" s="6" t="n">
        <v>1268.5733311741</v>
      </c>
      <c r="F67" s="5" t="n">
        <v>3000</v>
      </c>
      <c r="G67" s="8" t="n">
        <v>86.9592406480496</v>
      </c>
    </row>
    <row r="68" customFormat="false" ht="14.35" hidden="false" customHeight="false" outlineLevel="0" collapsed="false">
      <c r="A68" s="4" t="n">
        <v>9801</v>
      </c>
      <c r="B68" s="5" t="n">
        <v>900.000000000001</v>
      </c>
      <c r="C68" s="6" t="n">
        <v>900</v>
      </c>
      <c r="D68" s="7" t="n">
        <v>800</v>
      </c>
      <c r="E68" s="6" t="n">
        <v>1177.85301792788</v>
      </c>
      <c r="F68" s="5" t="n">
        <v>4000</v>
      </c>
      <c r="G68" s="8" t="n">
        <v>89.3340489386286</v>
      </c>
    </row>
    <row r="69" customFormat="false" ht="14.35" hidden="false" customHeight="false" outlineLevel="0" collapsed="false">
      <c r="A69" s="4" t="n">
        <v>9831</v>
      </c>
      <c r="B69" s="5" t="n">
        <v>900</v>
      </c>
      <c r="C69" s="6" t="n">
        <v>900</v>
      </c>
      <c r="D69" s="7" t="n">
        <v>800</v>
      </c>
      <c r="E69" s="6" t="n">
        <v>1397.62254924819</v>
      </c>
      <c r="F69" s="5" t="n">
        <v>13924.5443252218</v>
      </c>
      <c r="G69" s="8" t="n">
        <v>87.9073423951439</v>
      </c>
    </row>
    <row r="70" customFormat="false" ht="14.35" hidden="false" customHeight="false" outlineLevel="0" collapsed="false">
      <c r="A70" s="4" t="n">
        <v>9862</v>
      </c>
      <c r="B70" s="5" t="n">
        <v>3769.73339966359</v>
      </c>
      <c r="C70" s="6" t="n">
        <v>900</v>
      </c>
      <c r="D70" s="7" t="n">
        <v>800</v>
      </c>
      <c r="E70" s="6" t="n">
        <v>1326.03900417316</v>
      </c>
      <c r="F70" s="5" t="n">
        <v>14274.7655273445</v>
      </c>
      <c r="G70" s="8" t="n">
        <v>77.8782923287432</v>
      </c>
    </row>
    <row r="71" customFormat="false" ht="14.35" hidden="false" customHeight="false" outlineLevel="0" collapsed="false">
      <c r="A71" s="4" t="n">
        <v>9893</v>
      </c>
      <c r="B71" s="5" t="n">
        <v>900</v>
      </c>
      <c r="C71" s="6" t="n">
        <v>900</v>
      </c>
      <c r="D71" s="7" t="n">
        <v>800</v>
      </c>
      <c r="E71" s="6" t="n">
        <v>1557.23814688977</v>
      </c>
      <c r="F71" s="5" t="n">
        <v>32350.2835807208</v>
      </c>
      <c r="G71" s="8" t="n">
        <v>74.4003616684125</v>
      </c>
    </row>
    <row r="72" customFormat="false" ht="14.35" hidden="false" customHeight="false" outlineLevel="0" collapsed="false">
      <c r="A72" s="4" t="n">
        <v>9921</v>
      </c>
      <c r="B72" s="5" t="n">
        <v>900</v>
      </c>
      <c r="C72" s="6" t="n">
        <v>900</v>
      </c>
      <c r="D72" s="7" t="n">
        <v>800</v>
      </c>
      <c r="E72" s="6" t="n">
        <v>2649.87566223769</v>
      </c>
      <c r="F72" s="5" t="n">
        <v>128881.994071827</v>
      </c>
      <c r="G72" s="8" t="n">
        <v>66.9890902307209</v>
      </c>
    </row>
    <row r="73" customFormat="false" ht="14.35" hidden="false" customHeight="false" outlineLevel="0" collapsed="false">
      <c r="A73" s="4" t="n">
        <v>9952</v>
      </c>
      <c r="B73" s="5" t="n">
        <v>4824.50401000756</v>
      </c>
      <c r="C73" s="6" t="n">
        <v>750</v>
      </c>
      <c r="D73" s="7" t="n">
        <v>800</v>
      </c>
      <c r="E73" s="6" t="n">
        <v>2999</v>
      </c>
      <c r="F73" s="5" t="n">
        <v>40245.0139625411</v>
      </c>
      <c r="G73" s="8" t="n">
        <v>53.9641306198494</v>
      </c>
    </row>
    <row r="74" customFormat="false" ht="14.35" hidden="false" customHeight="false" outlineLevel="0" collapsed="false">
      <c r="A74" s="4" t="n">
        <v>9982</v>
      </c>
      <c r="B74" s="5" t="n">
        <v>4780.42510376718</v>
      </c>
      <c r="C74" s="6" t="n">
        <v>1000</v>
      </c>
      <c r="D74" s="7" t="n">
        <v>700</v>
      </c>
      <c r="E74" s="6" t="n">
        <v>3396</v>
      </c>
      <c r="F74" s="5" t="n">
        <v>58175.6332184445</v>
      </c>
      <c r="G74" s="8" t="n">
        <v>58.6162737628075</v>
      </c>
    </row>
    <row r="75" customFormat="false" ht="14.35" hidden="false" customHeight="false" outlineLevel="0" collapsed="false">
      <c r="A75" s="4" t="n">
        <v>10013</v>
      </c>
      <c r="B75" s="5" t="n">
        <v>4032.72453605766</v>
      </c>
      <c r="C75" s="6" t="n">
        <v>1000</v>
      </c>
      <c r="D75" s="7" t="n">
        <v>700</v>
      </c>
      <c r="E75" s="6" t="n">
        <v>3538</v>
      </c>
      <c r="F75" s="5" t="n">
        <v>27698.9710910767</v>
      </c>
      <c r="G75" s="8" t="n">
        <v>57.3167337872306</v>
      </c>
    </row>
    <row r="76" customFormat="false" ht="14.35" hidden="false" customHeight="false" outlineLevel="0" collapsed="false">
      <c r="A76" s="4" t="n">
        <v>10043</v>
      </c>
      <c r="B76" s="5" t="n">
        <v>2024.27816832632</v>
      </c>
      <c r="C76" s="6" t="n">
        <v>1000</v>
      </c>
      <c r="D76" s="7" t="n">
        <v>700</v>
      </c>
      <c r="E76" s="6" t="n">
        <v>3538</v>
      </c>
      <c r="F76" s="5" t="n">
        <v>13863.455354334</v>
      </c>
      <c r="G76" s="8" t="n">
        <v>62.5789421421377</v>
      </c>
    </row>
    <row r="77" customFormat="false" ht="14.35" hidden="false" customHeight="false" outlineLevel="0" collapsed="false">
      <c r="A77" s="4" t="n">
        <v>10074</v>
      </c>
      <c r="B77" s="5" t="n">
        <v>8798.50132386267</v>
      </c>
      <c r="C77" s="6" t="n">
        <v>1000</v>
      </c>
      <c r="D77" s="7" t="n">
        <v>700</v>
      </c>
      <c r="E77" s="6" t="n">
        <v>3012.51461031649</v>
      </c>
      <c r="F77" s="5" t="n">
        <v>8000</v>
      </c>
      <c r="G77" s="8" t="n">
        <v>69.6093454681456</v>
      </c>
    </row>
    <row r="78" customFormat="false" ht="14.35" hidden="false" customHeight="false" outlineLevel="0" collapsed="false">
      <c r="A78" s="4" t="n">
        <v>10105</v>
      </c>
      <c r="B78" s="5" t="n">
        <v>8179.57422635813</v>
      </c>
      <c r="C78" s="6" t="n">
        <v>1000</v>
      </c>
      <c r="D78" s="7" t="n">
        <v>700</v>
      </c>
      <c r="E78" s="6" t="n">
        <v>2527.6794496156</v>
      </c>
      <c r="F78" s="5" t="n">
        <v>4000</v>
      </c>
      <c r="G78" s="8" t="n">
        <v>76.1284051740503</v>
      </c>
    </row>
    <row r="79" customFormat="false" ht="14.35" hidden="false" customHeight="false" outlineLevel="0" collapsed="false">
      <c r="A79" s="4" t="n">
        <v>10135</v>
      </c>
      <c r="B79" s="5" t="n">
        <v>9351.6764676552</v>
      </c>
      <c r="C79" s="6" t="n">
        <v>1000</v>
      </c>
      <c r="D79" s="7" t="n">
        <v>773.3333333</v>
      </c>
      <c r="E79" s="6" t="n">
        <v>1953.64802418222</v>
      </c>
      <c r="F79" s="5" t="n">
        <v>20156.25</v>
      </c>
      <c r="G79" s="8" t="n">
        <v>83.5785323691152</v>
      </c>
    </row>
    <row r="80" customFormat="false" ht="14.35" hidden="false" customHeight="false" outlineLevel="0" collapsed="false">
      <c r="A80" s="4" t="n">
        <v>10166</v>
      </c>
      <c r="B80" s="5" t="n">
        <v>4000</v>
      </c>
      <c r="C80" s="6" t="n">
        <v>1700</v>
      </c>
      <c r="D80" s="7" t="n">
        <v>800</v>
      </c>
      <c r="E80" s="6" t="n">
        <v>1674.36677370887</v>
      </c>
      <c r="F80" s="5" t="n">
        <v>7656.25</v>
      </c>
      <c r="G80" s="8" t="n">
        <v>73.6242110646298</v>
      </c>
    </row>
    <row r="81" customFormat="false" ht="14.35" hidden="false" customHeight="false" outlineLevel="0" collapsed="false">
      <c r="A81" s="4" t="n">
        <v>10196</v>
      </c>
      <c r="B81" s="5" t="n">
        <v>2500</v>
      </c>
      <c r="C81" s="6" t="n">
        <v>1700</v>
      </c>
      <c r="D81" s="7" t="n">
        <v>800</v>
      </c>
      <c r="E81" s="6" t="n">
        <v>1676.44484638746</v>
      </c>
      <c r="F81" s="5" t="n">
        <v>15937.5</v>
      </c>
      <c r="G81" s="8" t="n">
        <v>77.781132115298</v>
      </c>
    </row>
    <row r="82" customFormat="false" ht="14.35" hidden="false" customHeight="false" outlineLevel="0" collapsed="false">
      <c r="A82" s="4" t="n">
        <v>10227</v>
      </c>
      <c r="B82" s="5" t="n">
        <v>2936.4421571439</v>
      </c>
      <c r="C82" s="6" t="n">
        <v>1700</v>
      </c>
      <c r="D82" s="7" t="n">
        <v>800</v>
      </c>
      <c r="E82" s="6" t="n">
        <v>1582.63370463061</v>
      </c>
      <c r="F82" s="5" t="n">
        <v>5454.76829131461</v>
      </c>
      <c r="G82" s="8" t="n">
        <v>73.5239386166125</v>
      </c>
    </row>
    <row r="83" customFormat="false" ht="14.35" hidden="false" customHeight="false" outlineLevel="0" collapsed="false">
      <c r="A83" s="4" t="n">
        <v>10258</v>
      </c>
      <c r="B83" s="5" t="n">
        <v>1700</v>
      </c>
      <c r="C83" s="6" t="n">
        <v>1700</v>
      </c>
      <c r="D83" s="7" t="n">
        <v>800</v>
      </c>
      <c r="E83" s="6" t="n">
        <v>1721.16305695526</v>
      </c>
      <c r="F83" s="5" t="n">
        <v>19083.9241132368</v>
      </c>
      <c r="G83" s="8" t="n">
        <v>80.3470452551654</v>
      </c>
    </row>
    <row r="84" customFormat="false" ht="14.35" hidden="false" customHeight="false" outlineLevel="0" collapsed="false">
      <c r="A84" s="4" t="n">
        <v>10287</v>
      </c>
      <c r="B84" s="5" t="n">
        <v>3732.89315394379</v>
      </c>
      <c r="C84" s="6" t="n">
        <v>1700</v>
      </c>
      <c r="D84" s="7" t="n">
        <v>800</v>
      </c>
      <c r="E84" s="6" t="n">
        <v>1870.41137249755</v>
      </c>
      <c r="F84" s="5" t="n">
        <v>23751.5432905812</v>
      </c>
      <c r="G84" s="8" t="n">
        <v>72.9839768662498</v>
      </c>
    </row>
    <row r="85" customFormat="false" ht="14.35" hidden="false" customHeight="false" outlineLevel="0" collapsed="false">
      <c r="A85" s="4" t="n">
        <v>10318</v>
      </c>
      <c r="B85" s="5" t="n">
        <v>4843.97382655866</v>
      </c>
      <c r="C85" s="6" t="n">
        <v>1700</v>
      </c>
      <c r="D85" s="7" t="n">
        <v>800</v>
      </c>
      <c r="E85" s="6" t="n">
        <v>2797</v>
      </c>
      <c r="F85" s="5" t="n">
        <v>75712.2490009468</v>
      </c>
      <c r="G85" s="8" t="n">
        <v>68.8931867504624</v>
      </c>
    </row>
    <row r="86" customFormat="false" ht="14.35" hidden="false" customHeight="false" outlineLevel="0" collapsed="false">
      <c r="A86" s="4" t="n">
        <v>10348</v>
      </c>
      <c r="B86" s="5" t="n">
        <v>1000</v>
      </c>
      <c r="C86" s="6" t="n">
        <v>1000</v>
      </c>
      <c r="D86" s="7" t="n">
        <v>700</v>
      </c>
      <c r="E86" s="6" t="n">
        <v>3232.84205304594</v>
      </c>
      <c r="F86" s="5" t="n">
        <v>30764.625018482</v>
      </c>
      <c r="G86" s="8" t="n">
        <v>58.6659041237824</v>
      </c>
    </row>
    <row r="87" customFormat="false" ht="14.35" hidden="false" customHeight="false" outlineLevel="0" collapsed="false">
      <c r="A87" s="4" t="n">
        <v>10379</v>
      </c>
      <c r="B87" s="5" t="n">
        <v>1000</v>
      </c>
      <c r="C87" s="6" t="n">
        <v>1000</v>
      </c>
      <c r="D87" s="7" t="n">
        <v>700</v>
      </c>
      <c r="E87" s="6" t="n">
        <v>3360.439583843</v>
      </c>
      <c r="F87" s="5" t="n">
        <v>11405.2156653795</v>
      </c>
      <c r="G87" s="8" t="n">
        <v>62.2165721735676</v>
      </c>
    </row>
    <row r="88" customFormat="false" ht="14.35" hidden="false" customHeight="false" outlineLevel="0" collapsed="false">
      <c r="A88" s="4" t="n">
        <v>10409</v>
      </c>
      <c r="B88" s="5" t="n">
        <v>3463.25724535071</v>
      </c>
      <c r="C88" s="6" t="n">
        <v>1000</v>
      </c>
      <c r="D88" s="7" t="n">
        <v>700</v>
      </c>
      <c r="E88" s="6" t="n">
        <v>3159.73483269831</v>
      </c>
      <c r="F88" s="5" t="n">
        <v>7911.03814778397</v>
      </c>
      <c r="G88" s="8" t="n">
        <v>70.9867155495555</v>
      </c>
    </row>
    <row r="89" customFormat="false" ht="14.35" hidden="false" customHeight="false" outlineLevel="0" collapsed="false">
      <c r="A89" s="4" t="n">
        <v>10440</v>
      </c>
      <c r="B89" s="5" t="n">
        <v>9483.1251105978</v>
      </c>
      <c r="C89" s="6" t="n">
        <v>1000</v>
      </c>
      <c r="D89" s="7" t="n">
        <v>700</v>
      </c>
      <c r="E89" s="6" t="n">
        <v>2564.7421537636</v>
      </c>
      <c r="F89" s="5" t="n">
        <v>10838.2781292557</v>
      </c>
      <c r="G89" s="8" t="n">
        <v>76.6656244575995</v>
      </c>
    </row>
    <row r="90" customFormat="false" ht="14.35" hidden="false" customHeight="false" outlineLevel="0" collapsed="false">
      <c r="A90" s="4" t="n">
        <v>10471</v>
      </c>
      <c r="B90" s="5" t="n">
        <v>8221.99595556094</v>
      </c>
      <c r="C90" s="6" t="n">
        <v>1000</v>
      </c>
      <c r="D90" s="7" t="n">
        <v>700</v>
      </c>
      <c r="E90" s="6" t="n">
        <v>2044.31247932933</v>
      </c>
      <c r="F90" s="5" t="n">
        <v>4000</v>
      </c>
      <c r="G90" s="8" t="n">
        <v>76.1139425508375</v>
      </c>
    </row>
    <row r="91" customFormat="false" ht="14.35" hidden="false" customHeight="false" outlineLevel="0" collapsed="false">
      <c r="A91" s="4" t="n">
        <v>10501</v>
      </c>
      <c r="B91" s="5" t="n">
        <v>7560.5900326036</v>
      </c>
      <c r="C91" s="6" t="n">
        <v>1000</v>
      </c>
      <c r="D91" s="7" t="n">
        <v>773.3333333</v>
      </c>
      <c r="E91" s="6" t="n">
        <v>1561.77709133143</v>
      </c>
      <c r="F91" s="5" t="n">
        <v>11406.25</v>
      </c>
      <c r="G91" s="8" t="n">
        <v>83.573791521226</v>
      </c>
    </row>
    <row r="92" customFormat="false" ht="14.35" hidden="false" customHeight="false" outlineLevel="0" collapsed="false">
      <c r="A92" s="4" t="n">
        <v>10532</v>
      </c>
      <c r="B92" s="5" t="n">
        <v>1700</v>
      </c>
      <c r="C92" s="6" t="n">
        <v>1700</v>
      </c>
      <c r="D92" s="7" t="n">
        <v>800</v>
      </c>
      <c r="E92" s="6" t="n">
        <v>1428.00120024666</v>
      </c>
      <c r="F92" s="5" t="n">
        <v>6093.75</v>
      </c>
      <c r="G92" s="8" t="n">
        <v>77.9869169203475</v>
      </c>
    </row>
    <row r="93" customFormat="false" ht="14.35" hidden="false" customHeight="false" outlineLevel="0" collapsed="false">
      <c r="A93" s="4" t="n">
        <v>10562</v>
      </c>
      <c r="B93" s="5" t="n">
        <v>1823.55027872742</v>
      </c>
      <c r="C93" s="6" t="n">
        <v>1700</v>
      </c>
      <c r="D93" s="7" t="n">
        <v>800</v>
      </c>
      <c r="E93" s="6" t="n">
        <v>1283.1341489432</v>
      </c>
      <c r="F93" s="5" t="n">
        <v>10625</v>
      </c>
      <c r="G93" s="8" t="n">
        <v>80.9608975932878</v>
      </c>
    </row>
    <row r="94" customFormat="false" ht="14.35" hidden="false" customHeight="false" outlineLevel="0" collapsed="false">
      <c r="A94" s="4" t="n">
        <v>10593</v>
      </c>
      <c r="B94" s="5" t="n">
        <v>1699.99999999999</v>
      </c>
      <c r="C94" s="6" t="n">
        <v>1700</v>
      </c>
      <c r="D94" s="7" t="n">
        <v>800</v>
      </c>
      <c r="E94" s="6" t="n">
        <v>1205.10446277882</v>
      </c>
      <c r="F94" s="5" t="n">
        <v>4500</v>
      </c>
      <c r="G94" s="8" t="n">
        <v>77.6742764626303</v>
      </c>
    </row>
    <row r="95" customFormat="false" ht="14.35" hidden="false" customHeight="false" outlineLevel="0" collapsed="false">
      <c r="A95" s="4" t="n">
        <v>10624</v>
      </c>
      <c r="B95" s="5" t="n">
        <v>1700</v>
      </c>
      <c r="C95" s="6" t="n">
        <v>1700</v>
      </c>
      <c r="D95" s="7" t="n">
        <v>800</v>
      </c>
      <c r="E95" s="6" t="n">
        <v>1217.6502252882</v>
      </c>
      <c r="F95" s="5" t="n">
        <v>8219.34694025742</v>
      </c>
      <c r="G95" s="8" t="n">
        <v>83.1824269563154</v>
      </c>
    </row>
    <row r="96" customFormat="false" ht="14.35" hidden="false" customHeight="false" outlineLevel="0" collapsed="false">
      <c r="A96" s="4" t="n">
        <v>10652</v>
      </c>
      <c r="B96" s="5" t="n">
        <v>1700</v>
      </c>
      <c r="C96" s="6" t="n">
        <v>1700</v>
      </c>
      <c r="D96" s="7" t="n">
        <v>800</v>
      </c>
      <c r="E96" s="6" t="n">
        <v>1332.39710017593</v>
      </c>
      <c r="F96" s="5" t="n">
        <v>14468.5588745245</v>
      </c>
      <c r="G96" s="8" t="n">
        <v>80.3703209908279</v>
      </c>
    </row>
    <row r="97" customFormat="false" ht="14.35" hidden="false" customHeight="false" outlineLevel="0" collapsed="false">
      <c r="A97" s="4" t="n">
        <v>10683</v>
      </c>
      <c r="B97" s="5" t="n">
        <v>1700</v>
      </c>
      <c r="C97" s="6" t="n">
        <v>1700</v>
      </c>
      <c r="D97" s="7" t="n">
        <v>800</v>
      </c>
      <c r="E97" s="6" t="n">
        <v>1469.7646542117</v>
      </c>
      <c r="F97" s="5" t="n">
        <v>8276.21</v>
      </c>
      <c r="G97" s="8" t="n">
        <v>75.1138851023671</v>
      </c>
    </row>
    <row r="98" customFormat="false" ht="14.35" hidden="false" customHeight="false" outlineLevel="0" collapsed="false">
      <c r="A98" s="4" t="n">
        <v>10713</v>
      </c>
      <c r="B98" s="5" t="n">
        <v>1938.57576970086</v>
      </c>
      <c r="C98" s="6" t="n">
        <v>750</v>
      </c>
      <c r="D98" s="7" t="n">
        <v>700</v>
      </c>
      <c r="E98" s="6" t="n">
        <v>1448.16184324115</v>
      </c>
      <c r="F98" s="5" t="n">
        <v>8784.6288963096</v>
      </c>
      <c r="G98" s="8" t="n">
        <v>77.6726055281499</v>
      </c>
    </row>
    <row r="99" customFormat="false" ht="14.35" hidden="false" customHeight="false" outlineLevel="0" collapsed="false">
      <c r="A99" s="4" t="n">
        <v>10744</v>
      </c>
      <c r="B99" s="5" t="n">
        <v>2590.09159339847</v>
      </c>
      <c r="C99" s="6" t="n">
        <v>750</v>
      </c>
      <c r="D99" s="7" t="n">
        <v>700</v>
      </c>
      <c r="E99" s="6" t="n">
        <v>1413.14440314024</v>
      </c>
      <c r="F99" s="5" t="n">
        <v>7100.00000000015</v>
      </c>
      <c r="G99" s="8" t="n">
        <v>78.0543617362821</v>
      </c>
    </row>
    <row r="100" customFormat="false" ht="14.35" hidden="false" customHeight="false" outlineLevel="0" collapsed="false">
      <c r="A100" s="4" t="n">
        <v>10774</v>
      </c>
      <c r="B100" s="5" t="n">
        <v>3230.51438733272</v>
      </c>
      <c r="C100" s="6" t="n">
        <v>750</v>
      </c>
      <c r="D100" s="7" t="n">
        <v>700</v>
      </c>
      <c r="E100" s="6" t="n">
        <v>1258.07778805493</v>
      </c>
      <c r="F100" s="5" t="n">
        <v>7243.3335</v>
      </c>
      <c r="G100" s="8" t="n">
        <v>79.8115099222614</v>
      </c>
    </row>
    <row r="101" customFormat="false" ht="14.35" hidden="false" customHeight="false" outlineLevel="0" collapsed="false">
      <c r="A101" s="4" t="n">
        <v>10805</v>
      </c>
      <c r="B101" s="5" t="n">
        <v>2996.89444213349</v>
      </c>
      <c r="C101" s="6" t="n">
        <v>750</v>
      </c>
      <c r="D101" s="7" t="n">
        <v>700</v>
      </c>
      <c r="E101" s="6" t="n">
        <v>998.188076532014</v>
      </c>
      <c r="F101" s="5" t="n">
        <v>4000</v>
      </c>
      <c r="G101" s="8" t="n">
        <v>80.2342987523862</v>
      </c>
    </row>
    <row r="102" customFormat="false" ht="14.35" hidden="false" customHeight="false" outlineLevel="0" collapsed="false">
      <c r="A102" s="4" t="n">
        <v>10836</v>
      </c>
      <c r="B102" s="5" t="n">
        <v>2039.80681329411</v>
      </c>
      <c r="C102" s="6" t="n">
        <v>750</v>
      </c>
      <c r="D102" s="7" t="n">
        <v>700</v>
      </c>
      <c r="E102" s="6" t="n">
        <v>831.291071648873</v>
      </c>
      <c r="F102" s="5" t="n">
        <v>3544.37534390416</v>
      </c>
      <c r="G102" s="8" t="n">
        <v>84.9244442840936</v>
      </c>
    </row>
    <row r="103" customFormat="false" ht="14.35" hidden="false" customHeight="false" outlineLevel="0" collapsed="false">
      <c r="A103" s="4" t="n">
        <v>10866</v>
      </c>
      <c r="B103" s="5" t="n">
        <v>773.333333299997</v>
      </c>
      <c r="C103" s="6" t="n">
        <v>750</v>
      </c>
      <c r="D103" s="7" t="n">
        <v>773.3333333</v>
      </c>
      <c r="E103" s="6" t="n">
        <v>803.7096377173</v>
      </c>
      <c r="F103" s="5" t="n">
        <v>3000</v>
      </c>
      <c r="G103" s="8" t="n">
        <v>87.3888570118555</v>
      </c>
    </row>
    <row r="104" customFormat="false" ht="14.35" hidden="false" customHeight="false" outlineLevel="0" collapsed="false">
      <c r="A104" s="4" t="n">
        <v>10897</v>
      </c>
      <c r="B104" s="5" t="n">
        <v>899.999999999994</v>
      </c>
      <c r="C104" s="6" t="n">
        <v>900</v>
      </c>
      <c r="D104" s="7" t="n">
        <v>800</v>
      </c>
      <c r="E104" s="6" t="n">
        <v>775.024453568901</v>
      </c>
      <c r="F104" s="5" t="n">
        <v>3000</v>
      </c>
      <c r="G104" s="8" t="n">
        <v>89.4748771826842</v>
      </c>
    </row>
    <row r="105" customFormat="false" ht="14.35" hidden="false" customHeight="false" outlineLevel="0" collapsed="false">
      <c r="A105" s="4" t="n">
        <v>10927</v>
      </c>
      <c r="B105" s="5" t="n">
        <v>925.628810573894</v>
      </c>
      <c r="C105" s="6" t="n">
        <v>900</v>
      </c>
      <c r="D105" s="7" t="n">
        <v>800</v>
      </c>
      <c r="E105" s="6" t="n">
        <v>761.808756156337</v>
      </c>
      <c r="F105" s="5" t="n">
        <v>3695.77339353655</v>
      </c>
      <c r="G105" s="8" t="n">
        <v>90.1586745946818</v>
      </c>
    </row>
    <row r="106" customFormat="false" ht="14.35" hidden="false" customHeight="false" outlineLevel="0" collapsed="false">
      <c r="A106" s="4" t="n">
        <v>10958</v>
      </c>
      <c r="B106" s="5" t="n">
        <v>3626.82696331766</v>
      </c>
      <c r="C106" s="6" t="n">
        <v>900</v>
      </c>
      <c r="D106" s="7" t="n">
        <v>800</v>
      </c>
      <c r="E106" s="6" t="n">
        <v>1227.20646049251</v>
      </c>
      <c r="F106" s="5" t="n">
        <v>13422.6480428709</v>
      </c>
      <c r="G106" s="8" t="n">
        <v>88.784014376722</v>
      </c>
    </row>
    <row r="107" customFormat="false" ht="14.35" hidden="false" customHeight="false" outlineLevel="0" collapsed="false">
      <c r="A107" s="4" t="n">
        <v>10989</v>
      </c>
      <c r="B107" s="5" t="n">
        <v>900</v>
      </c>
      <c r="C107" s="6" t="n">
        <v>900</v>
      </c>
      <c r="D107" s="7" t="n">
        <v>800</v>
      </c>
      <c r="E107" s="6" t="n">
        <v>1479.22024649</v>
      </c>
      <c r="F107" s="5" t="n">
        <v>17282.8990063436</v>
      </c>
      <c r="G107" s="8" t="n">
        <v>78.4470556360817</v>
      </c>
    </row>
    <row r="108" customFormat="false" ht="14.35" hidden="false" customHeight="false" outlineLevel="0" collapsed="false">
      <c r="A108" s="4" t="n">
        <v>11017</v>
      </c>
      <c r="B108" s="5" t="n">
        <v>3427.13181290596</v>
      </c>
      <c r="C108" s="6" t="n">
        <v>900</v>
      </c>
      <c r="D108" s="7" t="n">
        <v>800</v>
      </c>
      <c r="E108" s="6" t="n">
        <v>1628.15845982716</v>
      </c>
      <c r="F108" s="5" t="n">
        <v>16972.3775953864</v>
      </c>
      <c r="G108" s="8" t="n">
        <v>73.1210119864525</v>
      </c>
    </row>
    <row r="109" customFormat="false" ht="14.35" hidden="false" customHeight="false" outlineLevel="0" collapsed="false">
      <c r="A109" s="4" t="n">
        <v>11048</v>
      </c>
      <c r="B109" s="5" t="n">
        <v>800</v>
      </c>
      <c r="C109" s="6" t="n">
        <v>750</v>
      </c>
      <c r="D109" s="7" t="n">
        <v>800</v>
      </c>
      <c r="E109" s="6" t="n">
        <v>2090.85247902057</v>
      </c>
      <c r="F109" s="5" t="n">
        <v>29130.4838320504</v>
      </c>
      <c r="G109" s="8" t="n">
        <v>71.5141093348432</v>
      </c>
    </row>
    <row r="110" customFormat="false" ht="14.35" hidden="false" customHeight="false" outlineLevel="0" collapsed="false">
      <c r="A110" s="4" t="n">
        <v>11078</v>
      </c>
      <c r="B110" s="5" t="n">
        <v>750</v>
      </c>
      <c r="C110" s="6" t="n">
        <v>750</v>
      </c>
      <c r="D110" s="7" t="n">
        <v>700</v>
      </c>
      <c r="E110" s="6" t="n">
        <v>2433.40905466504</v>
      </c>
      <c r="F110" s="5" t="n">
        <v>13138.2535315122</v>
      </c>
      <c r="G110" s="8" t="n">
        <v>66.8465881712865</v>
      </c>
    </row>
    <row r="111" customFormat="false" ht="14.35" hidden="false" customHeight="false" outlineLevel="0" collapsed="false">
      <c r="A111" s="4" t="n">
        <v>11109</v>
      </c>
      <c r="B111" s="5" t="n">
        <v>750</v>
      </c>
      <c r="C111" s="6" t="n">
        <v>750</v>
      </c>
      <c r="D111" s="7" t="n">
        <v>700</v>
      </c>
      <c r="E111" s="6" t="n">
        <v>2582.03375999621</v>
      </c>
      <c r="F111" s="5" t="n">
        <v>8454.13890112626</v>
      </c>
      <c r="G111" s="8" t="n">
        <v>71.4201222869007</v>
      </c>
    </row>
    <row r="112" customFormat="false" ht="14.35" hidden="false" customHeight="false" outlineLevel="0" collapsed="false">
      <c r="A112" s="4" t="n">
        <v>11139</v>
      </c>
      <c r="B112" s="5" t="n">
        <v>6064.69373443149</v>
      </c>
      <c r="C112" s="6" t="n">
        <v>750</v>
      </c>
      <c r="D112" s="7" t="n">
        <v>700</v>
      </c>
      <c r="E112" s="6" t="n">
        <v>2227.6562827758</v>
      </c>
      <c r="F112" s="5" t="n">
        <v>7100</v>
      </c>
      <c r="G112" s="8" t="n">
        <v>76.2987415464612</v>
      </c>
    </row>
    <row r="113" customFormat="false" ht="14.35" hidden="false" customHeight="false" outlineLevel="0" collapsed="false">
      <c r="A113" s="4" t="n">
        <v>11170</v>
      </c>
      <c r="B113" s="5" t="n">
        <v>9578.75967402054</v>
      </c>
      <c r="C113" s="6" t="n">
        <v>750</v>
      </c>
      <c r="D113" s="7" t="n">
        <v>700</v>
      </c>
      <c r="E113" s="6" t="n">
        <v>1577.7393671054</v>
      </c>
      <c r="F113" s="5" t="n">
        <v>5000</v>
      </c>
      <c r="G113" s="8" t="n">
        <v>79.2360176240383</v>
      </c>
    </row>
    <row r="114" customFormat="false" ht="14.35" hidden="false" customHeight="false" outlineLevel="0" collapsed="false">
      <c r="A114" s="4" t="n">
        <v>11201</v>
      </c>
      <c r="B114" s="5" t="n">
        <v>2130.245460727</v>
      </c>
      <c r="C114" s="6" t="n">
        <v>750</v>
      </c>
      <c r="D114" s="7" t="n">
        <v>700</v>
      </c>
      <c r="E114" s="6" t="n">
        <v>1456.63105315263</v>
      </c>
      <c r="F114" s="5" t="n">
        <v>4397.81306496843</v>
      </c>
      <c r="G114" s="8" t="n">
        <v>82.886746000629</v>
      </c>
    </row>
    <row r="115" customFormat="false" ht="14.35" hidden="false" customHeight="false" outlineLevel="0" collapsed="false">
      <c r="A115" s="4" t="n">
        <v>11231</v>
      </c>
      <c r="B115" s="5" t="n">
        <v>773.333333300057</v>
      </c>
      <c r="C115" s="6" t="n">
        <v>750</v>
      </c>
      <c r="D115" s="7" t="n">
        <v>773.3333333</v>
      </c>
      <c r="E115" s="6" t="n">
        <v>1389.60712586808</v>
      </c>
      <c r="F115" s="5" t="n">
        <v>3000.00000000001</v>
      </c>
      <c r="G115" s="8" t="n">
        <v>85.0671464343047</v>
      </c>
    </row>
    <row r="116" customFormat="false" ht="14.35" hidden="false" customHeight="false" outlineLevel="0" collapsed="false">
      <c r="A116" s="4" t="n">
        <v>11262</v>
      </c>
      <c r="B116" s="5" t="n">
        <v>900</v>
      </c>
      <c r="C116" s="6" t="n">
        <v>900</v>
      </c>
      <c r="D116" s="7" t="n">
        <v>800</v>
      </c>
      <c r="E116" s="6" t="n">
        <v>1268.78840840078</v>
      </c>
      <c r="F116" s="5" t="n">
        <v>4000</v>
      </c>
      <c r="G116" s="8" t="n">
        <v>88.713820455363</v>
      </c>
    </row>
    <row r="117" customFormat="false" ht="14.35" hidden="false" customHeight="false" outlineLevel="0" collapsed="false">
      <c r="A117" s="4" t="n">
        <v>11292</v>
      </c>
      <c r="B117" s="5" t="n">
        <v>900</v>
      </c>
      <c r="C117" s="6" t="n">
        <v>900</v>
      </c>
      <c r="D117" s="7" t="n">
        <v>800</v>
      </c>
      <c r="E117" s="6" t="n">
        <v>1178.36722090178</v>
      </c>
      <c r="F117" s="5" t="n">
        <v>4500</v>
      </c>
      <c r="G117" s="8" t="n">
        <v>87.7040314983295</v>
      </c>
    </row>
    <row r="118" customFormat="false" ht="14.35" hidden="false" customHeight="false" outlineLevel="0" collapsed="false">
      <c r="A118" s="4" t="n">
        <v>11323</v>
      </c>
      <c r="B118" s="5" t="n">
        <v>900</v>
      </c>
      <c r="C118" s="6" t="n">
        <v>900</v>
      </c>
      <c r="D118" s="7" t="n">
        <v>800</v>
      </c>
      <c r="E118" s="6" t="n">
        <v>1119.82804936125</v>
      </c>
      <c r="F118" s="5" t="n">
        <v>4500</v>
      </c>
      <c r="G118" s="8" t="n">
        <v>86.4701806570176</v>
      </c>
    </row>
    <row r="119" customFormat="false" ht="14.35" hidden="false" customHeight="false" outlineLevel="0" collapsed="false">
      <c r="A119" s="4" t="n">
        <v>11354</v>
      </c>
      <c r="B119" s="5" t="n">
        <v>900</v>
      </c>
      <c r="C119" s="6" t="n">
        <v>900</v>
      </c>
      <c r="D119" s="7" t="n">
        <v>800</v>
      </c>
      <c r="E119" s="6" t="n">
        <v>1223.31448988692</v>
      </c>
      <c r="F119" s="5" t="n">
        <v>10203.6581859696</v>
      </c>
      <c r="G119" s="8" t="n">
        <v>86.0657243512356</v>
      </c>
    </row>
    <row r="120" customFormat="false" ht="14.35" hidden="false" customHeight="false" outlineLevel="0" collapsed="false">
      <c r="A120" s="4" t="n">
        <v>11382</v>
      </c>
      <c r="B120" s="5" t="n">
        <v>900</v>
      </c>
      <c r="C120" s="6" t="n">
        <v>900</v>
      </c>
      <c r="D120" s="7" t="n">
        <v>800</v>
      </c>
      <c r="E120" s="6" t="n">
        <v>1348.43655434225</v>
      </c>
      <c r="F120" s="5" t="n">
        <v>9829.44710903166</v>
      </c>
      <c r="G120" s="8" t="n">
        <v>79.657802777703</v>
      </c>
    </row>
    <row r="121" customFormat="false" ht="14.35" hidden="false" customHeight="false" outlineLevel="0" collapsed="false">
      <c r="A121" s="4" t="n">
        <v>11413</v>
      </c>
      <c r="B121" s="5" t="n">
        <v>800</v>
      </c>
      <c r="C121" s="6" t="n">
        <v>750</v>
      </c>
      <c r="D121" s="7" t="n">
        <v>800</v>
      </c>
      <c r="E121" s="6" t="n">
        <v>1541.42525308077</v>
      </c>
      <c r="F121" s="5" t="n">
        <v>7377.4194</v>
      </c>
      <c r="G121" s="8" t="n">
        <v>77.8436893096246</v>
      </c>
    </row>
    <row r="122" customFormat="false" ht="14.35" hidden="false" customHeight="false" outlineLevel="0" collapsed="false">
      <c r="A122" s="4" t="n">
        <v>11443</v>
      </c>
      <c r="B122" s="5" t="n">
        <v>2336.44791969309</v>
      </c>
      <c r="C122" s="6" t="n">
        <v>750</v>
      </c>
      <c r="D122" s="7" t="n">
        <v>700</v>
      </c>
      <c r="E122" s="6" t="n">
        <v>1487.10060012501</v>
      </c>
      <c r="F122" s="5" t="n">
        <v>7816.6665</v>
      </c>
      <c r="G122" s="8" t="n">
        <v>79.4486473996372</v>
      </c>
    </row>
    <row r="123" customFormat="false" ht="14.35" hidden="false" customHeight="false" outlineLevel="0" collapsed="false">
      <c r="A123" s="4" t="n">
        <v>11474</v>
      </c>
      <c r="B123" s="5" t="n">
        <v>1920.51001305255</v>
      </c>
      <c r="C123" s="6" t="n">
        <v>750</v>
      </c>
      <c r="D123" s="7" t="n">
        <v>700</v>
      </c>
      <c r="E123" s="6" t="n">
        <v>1453.46697783273</v>
      </c>
      <c r="F123" s="5" t="n">
        <v>4159.66783635277</v>
      </c>
      <c r="G123" s="8" t="n">
        <v>79.5314356763904</v>
      </c>
    </row>
    <row r="124" customFormat="false" ht="14.35" hidden="false" customHeight="false" outlineLevel="0" collapsed="false">
      <c r="A124" s="4" t="n">
        <v>11504</v>
      </c>
      <c r="B124" s="5" t="n">
        <v>3610.24587777126</v>
      </c>
      <c r="C124" s="6" t="n">
        <v>750</v>
      </c>
      <c r="D124" s="7" t="n">
        <v>700</v>
      </c>
      <c r="E124" s="6" t="n">
        <v>1272.93213405956</v>
      </c>
      <c r="F124" s="5" t="n">
        <v>4000</v>
      </c>
      <c r="G124" s="8" t="n">
        <v>84.3940194048476</v>
      </c>
    </row>
    <row r="125" customFormat="false" ht="14.35" hidden="false" customHeight="false" outlineLevel="0" collapsed="false">
      <c r="A125" s="4" t="n">
        <v>11535</v>
      </c>
      <c r="B125" s="5" t="n">
        <v>4332.08982819401</v>
      </c>
      <c r="C125" s="6" t="n">
        <v>750</v>
      </c>
      <c r="D125" s="7" t="n">
        <v>700</v>
      </c>
      <c r="E125" s="6" t="n">
        <v>986.152497898676</v>
      </c>
      <c r="F125" s="5" t="n">
        <v>4000</v>
      </c>
      <c r="G125" s="8" t="n">
        <v>86.2880007139705</v>
      </c>
    </row>
    <row r="126" customFormat="false" ht="14.35" hidden="false" customHeight="false" outlineLevel="0" collapsed="false">
      <c r="A126" s="4" t="n">
        <v>11566</v>
      </c>
      <c r="B126" s="5" t="n">
        <v>3360.13861157408</v>
      </c>
      <c r="C126" s="6" t="n">
        <v>750</v>
      </c>
      <c r="D126" s="7" t="n">
        <v>700</v>
      </c>
      <c r="E126" s="6" t="n">
        <v>786.14674330977</v>
      </c>
      <c r="F126" s="5" t="n">
        <v>3616.76132486644</v>
      </c>
      <c r="G126" s="8" t="n">
        <v>86.908847787101</v>
      </c>
    </row>
    <row r="127" customFormat="false" ht="14.35" hidden="false" customHeight="false" outlineLevel="0" collapsed="false">
      <c r="A127" s="4" t="n">
        <v>11596</v>
      </c>
      <c r="B127" s="5" t="n">
        <v>1232.60560121714</v>
      </c>
      <c r="C127" s="6" t="n">
        <v>750</v>
      </c>
      <c r="D127" s="7" t="n">
        <v>773.3333333</v>
      </c>
      <c r="E127" s="6" t="n">
        <v>745.949417641923</v>
      </c>
      <c r="F127" s="5" t="n">
        <v>3000</v>
      </c>
      <c r="G127" s="8" t="n">
        <v>87.884374951979</v>
      </c>
    </row>
    <row r="128" customFormat="false" ht="14.35" hidden="false" customHeight="false" outlineLevel="0" collapsed="false">
      <c r="A128" s="4" t="n">
        <v>11627</v>
      </c>
      <c r="B128" s="5" t="n">
        <v>900.000000000001</v>
      </c>
      <c r="C128" s="6" t="n">
        <v>900</v>
      </c>
      <c r="D128" s="7" t="n">
        <v>800</v>
      </c>
      <c r="E128" s="6" t="n">
        <v>730.293330867952</v>
      </c>
      <c r="F128" s="5" t="n">
        <v>3000</v>
      </c>
      <c r="G128" s="8" t="n">
        <v>89.6373079634567</v>
      </c>
    </row>
    <row r="129" customFormat="false" ht="14.35" hidden="false" customHeight="false" outlineLevel="0" collapsed="false">
      <c r="A129" s="4" t="n">
        <v>11657</v>
      </c>
      <c r="B129" s="5" t="n">
        <v>996.462746090844</v>
      </c>
      <c r="C129" s="6" t="n">
        <v>900</v>
      </c>
      <c r="D129" s="7" t="n">
        <v>800</v>
      </c>
      <c r="E129" s="6" t="n">
        <v>738.492945230466</v>
      </c>
      <c r="F129" s="5" t="n">
        <v>3563.18963514786</v>
      </c>
      <c r="G129" s="8" t="n">
        <v>90.211919404619</v>
      </c>
    </row>
    <row r="130" customFormat="false" ht="14.35" hidden="false" customHeight="false" outlineLevel="0" collapsed="false">
      <c r="A130" s="4" t="n">
        <v>11688</v>
      </c>
      <c r="B130" s="5" t="n">
        <v>4303.51201056665</v>
      </c>
      <c r="C130" s="6" t="n">
        <v>900</v>
      </c>
      <c r="D130" s="7" t="n">
        <v>800</v>
      </c>
      <c r="E130" s="6" t="n">
        <v>700.588668169014</v>
      </c>
      <c r="F130" s="5" t="n">
        <v>14606.7595194891</v>
      </c>
      <c r="G130" s="8" t="n">
        <v>89.081509953621</v>
      </c>
    </row>
    <row r="131" customFormat="false" ht="14.35" hidden="false" customHeight="false" outlineLevel="0" collapsed="false">
      <c r="A131" s="4" t="n">
        <v>11719</v>
      </c>
      <c r="B131" s="5" t="n">
        <v>900</v>
      </c>
      <c r="C131" s="6" t="n">
        <v>900</v>
      </c>
      <c r="D131" s="7" t="n">
        <v>800</v>
      </c>
      <c r="E131" s="6" t="n">
        <v>903.314992431888</v>
      </c>
      <c r="F131" s="5" t="n">
        <v>17365.6439859493</v>
      </c>
      <c r="G131" s="8" t="n">
        <v>77.8965429939636</v>
      </c>
    </row>
    <row r="132" customFormat="false" ht="14.35" hidden="false" customHeight="false" outlineLevel="0" collapsed="false">
      <c r="A132" s="4" t="n">
        <v>11748</v>
      </c>
      <c r="B132" s="5" t="n">
        <v>900</v>
      </c>
      <c r="C132" s="6" t="n">
        <v>900</v>
      </c>
      <c r="D132" s="7" t="n">
        <v>800</v>
      </c>
      <c r="E132" s="6" t="n">
        <v>1086.32071869897</v>
      </c>
      <c r="F132" s="5" t="n">
        <v>15740.2659910373</v>
      </c>
      <c r="G132" s="8" t="n">
        <v>72.9039425269912</v>
      </c>
    </row>
    <row r="133" customFormat="false" ht="14.35" hidden="false" customHeight="false" outlineLevel="0" collapsed="false">
      <c r="A133" s="4" t="n">
        <v>11779</v>
      </c>
      <c r="B133" s="5" t="n">
        <v>2371.04930258743</v>
      </c>
      <c r="C133" s="6" t="n">
        <v>750</v>
      </c>
      <c r="D133" s="7" t="n">
        <v>800</v>
      </c>
      <c r="E133" s="6" t="n">
        <v>1386.21724721201</v>
      </c>
      <c r="F133" s="5" t="n">
        <v>10083.407982257</v>
      </c>
      <c r="G133" s="8" t="n">
        <v>72.0206493755927</v>
      </c>
    </row>
    <row r="134" customFormat="false" ht="14.35" hidden="false" customHeight="false" outlineLevel="0" collapsed="false">
      <c r="A134" s="4" t="n">
        <v>11809</v>
      </c>
      <c r="B134" s="5" t="n">
        <v>750.000000000004</v>
      </c>
      <c r="C134" s="6" t="n">
        <v>750</v>
      </c>
      <c r="D134" s="7" t="n">
        <v>700</v>
      </c>
      <c r="E134" s="6" t="n">
        <v>1638.01925017213</v>
      </c>
      <c r="F134" s="5" t="n">
        <v>12655.7305156332</v>
      </c>
      <c r="G134" s="8" t="n">
        <v>75.1446993244606</v>
      </c>
    </row>
    <row r="135" customFormat="false" ht="14.35" hidden="false" customHeight="false" outlineLevel="0" collapsed="false">
      <c r="A135" s="4" t="n">
        <v>11840</v>
      </c>
      <c r="B135" s="5" t="n">
        <v>749.99999999999</v>
      </c>
      <c r="C135" s="6" t="n">
        <v>750</v>
      </c>
      <c r="D135" s="7" t="n">
        <v>700</v>
      </c>
      <c r="E135" s="6" t="n">
        <v>1976.34578399654</v>
      </c>
      <c r="F135" s="5" t="n">
        <v>14268.672950353</v>
      </c>
      <c r="G135" s="8" t="n">
        <v>74.427063029963</v>
      </c>
    </row>
    <row r="136" customFormat="false" ht="14.35" hidden="false" customHeight="false" outlineLevel="0" collapsed="false">
      <c r="A136" s="4" t="n">
        <v>11870</v>
      </c>
      <c r="B136" s="5" t="n">
        <v>2165.973939563</v>
      </c>
      <c r="C136" s="6" t="n">
        <v>750</v>
      </c>
      <c r="D136" s="7" t="n">
        <v>700</v>
      </c>
      <c r="E136" s="6" t="n">
        <v>1947.20867428112</v>
      </c>
      <c r="F136" s="5" t="n">
        <v>9800</v>
      </c>
      <c r="G136" s="8" t="n">
        <v>73.272321009154</v>
      </c>
    </row>
    <row r="137" customFormat="false" ht="14.35" hidden="false" customHeight="false" outlineLevel="0" collapsed="false">
      <c r="A137" s="4" t="n">
        <v>11901</v>
      </c>
      <c r="B137" s="5" t="n">
        <v>6376.08127877228</v>
      </c>
      <c r="C137" s="6" t="n">
        <v>750</v>
      </c>
      <c r="D137" s="7" t="n">
        <v>700</v>
      </c>
      <c r="E137" s="6" t="n">
        <v>1539.74259939414</v>
      </c>
      <c r="F137" s="5" t="n">
        <v>5000.00000000001</v>
      </c>
      <c r="G137" s="8" t="n">
        <v>75.7735265908281</v>
      </c>
    </row>
    <row r="138" customFormat="false" ht="14.35" hidden="false" customHeight="false" outlineLevel="0" collapsed="false">
      <c r="A138" s="4" t="n">
        <v>11932</v>
      </c>
      <c r="B138" s="5" t="n">
        <v>1491.80342339279</v>
      </c>
      <c r="C138" s="6" t="n">
        <v>750</v>
      </c>
      <c r="D138" s="7" t="n">
        <v>700</v>
      </c>
      <c r="E138" s="6" t="n">
        <v>1425.905084077</v>
      </c>
      <c r="F138" s="5" t="n">
        <v>3500.00000000001</v>
      </c>
      <c r="G138" s="8" t="n">
        <v>81.7517414399427</v>
      </c>
    </row>
    <row r="139" customFormat="false" ht="14.35" hidden="false" customHeight="false" outlineLevel="0" collapsed="false">
      <c r="A139" s="4" t="n">
        <v>11962</v>
      </c>
      <c r="B139" s="5" t="n">
        <v>970.359170005355</v>
      </c>
      <c r="C139" s="6" t="n">
        <v>750</v>
      </c>
      <c r="D139" s="7" t="n">
        <v>773.3333333</v>
      </c>
      <c r="E139" s="6" t="n">
        <v>1342.1957119362</v>
      </c>
      <c r="F139" s="5" t="n">
        <v>3000</v>
      </c>
      <c r="G139" s="8" t="n">
        <v>86.4454198612308</v>
      </c>
    </row>
    <row r="140" customFormat="false" ht="14.35" hidden="false" customHeight="false" outlineLevel="0" collapsed="false">
      <c r="A140" s="4" t="n">
        <v>11993</v>
      </c>
      <c r="B140" s="5" t="n">
        <v>900.000000000007</v>
      </c>
      <c r="C140" s="6" t="n">
        <v>900</v>
      </c>
      <c r="D140" s="7" t="n">
        <v>800</v>
      </c>
      <c r="E140" s="6" t="n">
        <v>1215.75659473144</v>
      </c>
      <c r="F140" s="5" t="n">
        <v>4000</v>
      </c>
      <c r="G140" s="8" t="n">
        <v>89.1656184847094</v>
      </c>
    </row>
    <row r="141" customFormat="false" ht="14.35" hidden="false" customHeight="false" outlineLevel="0" collapsed="false">
      <c r="A141" s="4" t="n">
        <v>12023</v>
      </c>
      <c r="B141" s="5" t="n">
        <v>1178.1961819729</v>
      </c>
      <c r="C141" s="6" t="n">
        <v>900</v>
      </c>
      <c r="D141" s="7" t="n">
        <v>800</v>
      </c>
      <c r="E141" s="6" t="n">
        <v>1080.82972829574</v>
      </c>
      <c r="F141" s="5" t="n">
        <v>4500</v>
      </c>
      <c r="G141" s="8" t="n">
        <v>87.8521308923492</v>
      </c>
    </row>
    <row r="142" customFormat="false" ht="14.35" hidden="false" customHeight="false" outlineLevel="0" collapsed="false">
      <c r="A142" s="4" t="n">
        <v>12054</v>
      </c>
      <c r="B142" s="5" t="n">
        <v>900</v>
      </c>
      <c r="C142" s="6" t="n">
        <v>900</v>
      </c>
      <c r="D142" s="7" t="n">
        <v>800</v>
      </c>
      <c r="E142" s="6" t="n">
        <v>1031.02279706268</v>
      </c>
      <c r="F142" s="5" t="n">
        <v>4500</v>
      </c>
      <c r="G142" s="8" t="n">
        <v>86.5187276383773</v>
      </c>
    </row>
    <row r="143" customFormat="false" ht="14.35" hidden="false" customHeight="false" outlineLevel="0" collapsed="false">
      <c r="A143" s="4" t="n">
        <v>12085</v>
      </c>
      <c r="B143" s="5" t="n">
        <v>900</v>
      </c>
      <c r="C143" s="6" t="n">
        <v>900</v>
      </c>
      <c r="D143" s="7" t="n">
        <v>800</v>
      </c>
      <c r="E143" s="6" t="n">
        <v>1102.95066436654</v>
      </c>
      <c r="F143" s="5" t="n">
        <v>11482.0222964538</v>
      </c>
      <c r="G143" s="8" t="n">
        <v>86.0816380517253</v>
      </c>
    </row>
    <row r="144" customFormat="false" ht="14.35" hidden="false" customHeight="false" outlineLevel="0" collapsed="false">
      <c r="A144" s="4" t="n">
        <v>12113</v>
      </c>
      <c r="B144" s="5" t="n">
        <v>900</v>
      </c>
      <c r="C144" s="6" t="n">
        <v>900</v>
      </c>
      <c r="D144" s="7" t="n">
        <v>800</v>
      </c>
      <c r="E144" s="6" t="n">
        <v>1190.3675521451</v>
      </c>
      <c r="F144" s="5" t="n">
        <v>10140.0666613077</v>
      </c>
      <c r="G144" s="8" t="n">
        <v>78.7582364427409</v>
      </c>
    </row>
    <row r="145" customFormat="false" ht="14.35" hidden="false" customHeight="false" outlineLevel="0" collapsed="false">
      <c r="A145" s="4" t="n">
        <v>12144</v>
      </c>
      <c r="B145" s="5" t="n">
        <v>4809.19732033547</v>
      </c>
      <c r="C145" s="6" t="n">
        <v>750</v>
      </c>
      <c r="D145" s="7" t="n">
        <v>800</v>
      </c>
      <c r="E145" s="6" t="n">
        <v>1149.71393956111</v>
      </c>
      <c r="F145" s="5" t="n">
        <v>10208.5848906546</v>
      </c>
      <c r="G145" s="8" t="n">
        <v>77.3103296080106</v>
      </c>
    </row>
    <row r="146" customFormat="false" ht="14.35" hidden="false" customHeight="false" outlineLevel="0" collapsed="false">
      <c r="A146" s="4" t="n">
        <v>12174</v>
      </c>
      <c r="B146" s="5" t="n">
        <v>750</v>
      </c>
      <c r="C146" s="6" t="n">
        <v>750</v>
      </c>
      <c r="D146" s="7" t="n">
        <v>700</v>
      </c>
      <c r="E146" s="6" t="n">
        <v>1221.95480186181</v>
      </c>
      <c r="F146" s="5" t="n">
        <v>9878.6166291534</v>
      </c>
      <c r="G146" s="8" t="n">
        <v>76.7840841840638</v>
      </c>
    </row>
    <row r="147" customFormat="false" ht="14.35" hidden="false" customHeight="false" outlineLevel="0" collapsed="false">
      <c r="A147" s="4" t="n">
        <v>12205</v>
      </c>
      <c r="B147" s="5" t="n">
        <v>2295.50121837601</v>
      </c>
      <c r="C147" s="6" t="n">
        <v>750</v>
      </c>
      <c r="D147" s="7" t="n">
        <v>700</v>
      </c>
      <c r="E147" s="6" t="n">
        <v>1265.89261362938</v>
      </c>
      <c r="F147" s="5" t="n">
        <v>7617.75104374749</v>
      </c>
      <c r="G147" s="8" t="n">
        <v>76.8634360729244</v>
      </c>
    </row>
    <row r="148" customFormat="false" ht="14.35" hidden="false" customHeight="false" outlineLevel="0" collapsed="false">
      <c r="A148" s="4" t="n">
        <v>12235</v>
      </c>
      <c r="B148" s="5" t="n">
        <v>2715.53249281935</v>
      </c>
      <c r="C148" s="6" t="n">
        <v>750</v>
      </c>
      <c r="D148" s="7" t="n">
        <v>700</v>
      </c>
      <c r="E148" s="6" t="n">
        <v>1170.10176522687</v>
      </c>
      <c r="F148" s="5" t="n">
        <v>7243.3335</v>
      </c>
      <c r="G148" s="8" t="n">
        <v>78.8815917598013</v>
      </c>
    </row>
    <row r="149" customFormat="false" ht="14.35" hidden="false" customHeight="false" outlineLevel="0" collapsed="false">
      <c r="A149" s="4" t="n">
        <v>12266</v>
      </c>
      <c r="B149" s="5" t="n">
        <v>3109.30517367239</v>
      </c>
      <c r="C149" s="6" t="n">
        <v>750</v>
      </c>
      <c r="D149" s="7" t="n">
        <v>700</v>
      </c>
      <c r="E149" s="6" t="n">
        <v>911.978856137166</v>
      </c>
      <c r="F149" s="5" t="n">
        <v>4000</v>
      </c>
      <c r="G149" s="8" t="n">
        <v>79.9294715787317</v>
      </c>
    </row>
    <row r="150" customFormat="false" ht="14.35" hidden="false" customHeight="false" outlineLevel="0" collapsed="false">
      <c r="A150" s="4" t="n">
        <v>12297</v>
      </c>
      <c r="B150" s="5" t="n">
        <v>1971.23607310444</v>
      </c>
      <c r="C150" s="6" t="n">
        <v>750</v>
      </c>
      <c r="D150" s="7" t="n">
        <v>700</v>
      </c>
      <c r="E150" s="6" t="n">
        <v>750.835756475864</v>
      </c>
      <c r="F150" s="5" t="n">
        <v>3000</v>
      </c>
      <c r="G150" s="8" t="n">
        <v>84.8245219365697</v>
      </c>
    </row>
    <row r="151" customFormat="false" ht="14.35" hidden="false" customHeight="false" outlineLevel="0" collapsed="false">
      <c r="A151" s="4" t="n">
        <v>12327</v>
      </c>
      <c r="B151" s="5" t="n">
        <v>773.434471169754</v>
      </c>
      <c r="C151" s="6" t="n">
        <v>750</v>
      </c>
      <c r="D151" s="7" t="n">
        <v>773.3333333</v>
      </c>
      <c r="E151" s="6" t="n">
        <v>719.55720024103</v>
      </c>
      <c r="F151" s="5" t="n">
        <v>3000</v>
      </c>
      <c r="G151" s="8" t="n">
        <v>88.6342881450055</v>
      </c>
    </row>
    <row r="152" customFormat="false" ht="14.35" hidden="false" customHeight="false" outlineLevel="0" collapsed="false">
      <c r="A152" s="4" t="n">
        <v>12358</v>
      </c>
      <c r="B152" s="5" t="n">
        <v>900</v>
      </c>
      <c r="C152" s="6" t="n">
        <v>900</v>
      </c>
      <c r="D152" s="7" t="n">
        <v>800</v>
      </c>
      <c r="E152" s="6" t="n">
        <v>699.772146712328</v>
      </c>
      <c r="F152" s="5" t="n">
        <v>3000.00000000001</v>
      </c>
      <c r="G152" s="8" t="n">
        <v>89.8831295081308</v>
      </c>
    </row>
    <row r="153" customFormat="false" ht="14.35" hidden="false" customHeight="false" outlineLevel="0" collapsed="false">
      <c r="A153" s="4" t="n">
        <v>12388</v>
      </c>
      <c r="B153" s="5" t="n">
        <v>900.000000000005</v>
      </c>
      <c r="C153" s="6" t="n">
        <v>900</v>
      </c>
      <c r="D153" s="7" t="n">
        <v>800</v>
      </c>
      <c r="E153" s="6" t="n">
        <v>696.716722154347</v>
      </c>
      <c r="F153" s="5" t="n">
        <v>4199.57538658357</v>
      </c>
      <c r="G153" s="8" t="n">
        <v>90.2924997069632</v>
      </c>
    </row>
    <row r="154" customFormat="false" ht="14.35" hidden="false" customHeight="false" outlineLevel="0" collapsed="false">
      <c r="A154" s="4" t="n">
        <v>12419</v>
      </c>
      <c r="B154" s="5" t="n">
        <v>2777.28446869846</v>
      </c>
      <c r="C154" s="6" t="n">
        <v>900</v>
      </c>
      <c r="D154" s="7" t="n">
        <v>800</v>
      </c>
      <c r="E154" s="6" t="n">
        <v>688.918940440361</v>
      </c>
      <c r="F154" s="5" t="n">
        <v>9968.21241177701</v>
      </c>
      <c r="G154" s="8" t="n">
        <v>87.8483064171678</v>
      </c>
    </row>
    <row r="155" customFormat="false" ht="14.35" hidden="false" customHeight="false" outlineLevel="0" collapsed="false">
      <c r="A155" s="4" t="n">
        <v>12450</v>
      </c>
      <c r="B155" s="5" t="n">
        <v>900</v>
      </c>
      <c r="C155" s="6" t="n">
        <v>900</v>
      </c>
      <c r="D155" s="7" t="n">
        <v>800</v>
      </c>
      <c r="E155" s="6" t="n">
        <v>911.861744511724</v>
      </c>
      <c r="F155" s="5" t="n">
        <v>15198.4440204266</v>
      </c>
      <c r="G155" s="8" t="n">
        <v>80.4210797852315</v>
      </c>
    </row>
    <row r="156" customFormat="false" ht="14.35" hidden="false" customHeight="false" outlineLevel="0" collapsed="false">
      <c r="A156" s="4" t="n">
        <v>12478</v>
      </c>
      <c r="B156" s="5" t="n">
        <v>3244.86018306398</v>
      </c>
      <c r="C156" s="6" t="n">
        <v>900</v>
      </c>
      <c r="D156" s="7" t="n">
        <v>800</v>
      </c>
      <c r="E156" s="6" t="n">
        <v>1025.27748255256</v>
      </c>
      <c r="F156" s="5" t="n">
        <v>13030.9208884913</v>
      </c>
      <c r="G156" s="8" t="n">
        <v>74.7532753406505</v>
      </c>
    </row>
    <row r="157" customFormat="false" ht="14.35" hidden="false" customHeight="false" outlineLevel="0" collapsed="false">
      <c r="A157" s="4" t="n">
        <v>12509</v>
      </c>
      <c r="B157" s="5" t="n">
        <v>800</v>
      </c>
      <c r="C157" s="6" t="n">
        <v>750</v>
      </c>
      <c r="D157" s="7" t="n">
        <v>800</v>
      </c>
      <c r="E157" s="6" t="n">
        <v>1295.88623948268</v>
      </c>
      <c r="F157" s="5" t="n">
        <v>11250</v>
      </c>
      <c r="G157" s="8" t="n">
        <v>74.0748129975486</v>
      </c>
    </row>
    <row r="158" customFormat="false" ht="14.35" hidden="false" customHeight="false" outlineLevel="0" collapsed="false">
      <c r="A158" s="4" t="n">
        <v>12539</v>
      </c>
      <c r="B158" s="5" t="n">
        <v>1014.48657224732</v>
      </c>
      <c r="C158" s="6" t="n">
        <v>750</v>
      </c>
      <c r="D158" s="7" t="n">
        <v>700</v>
      </c>
      <c r="E158" s="6" t="n">
        <v>1385.05482806972</v>
      </c>
      <c r="F158" s="5" t="n">
        <v>9673.333</v>
      </c>
      <c r="G158" s="8" t="n">
        <v>74.9788816794002</v>
      </c>
    </row>
    <row r="159" customFormat="false" ht="14.35" hidden="false" customHeight="false" outlineLevel="0" collapsed="false">
      <c r="A159" s="4" t="n">
        <v>12570</v>
      </c>
      <c r="B159" s="5" t="n">
        <v>3840.64724263324</v>
      </c>
      <c r="C159" s="6" t="n">
        <v>750</v>
      </c>
      <c r="D159" s="7" t="n">
        <v>700</v>
      </c>
      <c r="E159" s="6" t="n">
        <v>1234.78423408909</v>
      </c>
      <c r="F159" s="5" t="n">
        <v>7031.25</v>
      </c>
      <c r="G159" s="8" t="n">
        <v>76.4326585714526</v>
      </c>
    </row>
    <row r="160" customFormat="false" ht="14.35" hidden="false" customHeight="false" outlineLevel="0" collapsed="false">
      <c r="A160" s="4" t="n">
        <v>12600</v>
      </c>
      <c r="B160" s="5" t="n">
        <v>4956.31586848195</v>
      </c>
      <c r="C160" s="6" t="n">
        <v>750</v>
      </c>
      <c r="D160" s="7" t="n">
        <v>700</v>
      </c>
      <c r="E160" s="6" t="n">
        <v>965.884606367838</v>
      </c>
      <c r="F160" s="5" t="n">
        <v>7100</v>
      </c>
      <c r="G160" s="8" t="n">
        <v>79.354501152403</v>
      </c>
    </row>
    <row r="161" customFormat="false" ht="14.35" hidden="false" customHeight="false" outlineLevel="0" collapsed="false">
      <c r="A161" s="4" t="n">
        <v>12631</v>
      </c>
      <c r="B161" s="5" t="n">
        <v>4196.32471704624</v>
      </c>
      <c r="C161" s="6" t="n">
        <v>750</v>
      </c>
      <c r="D161" s="7" t="n">
        <v>700</v>
      </c>
      <c r="E161" s="6" t="n">
        <v>691.384214465099</v>
      </c>
      <c r="F161" s="5" t="n">
        <v>4000</v>
      </c>
      <c r="G161" s="8" t="n">
        <v>80.237695622866</v>
      </c>
    </row>
    <row r="162" customFormat="false" ht="14.35" hidden="false" customHeight="false" outlineLevel="0" collapsed="false">
      <c r="A162" s="4" t="n">
        <v>12662</v>
      </c>
      <c r="B162" s="5" t="n">
        <v>2809.87461341057</v>
      </c>
      <c r="C162" s="6" t="n">
        <v>750</v>
      </c>
      <c r="D162" s="7" t="n">
        <v>700</v>
      </c>
      <c r="E162" s="6" t="n">
        <v>530.592542282222</v>
      </c>
      <c r="F162" s="5" t="n">
        <v>3000</v>
      </c>
      <c r="G162" s="8" t="n">
        <v>84.9255577782369</v>
      </c>
    </row>
    <row r="163" customFormat="false" ht="14.35" hidden="false" customHeight="false" outlineLevel="0" collapsed="false">
      <c r="A163" s="4" t="n">
        <v>12692</v>
      </c>
      <c r="B163" s="5" t="n">
        <v>1378.2347687381</v>
      </c>
      <c r="C163" s="6" t="n">
        <v>750</v>
      </c>
      <c r="D163" s="7" t="n">
        <v>773.3333333</v>
      </c>
      <c r="E163" s="6" t="n">
        <v>487.834669479053</v>
      </c>
      <c r="F163" s="5" t="n">
        <v>3000</v>
      </c>
      <c r="G163" s="8" t="n">
        <v>88.667407693904</v>
      </c>
    </row>
    <row r="164" customFormat="false" ht="14.35" hidden="false" customHeight="false" outlineLevel="0" collapsed="false">
      <c r="A164" s="4" t="n">
        <v>12723</v>
      </c>
      <c r="B164" s="5" t="n">
        <v>1031.26332516638</v>
      </c>
      <c r="C164" s="6" t="n">
        <v>900</v>
      </c>
      <c r="D164" s="7" t="n">
        <v>800</v>
      </c>
      <c r="E164" s="6" t="n">
        <v>470.468838223945</v>
      </c>
      <c r="F164" s="5" t="n">
        <v>3221.77804206647</v>
      </c>
      <c r="G164" s="8" t="n">
        <v>89.8939860962597</v>
      </c>
    </row>
    <row r="165" customFormat="false" ht="14.35" hidden="false" customHeight="false" outlineLevel="0" collapsed="false">
      <c r="A165" s="4" t="n">
        <v>12753</v>
      </c>
      <c r="B165" s="5" t="n">
        <v>900</v>
      </c>
      <c r="C165" s="6" t="n">
        <v>900</v>
      </c>
      <c r="D165" s="7" t="n">
        <v>800</v>
      </c>
      <c r="E165" s="6" t="n">
        <v>519.933837126587</v>
      </c>
      <c r="F165" s="5" t="n">
        <v>6151.54440714072</v>
      </c>
      <c r="G165" s="8" t="n">
        <v>89.7493609975933</v>
      </c>
    </row>
    <row r="166" customFormat="false" ht="14.35" hidden="false" customHeight="false" outlineLevel="0" collapsed="false">
      <c r="A166" s="4" t="n">
        <v>12784</v>
      </c>
      <c r="B166" s="5" t="n">
        <v>900</v>
      </c>
      <c r="C166" s="6" t="n">
        <v>900</v>
      </c>
      <c r="D166" s="7" t="n">
        <v>800</v>
      </c>
      <c r="E166" s="6" t="n">
        <v>583.30191747237</v>
      </c>
      <c r="F166" s="5" t="n">
        <v>3864.9253672479</v>
      </c>
      <c r="G166" s="8" t="n">
        <v>84.7442700498407</v>
      </c>
    </row>
    <row r="167" customFormat="false" ht="14.35" hidden="false" customHeight="false" outlineLevel="0" collapsed="false">
      <c r="A167" s="4" t="n">
        <v>12815</v>
      </c>
      <c r="B167" s="5" t="n">
        <v>900</v>
      </c>
      <c r="C167" s="6" t="n">
        <v>900</v>
      </c>
      <c r="D167" s="7" t="n">
        <v>800</v>
      </c>
      <c r="E167" s="6" t="n">
        <v>814.70218374609</v>
      </c>
      <c r="F167" s="5" t="n">
        <v>29248.9413537956</v>
      </c>
      <c r="G167" s="8" t="n">
        <v>86.6661310956854</v>
      </c>
    </row>
    <row r="168" customFormat="false" ht="14.35" hidden="false" customHeight="false" outlineLevel="0" collapsed="false">
      <c r="A168" s="4" t="n">
        <v>12843</v>
      </c>
      <c r="B168" s="5" t="n">
        <v>971.850821906195</v>
      </c>
      <c r="C168" s="6" t="n">
        <v>900</v>
      </c>
      <c r="D168" s="7" t="n">
        <v>800</v>
      </c>
      <c r="E168" s="6" t="n">
        <v>1005.84031801434</v>
      </c>
      <c r="F168" s="5" t="n">
        <v>10947.0080805653</v>
      </c>
      <c r="G168" s="8" t="n">
        <v>71.7823135956714</v>
      </c>
    </row>
    <row r="169" customFormat="false" ht="14.35" hidden="false" customHeight="false" outlineLevel="0" collapsed="false">
      <c r="A169" s="4" t="n">
        <v>12874</v>
      </c>
      <c r="B169" s="5" t="n">
        <v>800</v>
      </c>
      <c r="C169" s="6" t="n">
        <v>750</v>
      </c>
      <c r="D169" s="7" t="n">
        <v>800</v>
      </c>
      <c r="E169" s="6" t="n">
        <v>1277.46380219109</v>
      </c>
      <c r="F169" s="5" t="n">
        <v>25140.9369899227</v>
      </c>
      <c r="G169" s="8" t="n">
        <v>74.4366779043096</v>
      </c>
    </row>
    <row r="170" customFormat="false" ht="14.35" hidden="false" customHeight="false" outlineLevel="0" collapsed="false">
      <c r="A170" s="4" t="n">
        <v>12904</v>
      </c>
      <c r="B170" s="5" t="n">
        <v>1000</v>
      </c>
      <c r="C170" s="6" t="n">
        <v>1000</v>
      </c>
      <c r="D170" s="7" t="n">
        <v>700</v>
      </c>
      <c r="E170" s="6" t="n">
        <v>2252.41651999075</v>
      </c>
      <c r="F170" s="5" t="n">
        <v>55926.5396022668</v>
      </c>
      <c r="G170" s="8" t="n">
        <v>68.9336102553431</v>
      </c>
    </row>
    <row r="171" customFormat="false" ht="14.35" hidden="false" customHeight="false" outlineLevel="0" collapsed="false">
      <c r="A171" s="4" t="n">
        <v>12935</v>
      </c>
      <c r="B171" s="5" t="n">
        <v>1000</v>
      </c>
      <c r="C171" s="6" t="n">
        <v>1000</v>
      </c>
      <c r="D171" s="7" t="n">
        <v>700</v>
      </c>
      <c r="E171" s="6" t="n">
        <v>2736.23365630611</v>
      </c>
      <c r="F171" s="5" t="n">
        <v>20845.7433533355</v>
      </c>
      <c r="G171" s="8" t="n">
        <v>61.0009806483756</v>
      </c>
    </row>
    <row r="172" customFormat="false" ht="14.35" hidden="false" customHeight="false" outlineLevel="0" collapsed="false">
      <c r="A172" s="4" t="n">
        <v>12965</v>
      </c>
      <c r="B172" s="5" t="n">
        <v>2152.08851470146</v>
      </c>
      <c r="C172" s="6" t="n">
        <v>1000</v>
      </c>
      <c r="D172" s="7" t="n">
        <v>700</v>
      </c>
      <c r="E172" s="6" t="n">
        <v>2722.65325289135</v>
      </c>
      <c r="F172" s="5" t="n">
        <v>8171.25</v>
      </c>
      <c r="G172" s="8" t="n">
        <v>65.9654645838007</v>
      </c>
    </row>
    <row r="173" customFormat="false" ht="14.35" hidden="false" customHeight="false" outlineLevel="0" collapsed="false">
      <c r="A173" s="4" t="n">
        <v>12996</v>
      </c>
      <c r="B173" s="5" t="n">
        <v>8194.40785203873</v>
      </c>
      <c r="C173" s="6" t="n">
        <v>1000</v>
      </c>
      <c r="D173" s="7" t="n">
        <v>700</v>
      </c>
      <c r="E173" s="6" t="n">
        <v>2151.56595699691</v>
      </c>
      <c r="F173" s="5" t="n">
        <v>6500</v>
      </c>
      <c r="G173" s="8" t="n">
        <v>74.7715873013292</v>
      </c>
    </row>
    <row r="174" customFormat="false" ht="14.35" hidden="false" customHeight="false" outlineLevel="0" collapsed="false">
      <c r="A174" s="4" t="n">
        <v>13027</v>
      </c>
      <c r="B174" s="5" t="n">
        <v>7792.23568642189</v>
      </c>
      <c r="C174" s="6" t="n">
        <v>1000</v>
      </c>
      <c r="D174" s="7" t="n">
        <v>700</v>
      </c>
      <c r="E174" s="6" t="n">
        <v>1635.2790008773</v>
      </c>
      <c r="F174" s="5" t="n">
        <v>4000</v>
      </c>
      <c r="G174" s="8" t="n">
        <v>79.4122055726293</v>
      </c>
    </row>
    <row r="175" customFormat="false" ht="14.35" hidden="false" customHeight="false" outlineLevel="0" collapsed="false">
      <c r="A175" s="4" t="n">
        <v>13057</v>
      </c>
      <c r="B175" s="5" t="n">
        <v>1498.41578311714</v>
      </c>
      <c r="C175" s="6" t="n">
        <v>1000</v>
      </c>
      <c r="D175" s="7" t="n">
        <v>773.3333333</v>
      </c>
      <c r="E175" s="6" t="n">
        <v>1543.18647468364</v>
      </c>
      <c r="F175" s="5" t="n">
        <v>3000</v>
      </c>
      <c r="G175" s="8" t="n">
        <v>84.6549621397694</v>
      </c>
    </row>
    <row r="176" customFormat="false" ht="14.35" hidden="false" customHeight="false" outlineLevel="0" collapsed="false">
      <c r="A176" s="4" t="n">
        <v>13088</v>
      </c>
      <c r="B176" s="5" t="n">
        <v>1700</v>
      </c>
      <c r="C176" s="6" t="n">
        <v>1700</v>
      </c>
      <c r="D176" s="7" t="n">
        <v>800</v>
      </c>
      <c r="E176" s="6" t="n">
        <v>1388.03276395322</v>
      </c>
      <c r="F176" s="5" t="n">
        <v>4000</v>
      </c>
      <c r="G176" s="8" t="n">
        <v>88.5787064436144</v>
      </c>
    </row>
    <row r="177" customFormat="false" ht="14.35" hidden="false" customHeight="false" outlineLevel="0" collapsed="false">
      <c r="A177" s="4" t="n">
        <v>13118</v>
      </c>
      <c r="B177" s="5" t="n">
        <v>1700</v>
      </c>
      <c r="C177" s="6" t="n">
        <v>1700</v>
      </c>
      <c r="D177" s="7" t="n">
        <v>800</v>
      </c>
      <c r="E177" s="6" t="n">
        <v>1235.13951141917</v>
      </c>
      <c r="F177" s="5" t="n">
        <v>4500</v>
      </c>
      <c r="G177" s="8" t="n">
        <v>87.6597411252783</v>
      </c>
    </row>
    <row r="178" customFormat="false" ht="14.35" hidden="false" customHeight="false" outlineLevel="0" collapsed="false">
      <c r="A178" s="4" t="n">
        <v>13149</v>
      </c>
      <c r="B178" s="5" t="n">
        <v>1700</v>
      </c>
      <c r="C178" s="6" t="n">
        <v>1700</v>
      </c>
      <c r="D178" s="7" t="n">
        <v>800</v>
      </c>
      <c r="E178" s="6" t="n">
        <v>1148.39814946932</v>
      </c>
      <c r="F178" s="5" t="n">
        <v>4500</v>
      </c>
      <c r="G178" s="8" t="n">
        <v>86.4556622727314</v>
      </c>
    </row>
    <row r="179" customFormat="false" ht="14.35" hidden="false" customHeight="false" outlineLevel="0" collapsed="false">
      <c r="A179" s="4" t="n">
        <v>13180</v>
      </c>
      <c r="B179" s="5" t="n">
        <v>1700</v>
      </c>
      <c r="C179" s="6" t="n">
        <v>1700</v>
      </c>
      <c r="D179" s="7" t="n">
        <v>800</v>
      </c>
      <c r="E179" s="6" t="n">
        <v>1592.15370999439</v>
      </c>
      <c r="F179" s="5" t="n">
        <v>37933.0666947546</v>
      </c>
      <c r="G179" s="8" t="n">
        <v>86.0609652248665</v>
      </c>
    </row>
    <row r="180" customFormat="false" ht="14.35" hidden="false" customHeight="false" outlineLevel="0" collapsed="false">
      <c r="A180" s="4" t="n">
        <v>13209</v>
      </c>
      <c r="B180" s="5" t="n">
        <v>1700</v>
      </c>
      <c r="C180" s="6" t="n">
        <v>1700</v>
      </c>
      <c r="D180" s="7" t="n">
        <v>800</v>
      </c>
      <c r="E180" s="6" t="n">
        <v>2365.6239301673</v>
      </c>
      <c r="F180" s="5" t="n">
        <v>79982.7632094436</v>
      </c>
      <c r="G180" s="8" t="n">
        <v>69.5911175017837</v>
      </c>
    </row>
    <row r="181" customFormat="false" ht="14.35" hidden="false" customHeight="false" outlineLevel="0" collapsed="false">
      <c r="A181" s="4" t="n">
        <v>13240</v>
      </c>
      <c r="B181" s="5" t="n">
        <v>1700</v>
      </c>
      <c r="C181" s="6" t="n">
        <v>1700</v>
      </c>
      <c r="D181" s="7" t="n">
        <v>800</v>
      </c>
      <c r="E181" s="6" t="n">
        <v>2765.86969201959</v>
      </c>
      <c r="F181" s="5" t="n">
        <v>29060.3394475774</v>
      </c>
      <c r="G181" s="8" t="n">
        <v>58.4740817887427</v>
      </c>
    </row>
    <row r="182" customFormat="false" ht="14.35" hidden="false" customHeight="false" outlineLevel="0" collapsed="false">
      <c r="A182" s="4" t="n">
        <v>13270</v>
      </c>
      <c r="B182" s="5" t="n">
        <v>1000</v>
      </c>
      <c r="C182" s="6" t="n">
        <v>1000</v>
      </c>
      <c r="D182" s="7" t="n">
        <v>700</v>
      </c>
      <c r="E182" s="6" t="n">
        <v>3165.48320192779</v>
      </c>
      <c r="F182" s="5" t="n">
        <v>30347.6416915025</v>
      </c>
      <c r="G182" s="8" t="n">
        <v>62.5905469573042</v>
      </c>
    </row>
    <row r="183" customFormat="false" ht="14.35" hidden="false" customHeight="false" outlineLevel="0" collapsed="false">
      <c r="A183" s="4" t="n">
        <v>13301</v>
      </c>
      <c r="B183" s="5" t="n">
        <v>1000</v>
      </c>
      <c r="C183" s="6" t="n">
        <v>1000</v>
      </c>
      <c r="D183" s="7" t="n">
        <v>700</v>
      </c>
      <c r="E183" s="6" t="n">
        <v>3357.08569438095</v>
      </c>
      <c r="F183" s="5" t="n">
        <v>17301.2781008577</v>
      </c>
      <c r="G183" s="8" t="n">
        <v>63.6076759640268</v>
      </c>
    </row>
    <row r="184" customFormat="false" ht="14.35" hidden="false" customHeight="false" outlineLevel="0" collapsed="false">
      <c r="A184" s="4" t="n">
        <v>13331</v>
      </c>
      <c r="B184" s="5" t="n">
        <v>1000</v>
      </c>
      <c r="C184" s="6" t="n">
        <v>1000</v>
      </c>
      <c r="D184" s="7" t="n">
        <v>700</v>
      </c>
      <c r="E184" s="6" t="n">
        <v>3392.58468292036</v>
      </c>
      <c r="F184" s="5" t="n">
        <v>7926.49961433672</v>
      </c>
      <c r="G184" s="8" t="n">
        <v>68.2485161797694</v>
      </c>
    </row>
    <row r="185" customFormat="false" ht="14.35" hidden="false" customHeight="false" outlineLevel="0" collapsed="false">
      <c r="A185" s="4" t="n">
        <v>13362</v>
      </c>
      <c r="B185" s="5" t="n">
        <v>8228.93978053922</v>
      </c>
      <c r="C185" s="6" t="n">
        <v>1000</v>
      </c>
      <c r="D185" s="7" t="n">
        <v>700</v>
      </c>
      <c r="E185" s="6" t="n">
        <v>2818.2883775529</v>
      </c>
      <c r="F185" s="5" t="n">
        <v>6500</v>
      </c>
      <c r="G185" s="8" t="n">
        <v>75.7530761377921</v>
      </c>
    </row>
    <row r="186" customFormat="false" ht="14.35" hidden="false" customHeight="false" outlineLevel="0" collapsed="false">
      <c r="A186" s="4" t="n">
        <v>13393</v>
      </c>
      <c r="B186" s="5" t="n">
        <v>7781.96255156381</v>
      </c>
      <c r="C186" s="6" t="n">
        <v>1000</v>
      </c>
      <c r="D186" s="7" t="n">
        <v>700</v>
      </c>
      <c r="E186" s="6" t="n">
        <v>2303.73027319946</v>
      </c>
      <c r="F186" s="5" t="n">
        <v>4000</v>
      </c>
      <c r="G186" s="8" t="n">
        <v>79.7339376132219</v>
      </c>
    </row>
    <row r="187" customFormat="false" ht="14.35" hidden="false" customHeight="false" outlineLevel="0" collapsed="false">
      <c r="A187" s="4" t="n">
        <v>13423</v>
      </c>
      <c r="B187" s="5" t="n">
        <v>5802.94371119681</v>
      </c>
      <c r="C187" s="6" t="n">
        <v>1000</v>
      </c>
      <c r="D187" s="7" t="n">
        <v>773.3333333</v>
      </c>
      <c r="E187" s="6" t="n">
        <v>1925.56798682203</v>
      </c>
      <c r="F187" s="5" t="n">
        <v>3813.821095608</v>
      </c>
      <c r="G187" s="8" t="n">
        <v>84.7604259026756</v>
      </c>
    </row>
    <row r="188" customFormat="false" ht="14.35" hidden="false" customHeight="false" outlineLevel="0" collapsed="false">
      <c r="A188" s="4" t="n">
        <v>13454</v>
      </c>
      <c r="B188" s="5" t="n">
        <v>3705.44725625414</v>
      </c>
      <c r="C188" s="6" t="n">
        <v>1700</v>
      </c>
      <c r="D188" s="7" t="n">
        <v>800</v>
      </c>
      <c r="E188" s="6" t="n">
        <v>1618.22120683955</v>
      </c>
      <c r="F188" s="5" t="n">
        <v>4283.78661062815</v>
      </c>
      <c r="G188" s="8" t="n">
        <v>86.7734580219125</v>
      </c>
    </row>
    <row r="189" customFormat="false" ht="14.35" hidden="false" customHeight="false" outlineLevel="0" collapsed="false">
      <c r="A189" s="4" t="n">
        <v>13484</v>
      </c>
      <c r="B189" s="5" t="n">
        <v>1700</v>
      </c>
      <c r="C189" s="6" t="n">
        <v>1700</v>
      </c>
      <c r="D189" s="7" t="n">
        <v>800</v>
      </c>
      <c r="E189" s="6" t="n">
        <v>1482.99389429049</v>
      </c>
      <c r="F189" s="5" t="n">
        <v>4500</v>
      </c>
      <c r="G189" s="8" t="n">
        <v>86.542578356407</v>
      </c>
    </row>
    <row r="190" customFormat="false" ht="14.35" hidden="false" customHeight="false" outlineLevel="0" collapsed="false">
      <c r="A190" s="4" t="n">
        <v>13515</v>
      </c>
      <c r="B190" s="5" t="n">
        <v>1700</v>
      </c>
      <c r="C190" s="6" t="n">
        <v>1700</v>
      </c>
      <c r="D190" s="7" t="n">
        <v>800</v>
      </c>
      <c r="E190" s="6" t="n">
        <v>1375.22703253298</v>
      </c>
      <c r="F190" s="5" t="n">
        <v>4500</v>
      </c>
      <c r="G190" s="8" t="n">
        <v>86.0894563170954</v>
      </c>
    </row>
    <row r="191" customFormat="false" ht="14.35" hidden="false" customHeight="false" outlineLevel="0" collapsed="false">
      <c r="A191" s="4" t="n">
        <v>13546</v>
      </c>
      <c r="B191" s="5" t="n">
        <v>1700</v>
      </c>
      <c r="C191" s="6" t="n">
        <v>1700</v>
      </c>
      <c r="D191" s="7" t="n">
        <v>800</v>
      </c>
      <c r="E191" s="6" t="n">
        <v>1387.44627587627</v>
      </c>
      <c r="F191" s="5" t="n">
        <v>10892.5626709595</v>
      </c>
      <c r="G191" s="8" t="n">
        <v>85.9409229126091</v>
      </c>
    </row>
    <row r="192" customFormat="false" ht="14.35" hidden="false" customHeight="false" outlineLevel="0" collapsed="false">
      <c r="A192" s="4" t="n">
        <v>13574</v>
      </c>
      <c r="B192" s="5" t="n">
        <v>1700</v>
      </c>
      <c r="C192" s="6" t="n">
        <v>1700</v>
      </c>
      <c r="D192" s="7" t="n">
        <v>800</v>
      </c>
      <c r="E192" s="6" t="n">
        <v>1552.0391495863</v>
      </c>
      <c r="F192" s="5" t="n">
        <v>44144.590697778</v>
      </c>
      <c r="G192" s="8" t="n">
        <v>79.1160888419867</v>
      </c>
    </row>
    <row r="193" customFormat="false" ht="14.35" hidden="false" customHeight="false" outlineLevel="0" collapsed="false">
      <c r="A193" s="4" t="n">
        <v>13605</v>
      </c>
      <c r="B193" s="5" t="n">
        <v>1700</v>
      </c>
      <c r="C193" s="6" t="n">
        <v>1700</v>
      </c>
      <c r="D193" s="7" t="n">
        <v>800</v>
      </c>
      <c r="E193" s="6" t="n">
        <v>1867.77843792408</v>
      </c>
      <c r="F193" s="5" t="n">
        <v>45675.6547692763</v>
      </c>
      <c r="G193" s="8" t="n">
        <v>66.152166145207</v>
      </c>
    </row>
    <row r="194" customFormat="false" ht="14.35" hidden="false" customHeight="false" outlineLevel="0" collapsed="false">
      <c r="A194" s="4" t="n">
        <v>13635</v>
      </c>
      <c r="B194" s="5" t="n">
        <v>1000</v>
      </c>
      <c r="C194" s="6" t="n">
        <v>1000</v>
      </c>
      <c r="D194" s="7" t="n">
        <v>700</v>
      </c>
      <c r="E194" s="6" t="n">
        <v>2251.71145991901</v>
      </c>
      <c r="F194" s="5" t="n">
        <v>31552.4912900699</v>
      </c>
      <c r="G194" s="8" t="n">
        <v>61.6412436642653</v>
      </c>
    </row>
    <row r="195" customFormat="false" ht="14.35" hidden="false" customHeight="false" outlineLevel="0" collapsed="false">
      <c r="A195" s="4" t="n">
        <v>13666</v>
      </c>
      <c r="B195" s="5" t="n">
        <v>1000</v>
      </c>
      <c r="C195" s="6" t="n">
        <v>1000</v>
      </c>
      <c r="D195" s="7" t="n">
        <v>700</v>
      </c>
      <c r="E195" s="6" t="n">
        <v>2593.67693979946</v>
      </c>
      <c r="F195" s="5" t="n">
        <v>20386.3090831853</v>
      </c>
      <c r="G195" s="8" t="n">
        <v>62.998055653155</v>
      </c>
    </row>
    <row r="196" customFormat="false" ht="14.35" hidden="false" customHeight="false" outlineLevel="0" collapsed="false">
      <c r="A196" s="4" t="n">
        <v>13696</v>
      </c>
      <c r="B196" s="5" t="n">
        <v>5945.48435268788</v>
      </c>
      <c r="C196" s="6" t="n">
        <v>1000</v>
      </c>
      <c r="D196" s="7" t="n">
        <v>700</v>
      </c>
      <c r="E196" s="6" t="n">
        <v>2346.01954593199</v>
      </c>
      <c r="F196" s="5" t="n">
        <v>10487.5</v>
      </c>
      <c r="G196" s="8" t="n">
        <v>66.7909362754463</v>
      </c>
    </row>
    <row r="197" customFormat="false" ht="14.35" hidden="false" customHeight="false" outlineLevel="0" collapsed="false">
      <c r="A197" s="4" t="n">
        <v>13727</v>
      </c>
      <c r="B197" s="5" t="n">
        <v>8338.00400572152</v>
      </c>
      <c r="C197" s="6" t="n">
        <v>1000</v>
      </c>
      <c r="D197" s="7" t="n">
        <v>700</v>
      </c>
      <c r="E197" s="6" t="n">
        <v>1767.98154110887</v>
      </c>
      <c r="F197" s="5" t="n">
        <v>6500</v>
      </c>
      <c r="G197" s="8" t="n">
        <v>73.1292085728725</v>
      </c>
    </row>
    <row r="198" customFormat="false" ht="14.35" hidden="false" customHeight="false" outlineLevel="0" collapsed="false">
      <c r="A198" s="4" t="n">
        <v>13758</v>
      </c>
      <c r="B198" s="5" t="n">
        <v>3858.51400255123</v>
      </c>
      <c r="C198" s="6" t="n">
        <v>1000</v>
      </c>
      <c r="D198" s="7" t="n">
        <v>700</v>
      </c>
      <c r="E198" s="6" t="n">
        <v>1540.431427206</v>
      </c>
      <c r="F198" s="5" t="n">
        <v>4000.00000000001</v>
      </c>
      <c r="G198" s="8" t="n">
        <v>78.8738338254412</v>
      </c>
    </row>
    <row r="199" customFormat="false" ht="14.35" hidden="false" customHeight="false" outlineLevel="0" collapsed="false">
      <c r="A199" s="4" t="n">
        <v>13788</v>
      </c>
      <c r="B199" s="5" t="n">
        <v>1124.07643934869</v>
      </c>
      <c r="C199" s="6" t="n">
        <v>1000</v>
      </c>
      <c r="D199" s="7" t="n">
        <v>773.3333333</v>
      </c>
      <c r="E199" s="6" t="n">
        <v>1432.44814148733</v>
      </c>
      <c r="F199" s="5" t="n">
        <v>3000</v>
      </c>
      <c r="G199" s="8" t="n">
        <v>84.4784838810411</v>
      </c>
    </row>
    <row r="200" customFormat="false" ht="14.35" hidden="false" customHeight="false" outlineLevel="0" collapsed="false">
      <c r="A200" s="4" t="n">
        <v>13819</v>
      </c>
      <c r="B200" s="5" t="n">
        <v>1700</v>
      </c>
      <c r="C200" s="6" t="n">
        <v>1700</v>
      </c>
      <c r="D200" s="7" t="n">
        <v>800</v>
      </c>
      <c r="E200" s="6" t="n">
        <v>1295.44417522157</v>
      </c>
      <c r="F200" s="5" t="n">
        <v>4000</v>
      </c>
      <c r="G200" s="8" t="n">
        <v>88.5208568704032</v>
      </c>
    </row>
    <row r="201" customFormat="false" ht="14.35" hidden="false" customHeight="false" outlineLevel="0" collapsed="false">
      <c r="A201" s="4" t="n">
        <v>13849</v>
      </c>
      <c r="B201" s="5" t="n">
        <v>1700</v>
      </c>
      <c r="C201" s="6" t="n">
        <v>1700</v>
      </c>
      <c r="D201" s="7" t="n">
        <v>800</v>
      </c>
      <c r="E201" s="6" t="n">
        <v>1375.62523228479</v>
      </c>
      <c r="F201" s="5" t="n">
        <v>22206.8791711674</v>
      </c>
      <c r="G201" s="8" t="n">
        <v>87.6407780351797</v>
      </c>
    </row>
    <row r="202" customFormat="false" ht="14.35" hidden="false" customHeight="false" outlineLevel="0" collapsed="false">
      <c r="A202" s="4" t="n">
        <v>13880</v>
      </c>
      <c r="B202" s="5" t="n">
        <v>1700</v>
      </c>
      <c r="C202" s="6" t="n">
        <v>1700</v>
      </c>
      <c r="D202" s="7" t="n">
        <v>800</v>
      </c>
      <c r="E202" s="6" t="n">
        <v>2160.96644795984</v>
      </c>
      <c r="F202" s="5" t="n">
        <v>64922.683811456</v>
      </c>
      <c r="G202" s="8" t="n">
        <v>74.2131421433089</v>
      </c>
    </row>
    <row r="203" customFormat="false" ht="14.35" hidden="false" customHeight="false" outlineLevel="0" collapsed="false">
      <c r="A203" s="4" t="n">
        <v>13911</v>
      </c>
      <c r="B203" s="5" t="n">
        <v>1700</v>
      </c>
      <c r="C203" s="6" t="n">
        <v>1700</v>
      </c>
      <c r="D203" s="7" t="n">
        <v>800</v>
      </c>
      <c r="E203" s="6" t="n">
        <v>2414.98633049591</v>
      </c>
      <c r="F203" s="5" t="n">
        <v>26661.7965981858</v>
      </c>
      <c r="G203" s="8" t="n">
        <v>61.5882703936492</v>
      </c>
    </row>
    <row r="204" customFormat="false" ht="14.35" hidden="false" customHeight="false" outlineLevel="0" collapsed="false">
      <c r="A204" s="4" t="n">
        <v>13939</v>
      </c>
      <c r="B204" s="5" t="n">
        <v>5353.23497244852</v>
      </c>
      <c r="C204" s="6" t="n">
        <v>1700</v>
      </c>
      <c r="D204" s="7" t="n">
        <v>800</v>
      </c>
      <c r="E204" s="6" t="n">
        <v>2788</v>
      </c>
      <c r="F204" s="5" t="n">
        <v>138288.063421334</v>
      </c>
      <c r="G204" s="8" t="n">
        <v>64.2716869329377</v>
      </c>
    </row>
    <row r="205" customFormat="false" ht="14.35" hidden="false" customHeight="false" outlineLevel="0" collapsed="false">
      <c r="A205" s="4" t="n">
        <v>13970</v>
      </c>
      <c r="B205" s="5" t="n">
        <v>19362.9883846221</v>
      </c>
      <c r="C205" s="6" t="n">
        <v>1700</v>
      </c>
      <c r="D205" s="7" t="n">
        <v>800</v>
      </c>
      <c r="E205" s="6" t="n">
        <v>2788</v>
      </c>
      <c r="F205" s="5" t="n">
        <v>168978.289731502</v>
      </c>
      <c r="G205" s="8" t="n">
        <v>52.5334091128477</v>
      </c>
    </row>
    <row r="206" customFormat="false" ht="14.35" hidden="false" customHeight="false" outlineLevel="0" collapsed="false">
      <c r="A206" s="4" t="n">
        <v>14000</v>
      </c>
      <c r="B206" s="5" t="n">
        <v>13116.3148656956</v>
      </c>
      <c r="C206" s="6" t="n">
        <v>1000</v>
      </c>
      <c r="D206" s="7" t="n">
        <v>700</v>
      </c>
      <c r="E206" s="6" t="n">
        <v>3277</v>
      </c>
      <c r="F206" s="5" t="n">
        <v>80168.452002272</v>
      </c>
      <c r="G206" s="8" t="n">
        <v>47.1492359421163</v>
      </c>
    </row>
    <row r="207" customFormat="false" ht="14.35" hidden="false" customHeight="false" outlineLevel="0" collapsed="false">
      <c r="A207" s="4" t="n">
        <v>14031</v>
      </c>
      <c r="B207" s="5" t="n">
        <v>17332.7098214883</v>
      </c>
      <c r="C207" s="6" t="n">
        <v>1000</v>
      </c>
      <c r="D207" s="7" t="n">
        <v>700</v>
      </c>
      <c r="E207" s="6" t="n">
        <v>3538</v>
      </c>
      <c r="F207" s="5" t="n">
        <v>68461.1104926858</v>
      </c>
      <c r="G207" s="8" t="n">
        <v>51.0998578065331</v>
      </c>
    </row>
    <row r="208" customFormat="false" ht="14.35" hidden="false" customHeight="false" outlineLevel="0" collapsed="false">
      <c r="A208" s="4" t="n">
        <v>14061</v>
      </c>
      <c r="B208" s="5" t="n">
        <v>8203.28438192461</v>
      </c>
      <c r="C208" s="6" t="n">
        <v>1000</v>
      </c>
      <c r="D208" s="7" t="n">
        <v>700</v>
      </c>
      <c r="E208" s="6" t="n">
        <v>3538</v>
      </c>
      <c r="F208" s="5" t="n">
        <v>36772.3287235154</v>
      </c>
      <c r="G208" s="8" t="n">
        <v>53.604947857606</v>
      </c>
    </row>
    <row r="209" customFormat="false" ht="14.35" hidden="false" customHeight="false" outlineLevel="0" collapsed="false">
      <c r="A209" s="4" t="n">
        <v>14092</v>
      </c>
      <c r="B209" s="5" t="n">
        <v>3995.94086106413</v>
      </c>
      <c r="C209" s="6" t="n">
        <v>1000</v>
      </c>
      <c r="D209" s="7" t="n">
        <v>700</v>
      </c>
      <c r="E209" s="6" t="n">
        <v>3374.25146158644</v>
      </c>
      <c r="F209" s="5" t="n">
        <v>8000</v>
      </c>
      <c r="G209" s="8" t="n">
        <v>59.190253896057</v>
      </c>
    </row>
    <row r="210" customFormat="false" ht="14.35" hidden="false" customHeight="false" outlineLevel="0" collapsed="false">
      <c r="A210" s="4" t="n">
        <v>14123</v>
      </c>
      <c r="B210" s="5" t="n">
        <v>3946.02852164116</v>
      </c>
      <c r="C210" s="6" t="n">
        <v>1000</v>
      </c>
      <c r="D210" s="7" t="n">
        <v>700</v>
      </c>
      <c r="E210" s="6" t="n">
        <v>3177.9385908363</v>
      </c>
      <c r="F210" s="5" t="n">
        <v>4000.00000000006</v>
      </c>
      <c r="G210" s="8" t="n">
        <v>72.7130269567197</v>
      </c>
    </row>
    <row r="211" customFormat="false" ht="14.35" hidden="false" customHeight="false" outlineLevel="0" collapsed="false">
      <c r="A211" s="4" t="n">
        <v>14153</v>
      </c>
      <c r="B211" s="5" t="n">
        <v>9797.16567993164</v>
      </c>
      <c r="C211" s="6" t="n">
        <v>1000</v>
      </c>
      <c r="D211" s="7" t="n">
        <v>773.3333333</v>
      </c>
      <c r="E211" s="6" t="n">
        <v>2660.10984004346</v>
      </c>
      <c r="F211" s="5" t="n">
        <v>20625</v>
      </c>
      <c r="G211" s="8" t="n">
        <v>82.458971389474</v>
      </c>
    </row>
    <row r="212" customFormat="false" ht="14.35" hidden="false" customHeight="false" outlineLevel="0" collapsed="false">
      <c r="A212" s="4" t="n">
        <v>14184</v>
      </c>
      <c r="B212" s="5" t="n">
        <v>4000</v>
      </c>
      <c r="C212" s="6" t="n">
        <v>1700</v>
      </c>
      <c r="D212" s="7" t="n">
        <v>800</v>
      </c>
      <c r="E212" s="6" t="n">
        <v>2499.89960878781</v>
      </c>
      <c r="F212" s="5" t="n">
        <v>7500</v>
      </c>
      <c r="G212" s="8" t="n">
        <v>73.080997476502</v>
      </c>
    </row>
    <row r="213" customFormat="false" ht="14.35" hidden="false" customHeight="false" outlineLevel="0" collapsed="false">
      <c r="A213" s="4" t="n">
        <v>14214</v>
      </c>
      <c r="B213" s="5" t="n">
        <v>2500</v>
      </c>
      <c r="C213" s="6" t="n">
        <v>1700</v>
      </c>
      <c r="D213" s="7" t="n">
        <v>800</v>
      </c>
      <c r="E213" s="6" t="n">
        <v>2408.48649506643</v>
      </c>
      <c r="F213" s="5" t="n">
        <v>13930.061</v>
      </c>
      <c r="G213" s="8" t="n">
        <v>77.7611196739338</v>
      </c>
    </row>
    <row r="214" customFormat="false" ht="14.35" hidden="false" customHeight="false" outlineLevel="0" collapsed="false">
      <c r="A214" s="4" t="n">
        <v>14245</v>
      </c>
      <c r="B214" s="5" t="n">
        <v>4112.87766530275</v>
      </c>
      <c r="C214" s="6" t="n">
        <v>1700</v>
      </c>
      <c r="D214" s="7" t="n">
        <v>800</v>
      </c>
      <c r="E214" s="6" t="n">
        <v>2277.67490347099</v>
      </c>
      <c r="F214" s="5" t="n">
        <v>4973.95178286699</v>
      </c>
      <c r="G214" s="8" t="n">
        <v>74.5493242576762</v>
      </c>
    </row>
    <row r="215" customFormat="false" ht="14.35" hidden="false" customHeight="false" outlineLevel="0" collapsed="false">
      <c r="A215" s="4" t="n">
        <v>14276</v>
      </c>
      <c r="B215" s="5" t="n">
        <v>1700</v>
      </c>
      <c r="C215" s="6" t="n">
        <v>1700</v>
      </c>
      <c r="D215" s="7" t="n">
        <v>800</v>
      </c>
      <c r="E215" s="6" t="n">
        <v>2336.75777856627</v>
      </c>
      <c r="F215" s="5" t="n">
        <v>6750.14251394618</v>
      </c>
      <c r="G215" s="8" t="n">
        <v>81.3904857646695</v>
      </c>
    </row>
    <row r="216" customFormat="false" ht="14.35" hidden="false" customHeight="false" outlineLevel="0" collapsed="false">
      <c r="A216" s="4" t="n">
        <v>14304</v>
      </c>
      <c r="B216" s="5" t="n">
        <v>1700</v>
      </c>
      <c r="C216" s="6" t="n">
        <v>1700</v>
      </c>
      <c r="D216" s="7" t="n">
        <v>800</v>
      </c>
      <c r="E216" s="6" t="n">
        <v>2419.72448869717</v>
      </c>
      <c r="F216" s="5" t="n">
        <v>9916.38645148096</v>
      </c>
      <c r="G216" s="8" t="n">
        <v>81.2924278061128</v>
      </c>
    </row>
    <row r="217" customFormat="false" ht="14.35" hidden="false" customHeight="false" outlineLevel="0" collapsed="false">
      <c r="A217" s="4" t="n">
        <v>14335</v>
      </c>
      <c r="B217" s="5" t="n">
        <v>1700</v>
      </c>
      <c r="C217" s="6" t="n">
        <v>1700</v>
      </c>
      <c r="D217" s="7" t="n">
        <v>800</v>
      </c>
      <c r="E217" s="6" t="n">
        <v>2579.03744806042</v>
      </c>
      <c r="F217" s="5" t="n">
        <v>9261.82999355511</v>
      </c>
      <c r="G217" s="8" t="n">
        <v>78.3120195603312</v>
      </c>
    </row>
    <row r="218" customFormat="false" ht="14.35" hidden="false" customHeight="false" outlineLevel="0" collapsed="false">
      <c r="A218" s="4" t="n">
        <v>14365</v>
      </c>
      <c r="B218" s="5" t="n">
        <v>2709.12899431731</v>
      </c>
      <c r="C218" s="6" t="n">
        <v>1000</v>
      </c>
      <c r="D218" s="7" t="n">
        <v>700</v>
      </c>
      <c r="E218" s="6" t="n">
        <v>2528.52868878632</v>
      </c>
      <c r="F218" s="5" t="n">
        <v>9673.333</v>
      </c>
      <c r="G218" s="8" t="n">
        <v>77.8584814037091</v>
      </c>
    </row>
    <row r="219" customFormat="false" ht="14.35" hidden="false" customHeight="false" outlineLevel="0" collapsed="false">
      <c r="A219" s="4" t="n">
        <v>14396</v>
      </c>
      <c r="B219" s="5" t="n">
        <v>3434.72745939063</v>
      </c>
      <c r="C219" s="6" t="n">
        <v>1000</v>
      </c>
      <c r="D219" s="7" t="n">
        <v>700</v>
      </c>
      <c r="E219" s="6" t="n">
        <v>2376.05338615037</v>
      </c>
      <c r="F219" s="5" t="n">
        <v>9110.94389436488</v>
      </c>
      <c r="G219" s="8" t="n">
        <v>77.376591361081</v>
      </c>
    </row>
    <row r="220" customFormat="false" ht="14.35" hidden="false" customHeight="false" outlineLevel="0" collapsed="false">
      <c r="A220" s="4" t="n">
        <v>14426</v>
      </c>
      <c r="B220" s="5" t="n">
        <v>5042.66371769336</v>
      </c>
      <c r="C220" s="6" t="n">
        <v>1000</v>
      </c>
      <c r="D220" s="7" t="n">
        <v>700</v>
      </c>
      <c r="E220" s="6" t="n">
        <v>2046.2521353985</v>
      </c>
      <c r="F220" s="5" t="n">
        <v>4266.88209442952</v>
      </c>
      <c r="G220" s="8" t="n">
        <v>77.6777531281327</v>
      </c>
    </row>
    <row r="221" customFormat="false" ht="14.35" hidden="false" customHeight="false" outlineLevel="0" collapsed="false">
      <c r="A221" s="4" t="n">
        <v>14457</v>
      </c>
      <c r="B221" s="5" t="n">
        <v>7238.29840748791</v>
      </c>
      <c r="C221" s="6" t="n">
        <v>1000</v>
      </c>
      <c r="D221" s="7" t="n">
        <v>700</v>
      </c>
      <c r="E221" s="6" t="n">
        <v>1539.66519959188</v>
      </c>
      <c r="F221" s="5" t="n">
        <v>5631.26206878721</v>
      </c>
      <c r="G221" s="8" t="n">
        <v>83.5913146390531</v>
      </c>
    </row>
    <row r="222" customFormat="false" ht="14.35" hidden="false" customHeight="false" outlineLevel="0" collapsed="false">
      <c r="A222" s="4" t="n">
        <v>14488</v>
      </c>
      <c r="B222" s="5" t="n">
        <v>2583.91026643182</v>
      </c>
      <c r="C222" s="6" t="n">
        <v>1000</v>
      </c>
      <c r="D222" s="7" t="n">
        <v>700</v>
      </c>
      <c r="E222" s="6" t="n">
        <v>1388.66049790967</v>
      </c>
      <c r="F222" s="5" t="n">
        <v>3500</v>
      </c>
      <c r="G222" s="8" t="n">
        <v>83.4030416436767</v>
      </c>
    </row>
    <row r="223" customFormat="false" ht="14.35" hidden="false" customHeight="false" outlineLevel="0" collapsed="false">
      <c r="A223" s="4" t="n">
        <v>14518</v>
      </c>
      <c r="B223" s="5" t="n">
        <v>1000</v>
      </c>
      <c r="C223" s="6" t="n">
        <v>1000</v>
      </c>
      <c r="D223" s="7" t="n">
        <v>773.3333333</v>
      </c>
      <c r="E223" s="6" t="n">
        <v>1311.68719087286</v>
      </c>
      <c r="F223" s="5" t="n">
        <v>3000</v>
      </c>
      <c r="G223" s="8" t="n">
        <v>86.9867160680149</v>
      </c>
    </row>
    <row r="224" customFormat="false" ht="14.35" hidden="false" customHeight="false" outlineLevel="0" collapsed="false">
      <c r="A224" s="4" t="n">
        <v>14549</v>
      </c>
      <c r="B224" s="5" t="n">
        <v>1200</v>
      </c>
      <c r="C224" s="6" t="n">
        <v>1200</v>
      </c>
      <c r="D224" s="7" t="n">
        <v>800</v>
      </c>
      <c r="E224" s="6" t="n">
        <v>1179.83739907462</v>
      </c>
      <c r="F224" s="5" t="n">
        <v>4000.00000000001</v>
      </c>
      <c r="G224" s="8" t="n">
        <v>89.3430553812932</v>
      </c>
    </row>
    <row r="225" customFormat="false" ht="14.35" hidden="false" customHeight="false" outlineLevel="0" collapsed="false">
      <c r="A225" s="4" t="n">
        <v>14579</v>
      </c>
      <c r="B225" s="5" t="n">
        <v>1200</v>
      </c>
      <c r="C225" s="6" t="n">
        <v>1200</v>
      </c>
      <c r="D225" s="7" t="n">
        <v>800</v>
      </c>
      <c r="E225" s="6" t="n">
        <v>1037.34667714138</v>
      </c>
      <c r="F225" s="5" t="n">
        <v>4500</v>
      </c>
      <c r="G225" s="8" t="n">
        <v>87.9102947070494</v>
      </c>
    </row>
    <row r="226" customFormat="false" ht="14.35" hidden="false" customHeight="false" outlineLevel="0" collapsed="false">
      <c r="A226" s="4" t="n">
        <v>14610</v>
      </c>
      <c r="B226" s="5" t="n">
        <v>1200</v>
      </c>
      <c r="C226" s="6" t="n">
        <v>1200</v>
      </c>
      <c r="D226" s="7" t="n">
        <v>800</v>
      </c>
      <c r="E226" s="6" t="n">
        <v>984.488462930659</v>
      </c>
      <c r="F226" s="5" t="n">
        <v>4500</v>
      </c>
      <c r="G226" s="8" t="n">
        <v>86.537793736836</v>
      </c>
    </row>
    <row r="227" customFormat="false" ht="14.35" hidden="false" customHeight="false" outlineLevel="0" collapsed="false">
      <c r="A227" s="4" t="n">
        <v>14641</v>
      </c>
      <c r="B227" s="5" t="n">
        <v>1200</v>
      </c>
      <c r="C227" s="6" t="n">
        <v>1200</v>
      </c>
      <c r="D227" s="7" t="n">
        <v>800</v>
      </c>
      <c r="E227" s="6" t="n">
        <v>1478.7464032828</v>
      </c>
      <c r="F227" s="5" t="n">
        <v>32362.6010453608</v>
      </c>
      <c r="G227" s="8" t="n">
        <v>86.0878879188</v>
      </c>
    </row>
    <row r="228" customFormat="false" ht="14.35" hidden="false" customHeight="false" outlineLevel="0" collapsed="false">
      <c r="A228" s="4" t="n">
        <v>14670</v>
      </c>
      <c r="B228" s="5" t="n">
        <v>1200</v>
      </c>
      <c r="C228" s="6" t="n">
        <v>1200</v>
      </c>
      <c r="D228" s="7" t="n">
        <v>800</v>
      </c>
      <c r="E228" s="6" t="n">
        <v>2427.56935955874</v>
      </c>
      <c r="F228" s="5" t="n">
        <v>67808.6362743139</v>
      </c>
      <c r="G228" s="8" t="n">
        <v>70.8173433067109</v>
      </c>
    </row>
    <row r="229" customFormat="false" ht="14.35" hidden="false" customHeight="false" outlineLevel="0" collapsed="false">
      <c r="A229" s="4" t="n">
        <v>14701</v>
      </c>
      <c r="B229" s="5" t="n">
        <v>15217.0178592331</v>
      </c>
      <c r="C229" s="6" t="n">
        <v>1000</v>
      </c>
      <c r="D229" s="7" t="n">
        <v>800</v>
      </c>
      <c r="E229" s="6" t="n">
        <v>2788</v>
      </c>
      <c r="F229" s="5" t="n">
        <v>108495.548899038</v>
      </c>
      <c r="G229" s="8" t="n">
        <v>60.1417447058976</v>
      </c>
    </row>
    <row r="230" customFormat="false" ht="14.35" hidden="false" customHeight="false" outlineLevel="0" collapsed="false">
      <c r="A230" s="4" t="n">
        <v>14731</v>
      </c>
      <c r="B230" s="5" t="n">
        <v>3832.00784763858</v>
      </c>
      <c r="C230" s="6" t="n">
        <v>1000</v>
      </c>
      <c r="D230" s="7" t="n">
        <v>700</v>
      </c>
      <c r="E230" s="6" t="n">
        <v>3238</v>
      </c>
      <c r="F230" s="5" t="n">
        <v>75258.9733198789</v>
      </c>
      <c r="G230" s="8" t="n">
        <v>53.0394435030407</v>
      </c>
    </row>
    <row r="231" customFormat="false" ht="14.35" hidden="false" customHeight="false" outlineLevel="0" collapsed="false">
      <c r="A231" s="4" t="n">
        <v>14762</v>
      </c>
      <c r="B231" s="5" t="n">
        <v>1000</v>
      </c>
      <c r="C231" s="6" t="n">
        <v>1000</v>
      </c>
      <c r="D231" s="7" t="n">
        <v>700</v>
      </c>
      <c r="E231" s="6" t="n">
        <v>3411.89616620243</v>
      </c>
      <c r="F231" s="5" t="n">
        <v>18060.0021541223</v>
      </c>
      <c r="G231" s="8" t="n">
        <v>53.5150757724741</v>
      </c>
    </row>
    <row r="232" customFormat="false" ht="14.35" hidden="false" customHeight="false" outlineLevel="0" collapsed="false">
      <c r="A232" s="4" t="n">
        <v>14792</v>
      </c>
      <c r="B232" s="5" t="n">
        <v>2515.31704698138</v>
      </c>
      <c r="C232" s="6" t="n">
        <v>1000</v>
      </c>
      <c r="D232" s="7" t="n">
        <v>700</v>
      </c>
      <c r="E232" s="6" t="n">
        <v>3297.73181451653</v>
      </c>
      <c r="F232" s="5" t="n">
        <v>5967.9165</v>
      </c>
      <c r="G232" s="8" t="n">
        <v>64.6111727074294</v>
      </c>
    </row>
    <row r="233" customFormat="false" ht="14.35" hidden="false" customHeight="false" outlineLevel="0" collapsed="false">
      <c r="A233" s="4" t="n">
        <v>14823</v>
      </c>
      <c r="B233" s="5" t="n">
        <v>8684.00777618643</v>
      </c>
      <c r="C233" s="6" t="n">
        <v>1000</v>
      </c>
      <c r="D233" s="7" t="n">
        <v>700</v>
      </c>
      <c r="E233" s="6" t="n">
        <v>2760.08936199813</v>
      </c>
      <c r="F233" s="5" t="n">
        <v>10651.5501114363</v>
      </c>
      <c r="G233" s="8" t="n">
        <v>76.7362710863229</v>
      </c>
    </row>
    <row r="234" customFormat="false" ht="14.35" hidden="false" customHeight="false" outlineLevel="0" collapsed="false">
      <c r="A234" s="4" t="n">
        <v>14854</v>
      </c>
      <c r="B234" s="5" t="n">
        <v>8224.92914626087</v>
      </c>
      <c r="C234" s="6" t="n">
        <v>1000</v>
      </c>
      <c r="D234" s="7" t="n">
        <v>700</v>
      </c>
      <c r="E234" s="6" t="n">
        <v>2262.13057103174</v>
      </c>
      <c r="F234" s="5" t="n">
        <v>4000</v>
      </c>
      <c r="G234" s="8" t="n">
        <v>76.2703134791591</v>
      </c>
    </row>
    <row r="235" customFormat="false" ht="14.35" hidden="false" customHeight="false" outlineLevel="0" collapsed="false">
      <c r="A235" s="4" t="n">
        <v>14884</v>
      </c>
      <c r="B235" s="5" t="n">
        <v>8192.77515084282</v>
      </c>
      <c r="C235" s="6" t="n">
        <v>1000</v>
      </c>
      <c r="D235" s="7" t="n">
        <v>773.3333333</v>
      </c>
      <c r="E235" s="6" t="n">
        <v>1803.54183388937</v>
      </c>
      <c r="F235" s="5" t="n">
        <v>11562.5</v>
      </c>
      <c r="G235" s="8" t="n">
        <v>83.6250499115298</v>
      </c>
    </row>
    <row r="236" customFormat="false" ht="14.35" hidden="false" customHeight="false" outlineLevel="0" collapsed="false">
      <c r="A236" s="4" t="n">
        <v>14915</v>
      </c>
      <c r="B236" s="5" t="n">
        <v>4000</v>
      </c>
      <c r="C236" s="6" t="n">
        <v>1700</v>
      </c>
      <c r="D236" s="7" t="n">
        <v>800</v>
      </c>
      <c r="E236" s="6" t="n">
        <v>1574.49834129566</v>
      </c>
      <c r="F236" s="5" t="n">
        <v>5937.5</v>
      </c>
      <c r="G236" s="8" t="n">
        <v>77.8994280485634</v>
      </c>
    </row>
    <row r="237" customFormat="false" ht="14.35" hidden="false" customHeight="false" outlineLevel="0" collapsed="false">
      <c r="A237" s="4" t="n">
        <v>14945</v>
      </c>
      <c r="B237" s="5" t="n">
        <v>2262.66785361697</v>
      </c>
      <c r="C237" s="6" t="n">
        <v>1700</v>
      </c>
      <c r="D237" s="7" t="n">
        <v>800</v>
      </c>
      <c r="E237" s="6" t="n">
        <v>1487.81808625435</v>
      </c>
      <c r="F237" s="5" t="n">
        <v>10625</v>
      </c>
      <c r="G237" s="8" t="n">
        <v>81.131328574848</v>
      </c>
    </row>
    <row r="238" customFormat="false" ht="14.35" hidden="false" customHeight="false" outlineLevel="0" collapsed="false">
      <c r="A238" s="4" t="n">
        <v>14976</v>
      </c>
      <c r="B238" s="5" t="n">
        <v>1700</v>
      </c>
      <c r="C238" s="6" t="n">
        <v>1700</v>
      </c>
      <c r="D238" s="7" t="n">
        <v>800</v>
      </c>
      <c r="E238" s="6" t="n">
        <v>1909.07501261695</v>
      </c>
      <c r="F238" s="5" t="n">
        <v>35361.7262828455</v>
      </c>
      <c r="G238" s="8" t="n">
        <v>77.7301437383857</v>
      </c>
    </row>
    <row r="239" customFormat="false" ht="14.35" hidden="false" customHeight="false" outlineLevel="0" collapsed="false">
      <c r="A239" s="4" t="n">
        <v>15007</v>
      </c>
      <c r="B239" s="5" t="n">
        <v>1700</v>
      </c>
      <c r="C239" s="6" t="n">
        <v>1700</v>
      </c>
      <c r="D239" s="7" t="n">
        <v>800</v>
      </c>
      <c r="E239" s="6" t="n">
        <v>2472.87162446704</v>
      </c>
      <c r="F239" s="5" t="n">
        <v>96522.2804006625</v>
      </c>
      <c r="G239" s="8" t="n">
        <v>67.3983255806716</v>
      </c>
    </row>
    <row r="240" customFormat="false" ht="14.35" hidden="false" customHeight="false" outlineLevel="0" collapsed="false">
      <c r="A240" s="4" t="n">
        <v>15035</v>
      </c>
      <c r="B240" s="5" t="n">
        <v>11948.2474251916</v>
      </c>
      <c r="C240" s="6" t="n">
        <v>1700</v>
      </c>
      <c r="D240" s="7" t="n">
        <v>800</v>
      </c>
      <c r="E240" s="6" t="n">
        <v>2788</v>
      </c>
      <c r="F240" s="5" t="n">
        <v>116064.075135426</v>
      </c>
      <c r="G240" s="8" t="n">
        <v>56.3144944470134</v>
      </c>
    </row>
    <row r="241" customFormat="false" ht="14.35" hidden="false" customHeight="false" outlineLevel="0" collapsed="false">
      <c r="A241" s="4" t="n">
        <v>15066</v>
      </c>
      <c r="B241" s="5" t="n">
        <v>11431.6208603803</v>
      </c>
      <c r="C241" s="6" t="n">
        <v>1700</v>
      </c>
      <c r="D241" s="7" t="n">
        <v>800</v>
      </c>
      <c r="E241" s="6" t="n">
        <v>2918</v>
      </c>
      <c r="F241" s="5" t="n">
        <v>90064.40145027</v>
      </c>
      <c r="G241" s="8" t="n">
        <v>51.267974844169</v>
      </c>
    </row>
    <row r="242" customFormat="false" ht="14.35" hidden="false" customHeight="false" outlineLevel="0" collapsed="false">
      <c r="A242" s="4" t="n">
        <v>15096</v>
      </c>
      <c r="B242" s="5" t="n">
        <v>3793.29976175121</v>
      </c>
      <c r="C242" s="6" t="n">
        <v>1000</v>
      </c>
      <c r="D242" s="7" t="n">
        <v>700</v>
      </c>
      <c r="E242" s="6" t="n">
        <v>3334</v>
      </c>
      <c r="F242" s="5" t="n">
        <v>78971.1183113694</v>
      </c>
      <c r="G242" s="8" t="n">
        <v>51.557778754053</v>
      </c>
    </row>
    <row r="243" customFormat="false" ht="14.35" hidden="false" customHeight="false" outlineLevel="0" collapsed="false">
      <c r="A243" s="4" t="n">
        <v>15127</v>
      </c>
      <c r="B243" s="5" t="n">
        <v>8516.84220454923</v>
      </c>
      <c r="C243" s="6" t="n">
        <v>1000</v>
      </c>
      <c r="D243" s="7" t="n">
        <v>700</v>
      </c>
      <c r="E243" s="6" t="n">
        <v>3538</v>
      </c>
      <c r="F243" s="5" t="n">
        <v>48858.1080192055</v>
      </c>
      <c r="G243" s="8" t="n">
        <v>52.6603245904677</v>
      </c>
    </row>
    <row r="244" customFormat="false" ht="14.35" hidden="false" customHeight="false" outlineLevel="0" collapsed="false">
      <c r="A244" s="4" t="n">
        <v>15157</v>
      </c>
      <c r="B244" s="5" t="n">
        <v>3079.49139584669</v>
      </c>
      <c r="C244" s="6" t="n">
        <v>1000</v>
      </c>
      <c r="D244" s="7" t="n">
        <v>700</v>
      </c>
      <c r="E244" s="6" t="n">
        <v>3538</v>
      </c>
      <c r="F244" s="5" t="n">
        <v>13769.2454220775</v>
      </c>
      <c r="G244" s="8" t="n">
        <v>56.7023226103512</v>
      </c>
    </row>
    <row r="245" customFormat="false" ht="14.35" hidden="false" customHeight="false" outlineLevel="0" collapsed="false">
      <c r="A245" s="4" t="n">
        <v>15188</v>
      </c>
      <c r="B245" s="5" t="n">
        <v>6575.86312408191</v>
      </c>
      <c r="C245" s="6" t="n">
        <v>1000</v>
      </c>
      <c r="D245" s="7" t="n">
        <v>700</v>
      </c>
      <c r="E245" s="6" t="n">
        <v>3183.24899491619</v>
      </c>
      <c r="F245" s="5" t="n">
        <v>8000.00000000013</v>
      </c>
      <c r="G245" s="8" t="n">
        <v>67.7352573658936</v>
      </c>
    </row>
    <row r="246" customFormat="false" ht="14.35" hidden="false" customHeight="false" outlineLevel="0" collapsed="false">
      <c r="A246" s="4" t="n">
        <v>15219</v>
      </c>
      <c r="B246" s="5" t="n">
        <v>3995.67723388635</v>
      </c>
      <c r="C246" s="6" t="n">
        <v>1000</v>
      </c>
      <c r="D246" s="7" t="n">
        <v>700</v>
      </c>
      <c r="E246" s="6" t="n">
        <v>2968.56029814879</v>
      </c>
      <c r="F246" s="5" t="n">
        <v>4000.00000000007</v>
      </c>
      <c r="G246" s="8" t="n">
        <v>75.514079094132</v>
      </c>
    </row>
    <row r="247" customFormat="false" ht="14.35" hidden="false" customHeight="false" outlineLevel="0" collapsed="false">
      <c r="A247" s="4" t="n">
        <v>15249</v>
      </c>
      <c r="B247" s="5" t="n">
        <v>10000</v>
      </c>
      <c r="C247" s="6" t="n">
        <v>1000</v>
      </c>
      <c r="D247" s="7" t="n">
        <v>773.3333333</v>
      </c>
      <c r="E247" s="6" t="n">
        <v>2405.27870052686</v>
      </c>
      <c r="F247" s="5" t="n">
        <v>20937.5</v>
      </c>
      <c r="G247" s="8" t="n">
        <v>83.3771562801178</v>
      </c>
    </row>
    <row r="248" customFormat="false" ht="14.35" hidden="false" customHeight="false" outlineLevel="0" collapsed="false">
      <c r="A248" s="4" t="n">
        <v>15280</v>
      </c>
      <c r="B248" s="5" t="n">
        <v>4000</v>
      </c>
      <c r="C248" s="6" t="n">
        <v>1700</v>
      </c>
      <c r="D248" s="7" t="n">
        <v>800</v>
      </c>
      <c r="E248" s="6" t="n">
        <v>2233.61924892204</v>
      </c>
      <c r="F248" s="5" t="n">
        <v>7656.25</v>
      </c>
      <c r="G248" s="8" t="n">
        <v>73.2667086782994</v>
      </c>
    </row>
    <row r="249" customFormat="false" ht="14.35" hidden="false" customHeight="false" outlineLevel="0" collapsed="false">
      <c r="A249" s="4" t="n">
        <v>15310</v>
      </c>
      <c r="B249" s="5" t="n">
        <v>2500</v>
      </c>
      <c r="C249" s="6" t="n">
        <v>1700</v>
      </c>
      <c r="D249" s="7" t="n">
        <v>800</v>
      </c>
      <c r="E249" s="6" t="n">
        <v>2162.65394247266</v>
      </c>
      <c r="F249" s="5" t="n">
        <v>14501.697</v>
      </c>
      <c r="G249" s="8" t="n">
        <v>77.6639428330589</v>
      </c>
    </row>
    <row r="250" customFormat="false" ht="14.35" hidden="false" customHeight="false" outlineLevel="0" collapsed="false">
      <c r="A250" s="4" t="n">
        <v>15341</v>
      </c>
      <c r="B250" s="5" t="n">
        <v>1784.70855619443</v>
      </c>
      <c r="C250" s="6" t="n">
        <v>1700</v>
      </c>
      <c r="D250" s="7" t="n">
        <v>800</v>
      </c>
      <c r="E250" s="6" t="n">
        <v>2788</v>
      </c>
      <c r="F250" s="5" t="n">
        <v>41886.0951911211</v>
      </c>
      <c r="G250" s="8" t="n">
        <v>74.2091981695809</v>
      </c>
    </row>
    <row r="251" customFormat="false" ht="14.35" hidden="false" customHeight="false" outlineLevel="0" collapsed="false">
      <c r="A251" s="4" t="n">
        <v>15372</v>
      </c>
      <c r="B251" s="5" t="n">
        <v>13897.5867347877</v>
      </c>
      <c r="C251" s="6" t="n">
        <v>1700</v>
      </c>
      <c r="D251" s="7" t="n">
        <v>800</v>
      </c>
      <c r="E251" s="6" t="n">
        <v>2788</v>
      </c>
      <c r="F251" s="5" t="n">
        <v>77309.8823009362</v>
      </c>
      <c r="G251" s="8" t="n">
        <v>64.9462418595864</v>
      </c>
    </row>
    <row r="252" customFormat="false" ht="14.35" hidden="false" customHeight="false" outlineLevel="0" collapsed="false">
      <c r="A252" s="4" t="n">
        <v>15400</v>
      </c>
      <c r="B252" s="5" t="n">
        <v>17628.852543376</v>
      </c>
      <c r="C252" s="6" t="n">
        <v>1700</v>
      </c>
      <c r="D252" s="7" t="n">
        <v>800</v>
      </c>
      <c r="E252" s="6" t="n">
        <v>2806</v>
      </c>
      <c r="F252" s="5" t="n">
        <v>141495.556034416</v>
      </c>
      <c r="G252" s="8" t="n">
        <v>57.2120301182349</v>
      </c>
    </row>
    <row r="253" customFormat="false" ht="14.35" hidden="false" customHeight="false" outlineLevel="0" collapsed="false">
      <c r="A253" s="4" t="n">
        <v>15431</v>
      </c>
      <c r="B253" s="5" t="n">
        <v>2766.64036681079</v>
      </c>
      <c r="C253" s="6" t="n">
        <v>1700</v>
      </c>
      <c r="D253" s="7" t="n">
        <v>800</v>
      </c>
      <c r="E253" s="6" t="n">
        <v>3058</v>
      </c>
      <c r="F253" s="5" t="n">
        <v>24862.1297648831</v>
      </c>
      <c r="G253" s="8" t="n">
        <v>50.0434930502383</v>
      </c>
    </row>
    <row r="254" customFormat="false" ht="14.35" hidden="false" customHeight="false" outlineLevel="0" collapsed="false">
      <c r="A254" s="4" t="n">
        <v>15461</v>
      </c>
      <c r="B254" s="5" t="n">
        <v>10545.9968775549</v>
      </c>
      <c r="C254" s="6" t="n">
        <v>1000</v>
      </c>
      <c r="D254" s="7" t="n">
        <v>700</v>
      </c>
      <c r="E254" s="6" t="n">
        <v>3281</v>
      </c>
      <c r="F254" s="5" t="n">
        <v>56114.5750861551</v>
      </c>
      <c r="G254" s="8" t="n">
        <v>61.0230055172784</v>
      </c>
    </row>
    <row r="255" customFormat="false" ht="14.35" hidden="false" customHeight="false" outlineLevel="0" collapsed="false">
      <c r="A255" s="4" t="n">
        <v>15492</v>
      </c>
      <c r="B255" s="5" t="n">
        <v>5825.17268675066</v>
      </c>
      <c r="C255" s="6" t="n">
        <v>1000</v>
      </c>
      <c r="D255" s="7" t="n">
        <v>700</v>
      </c>
      <c r="E255" s="6" t="n">
        <v>3538</v>
      </c>
      <c r="F255" s="5" t="n">
        <v>40018.9944294888</v>
      </c>
      <c r="G255" s="8" t="n">
        <v>58.3821554798975</v>
      </c>
    </row>
    <row r="256" customFormat="false" ht="14.35" hidden="false" customHeight="false" outlineLevel="0" collapsed="false">
      <c r="A256" s="4" t="n">
        <v>15522</v>
      </c>
      <c r="B256" s="5" t="n">
        <v>6033.5752185797</v>
      </c>
      <c r="C256" s="6" t="n">
        <v>1000</v>
      </c>
      <c r="D256" s="7" t="n">
        <v>700</v>
      </c>
      <c r="E256" s="6" t="n">
        <v>3538</v>
      </c>
      <c r="F256" s="5" t="n">
        <v>23175.4096270864</v>
      </c>
      <c r="G256" s="8" t="n">
        <v>60.1076726344608</v>
      </c>
    </row>
    <row r="257" customFormat="false" ht="14.35" hidden="false" customHeight="false" outlineLevel="0" collapsed="false">
      <c r="A257" s="4" t="n">
        <v>15553</v>
      </c>
      <c r="B257" s="5" t="n">
        <v>5706.61576065418</v>
      </c>
      <c r="C257" s="6" t="n">
        <v>1000</v>
      </c>
      <c r="D257" s="7" t="n">
        <v>700</v>
      </c>
      <c r="E257" s="6" t="n">
        <v>3252.16182359327</v>
      </c>
      <c r="F257" s="5" t="n">
        <v>8000.00000000008</v>
      </c>
      <c r="G257" s="8" t="n">
        <v>64.8605611429626</v>
      </c>
    </row>
    <row r="258" customFormat="false" ht="14.35" hidden="false" customHeight="false" outlineLevel="0" collapsed="false">
      <c r="A258" s="4" t="n">
        <v>15584</v>
      </c>
      <c r="B258" s="5" t="n">
        <v>5256.34728294781</v>
      </c>
      <c r="C258" s="6" t="n">
        <v>1000</v>
      </c>
      <c r="D258" s="7" t="n">
        <v>700</v>
      </c>
      <c r="E258" s="6" t="n">
        <v>2970.26329042802</v>
      </c>
      <c r="F258" s="5" t="n">
        <v>4000.00000000012</v>
      </c>
      <c r="G258" s="8" t="n">
        <v>74.5717536722553</v>
      </c>
    </row>
    <row r="259" customFormat="false" ht="14.35" hidden="false" customHeight="false" outlineLevel="0" collapsed="false">
      <c r="A259" s="4" t="n">
        <v>15614</v>
      </c>
      <c r="B259" s="5" t="n">
        <v>9797.17691040037</v>
      </c>
      <c r="C259" s="6" t="n">
        <v>1000</v>
      </c>
      <c r="D259" s="7" t="n">
        <v>773.3333333</v>
      </c>
      <c r="E259" s="6" t="n">
        <v>2419.5573456937</v>
      </c>
      <c r="F259" s="5" t="n">
        <v>21093.75</v>
      </c>
      <c r="G259" s="8" t="n">
        <v>83.0682620068265</v>
      </c>
    </row>
    <row r="260" customFormat="false" ht="14.35" hidden="false" customHeight="false" outlineLevel="0" collapsed="false">
      <c r="A260" s="4" t="n">
        <v>15645</v>
      </c>
      <c r="B260" s="5" t="n">
        <v>4000</v>
      </c>
      <c r="C260" s="6" t="n">
        <v>1700</v>
      </c>
      <c r="D260" s="7" t="n">
        <v>800</v>
      </c>
      <c r="E260" s="6" t="n">
        <v>2205.115862707</v>
      </c>
      <c r="F260" s="5" t="n">
        <v>7187.5</v>
      </c>
      <c r="G260" s="8" t="n">
        <v>73.1084618127165</v>
      </c>
    </row>
    <row r="261" customFormat="false" ht="14.35" hidden="false" customHeight="false" outlineLevel="0" collapsed="false">
      <c r="A261" s="4" t="n">
        <v>15675</v>
      </c>
      <c r="B261" s="5" t="n">
        <v>2970.94994000524</v>
      </c>
      <c r="C261" s="6" t="n">
        <v>1700</v>
      </c>
      <c r="D261" s="7" t="n">
        <v>800</v>
      </c>
      <c r="E261" s="6" t="n">
        <v>2180.7237947754</v>
      </c>
      <c r="F261" s="5" t="n">
        <v>16250</v>
      </c>
      <c r="G261" s="8" t="n">
        <v>78.0963545938443</v>
      </c>
    </row>
    <row r="262" customFormat="false" ht="14.35" hidden="false" customHeight="false" outlineLevel="0" collapsed="false">
      <c r="A262" s="4" t="n">
        <v>15706</v>
      </c>
      <c r="B262" s="5" t="n">
        <v>1700</v>
      </c>
      <c r="C262" s="6" t="n">
        <v>1700</v>
      </c>
      <c r="D262" s="7" t="n">
        <v>800</v>
      </c>
      <c r="E262" s="6" t="n">
        <v>2422.59521071965</v>
      </c>
      <c r="F262" s="5" t="n">
        <v>13648.5948873072</v>
      </c>
      <c r="G262" s="8" t="n">
        <v>73.4784231380543</v>
      </c>
    </row>
    <row r="263" customFormat="false" ht="14.35" hidden="false" customHeight="false" outlineLevel="0" collapsed="false">
      <c r="A263" s="4" t="n">
        <v>15737</v>
      </c>
      <c r="B263" s="5" t="n">
        <v>9631.38685922647</v>
      </c>
      <c r="C263" s="6" t="n">
        <v>1700</v>
      </c>
      <c r="D263" s="7" t="n">
        <v>800</v>
      </c>
      <c r="E263" s="6" t="n">
        <v>2788</v>
      </c>
      <c r="F263" s="5" t="n">
        <v>69982.5815769519</v>
      </c>
      <c r="G263" s="8" t="n">
        <v>73.301924903924</v>
      </c>
    </row>
    <row r="264" customFormat="false" ht="14.35" hidden="false" customHeight="false" outlineLevel="0" collapsed="false">
      <c r="A264" s="4" t="n">
        <v>15765</v>
      </c>
      <c r="B264" s="5" t="n">
        <v>7488.2780301827</v>
      </c>
      <c r="C264" s="6" t="n">
        <v>1700</v>
      </c>
      <c r="D264" s="7" t="n">
        <v>800</v>
      </c>
      <c r="E264" s="6" t="n">
        <v>2890</v>
      </c>
      <c r="F264" s="5" t="n">
        <v>58571.691535535</v>
      </c>
      <c r="G264" s="8" t="n">
        <v>60.7142982059849</v>
      </c>
    </row>
    <row r="265" customFormat="false" ht="14.35" hidden="false" customHeight="false" outlineLevel="0" collapsed="false">
      <c r="A265" s="4" t="n">
        <v>15796</v>
      </c>
      <c r="B265" s="5" t="n">
        <v>16061.2709334505</v>
      </c>
      <c r="C265" s="6" t="n">
        <v>1700</v>
      </c>
      <c r="D265" s="7" t="n">
        <v>800</v>
      </c>
      <c r="E265" s="6" t="n">
        <v>2937</v>
      </c>
      <c r="F265" s="5" t="n">
        <v>86974.8780007048</v>
      </c>
      <c r="G265" s="8" t="n">
        <v>57.952457872789</v>
      </c>
    </row>
    <row r="266" customFormat="false" ht="14.35" hidden="false" customHeight="false" outlineLevel="0" collapsed="false">
      <c r="A266" s="4" t="n">
        <v>15826</v>
      </c>
      <c r="B266" s="5" t="n">
        <v>4215.09651846805</v>
      </c>
      <c r="C266" s="6" t="n">
        <v>1000</v>
      </c>
      <c r="D266" s="7" t="n">
        <v>700</v>
      </c>
      <c r="E266" s="6" t="n">
        <v>3350</v>
      </c>
      <c r="F266" s="5" t="n">
        <v>36405.3633558641</v>
      </c>
      <c r="G266" s="8" t="n">
        <v>54.016514622317</v>
      </c>
    </row>
    <row r="267" customFormat="false" ht="14.35" hidden="false" customHeight="false" outlineLevel="0" collapsed="false">
      <c r="A267" s="4" t="n">
        <v>15857</v>
      </c>
      <c r="B267" s="5" t="n">
        <v>1000</v>
      </c>
      <c r="C267" s="6" t="n">
        <v>1000</v>
      </c>
      <c r="D267" s="7" t="n">
        <v>700</v>
      </c>
      <c r="E267" s="6" t="n">
        <v>3526.16858264563</v>
      </c>
      <c r="F267" s="5" t="n">
        <v>19581.2921790493</v>
      </c>
      <c r="G267" s="8" t="n">
        <v>59.4020447121644</v>
      </c>
    </row>
    <row r="268" customFormat="false" ht="14.35" hidden="false" customHeight="false" outlineLevel="0" collapsed="false">
      <c r="A268" s="4" t="n">
        <v>15887</v>
      </c>
      <c r="B268" s="5" t="n">
        <v>1961.50796735375</v>
      </c>
      <c r="C268" s="6" t="n">
        <v>1000</v>
      </c>
      <c r="D268" s="7" t="n">
        <v>700</v>
      </c>
      <c r="E268" s="6" t="n">
        <v>3538</v>
      </c>
      <c r="F268" s="5" t="n">
        <v>7156.28092543757</v>
      </c>
      <c r="G268" s="8" t="n">
        <v>65.9209904694234</v>
      </c>
    </row>
    <row r="269" customFormat="false" ht="14.35" hidden="false" customHeight="false" outlineLevel="0" collapsed="false">
      <c r="A269" s="4" t="n">
        <v>15918</v>
      </c>
      <c r="B269" s="5" t="n">
        <v>9544.67643170014</v>
      </c>
      <c r="C269" s="6" t="n">
        <v>1000</v>
      </c>
      <c r="D269" s="7" t="n">
        <v>700</v>
      </c>
      <c r="E269" s="6" t="n">
        <v>2971.5801353806</v>
      </c>
      <c r="F269" s="5" t="n">
        <v>11359.9808812632</v>
      </c>
      <c r="G269" s="8" t="n">
        <v>75.7736684047302</v>
      </c>
    </row>
    <row r="270" customFormat="false" ht="14.35" hidden="false" customHeight="false" outlineLevel="0" collapsed="false">
      <c r="A270" s="4" t="n">
        <v>15949</v>
      </c>
      <c r="B270" s="5" t="n">
        <v>8087.39805956896</v>
      </c>
      <c r="C270" s="6" t="n">
        <v>1000</v>
      </c>
      <c r="D270" s="7" t="n">
        <v>700</v>
      </c>
      <c r="E270" s="6" t="n">
        <v>2497.5182932487</v>
      </c>
      <c r="F270" s="5" t="n">
        <v>4000</v>
      </c>
      <c r="G270" s="8" t="n">
        <v>75.4611938549119</v>
      </c>
    </row>
    <row r="271" customFormat="false" ht="14.35" hidden="false" customHeight="false" outlineLevel="0" collapsed="false">
      <c r="A271" s="4" t="n">
        <v>15979</v>
      </c>
      <c r="B271" s="5" t="n">
        <v>9752.65636459719</v>
      </c>
      <c r="C271" s="6" t="n">
        <v>1000</v>
      </c>
      <c r="D271" s="7" t="n">
        <v>773.3333333</v>
      </c>
      <c r="E271" s="6" t="n">
        <v>1945.38972085242</v>
      </c>
      <c r="F271" s="5" t="n">
        <v>19375</v>
      </c>
      <c r="G271" s="8" t="n">
        <v>83.3598204987016</v>
      </c>
    </row>
    <row r="272" customFormat="false" ht="14.35" hidden="false" customHeight="false" outlineLevel="0" collapsed="false">
      <c r="A272" s="4" t="n">
        <v>16010</v>
      </c>
      <c r="B272" s="5" t="n">
        <v>4000</v>
      </c>
      <c r="C272" s="6" t="n">
        <v>1700</v>
      </c>
      <c r="D272" s="7" t="n">
        <v>800</v>
      </c>
      <c r="E272" s="6" t="n">
        <v>1729.64395362281</v>
      </c>
      <c r="F272" s="5" t="n">
        <v>7500</v>
      </c>
      <c r="G272" s="8" t="n">
        <v>73.8555329571765</v>
      </c>
    </row>
    <row r="273" customFormat="false" ht="14.35" hidden="false" customHeight="false" outlineLevel="0" collapsed="false">
      <c r="A273" s="4" t="n">
        <v>16040</v>
      </c>
      <c r="B273" s="5" t="n">
        <v>2500</v>
      </c>
      <c r="C273" s="6" t="n">
        <v>1700</v>
      </c>
      <c r="D273" s="7" t="n">
        <v>800</v>
      </c>
      <c r="E273" s="6" t="n">
        <v>1606.38754373238</v>
      </c>
      <c r="F273" s="5" t="n">
        <v>12663.779</v>
      </c>
      <c r="G273" s="8" t="n">
        <v>78.015012404499</v>
      </c>
    </row>
    <row r="274" customFormat="false" ht="14.35" hidden="false" customHeight="false" outlineLevel="0" collapsed="false">
      <c r="A274" s="4" t="n">
        <v>16071</v>
      </c>
      <c r="B274" s="5" t="n">
        <v>2112.03501014648</v>
      </c>
      <c r="C274" s="6" t="n">
        <v>1700</v>
      </c>
      <c r="D274" s="7" t="n">
        <v>800</v>
      </c>
      <c r="E274" s="6" t="n">
        <v>1541.75482612937</v>
      </c>
      <c r="F274" s="5" t="n">
        <v>4500</v>
      </c>
      <c r="G274" s="8" t="n">
        <v>75.3630784170665</v>
      </c>
    </row>
    <row r="275" customFormat="false" ht="14.35" hidden="false" customHeight="false" outlineLevel="0" collapsed="false">
      <c r="A275" s="4" t="n">
        <v>16102</v>
      </c>
      <c r="B275" s="5" t="n">
        <v>1700</v>
      </c>
      <c r="C275" s="6" t="n">
        <v>1700</v>
      </c>
      <c r="D275" s="7" t="n">
        <v>800</v>
      </c>
      <c r="E275" s="6" t="n">
        <v>1574.12758058672</v>
      </c>
      <c r="F275" s="5" t="n">
        <v>10260.8937258566</v>
      </c>
      <c r="G275" s="8" t="n">
        <v>82.4248162369796</v>
      </c>
    </row>
    <row r="276" customFormat="false" ht="14.35" hidden="false" customHeight="false" outlineLevel="0" collapsed="false">
      <c r="A276" s="4" t="n">
        <v>16131</v>
      </c>
      <c r="B276" s="5" t="n">
        <v>1700</v>
      </c>
      <c r="C276" s="6" t="n">
        <v>1700</v>
      </c>
      <c r="D276" s="7" t="n">
        <v>800</v>
      </c>
      <c r="E276" s="6" t="n">
        <v>1738.43754458095</v>
      </c>
      <c r="F276" s="5" t="n">
        <v>25646.5904675035</v>
      </c>
      <c r="G276" s="8" t="n">
        <v>78.4214361667859</v>
      </c>
    </row>
    <row r="277" customFormat="false" ht="14.35" hidden="false" customHeight="false" outlineLevel="0" collapsed="false">
      <c r="A277" s="4" t="n">
        <v>16162</v>
      </c>
      <c r="B277" s="5" t="n">
        <v>1700</v>
      </c>
      <c r="C277" s="6" t="n">
        <v>1700</v>
      </c>
      <c r="D277" s="7" t="n">
        <v>800</v>
      </c>
      <c r="E277" s="6" t="n">
        <v>1980.36163522599</v>
      </c>
      <c r="F277" s="5" t="n">
        <v>16954.1260303594</v>
      </c>
      <c r="G277" s="8" t="n">
        <v>70.0871736839946</v>
      </c>
    </row>
    <row r="278" customFormat="false" ht="14.35" hidden="false" customHeight="false" outlineLevel="0" collapsed="false">
      <c r="A278" s="4" t="n">
        <v>16192</v>
      </c>
      <c r="B278" s="5" t="n">
        <v>1859.20760256783</v>
      </c>
      <c r="C278" s="6" t="n">
        <v>1000</v>
      </c>
      <c r="D278" s="7" t="n">
        <v>700</v>
      </c>
      <c r="E278" s="6" t="n">
        <v>2106.13461239267</v>
      </c>
      <c r="F278" s="5" t="n">
        <v>11621.352654149</v>
      </c>
      <c r="G278" s="8" t="n">
        <v>70.5278645963736</v>
      </c>
    </row>
    <row r="279" customFormat="false" ht="14.35" hidden="false" customHeight="false" outlineLevel="0" collapsed="false">
      <c r="A279" s="4" t="n">
        <v>16223</v>
      </c>
      <c r="B279" s="5" t="n">
        <v>1110.57579613135</v>
      </c>
      <c r="C279" s="6" t="n">
        <v>1000</v>
      </c>
      <c r="D279" s="7" t="n">
        <v>700</v>
      </c>
      <c r="E279" s="6" t="n">
        <v>2358.23978618736</v>
      </c>
      <c r="F279" s="5" t="n">
        <v>8791.56828208052</v>
      </c>
      <c r="G279" s="8" t="n">
        <v>73.567253608993</v>
      </c>
    </row>
    <row r="280" customFormat="false" ht="14.35" hidden="false" customHeight="false" outlineLevel="0" collapsed="false">
      <c r="A280" s="4" t="n">
        <v>16253</v>
      </c>
      <c r="B280" s="5" t="n">
        <v>5248.8924035777</v>
      </c>
      <c r="C280" s="6" t="n">
        <v>1000</v>
      </c>
      <c r="D280" s="7" t="n">
        <v>700</v>
      </c>
      <c r="E280" s="6" t="n">
        <v>2106.65283228916</v>
      </c>
      <c r="F280" s="5" t="n">
        <v>7133.3335</v>
      </c>
      <c r="G280" s="8" t="n">
        <v>76.7025745934821</v>
      </c>
    </row>
    <row r="281" customFormat="false" ht="14.35" hidden="false" customHeight="false" outlineLevel="0" collapsed="false">
      <c r="A281" s="4" t="n">
        <v>16284</v>
      </c>
      <c r="B281" s="5" t="n">
        <v>8931.96195607505</v>
      </c>
      <c r="C281" s="6" t="n">
        <v>1000</v>
      </c>
      <c r="D281" s="7" t="n">
        <v>700</v>
      </c>
      <c r="E281" s="6" t="n">
        <v>1539.32291151353</v>
      </c>
      <c r="F281" s="5" t="n">
        <v>5000.00000000001</v>
      </c>
      <c r="G281" s="8" t="n">
        <v>79.3324908188365</v>
      </c>
    </row>
    <row r="282" customFormat="false" ht="14.35" hidden="false" customHeight="false" outlineLevel="0" collapsed="false">
      <c r="A282" s="4" t="n">
        <v>16315</v>
      </c>
      <c r="B282" s="5" t="n">
        <v>2173.53130282114</v>
      </c>
      <c r="C282" s="6" t="n">
        <v>1000</v>
      </c>
      <c r="D282" s="7" t="n">
        <v>700</v>
      </c>
      <c r="E282" s="6" t="n">
        <v>1382.52816885389</v>
      </c>
      <c r="F282" s="5" t="n">
        <v>3855.09345854266</v>
      </c>
      <c r="G282" s="8" t="n">
        <v>82.9183699138839</v>
      </c>
    </row>
    <row r="283" customFormat="false" ht="14.35" hidden="false" customHeight="false" outlineLevel="0" collapsed="false">
      <c r="A283" s="4" t="n">
        <v>16345</v>
      </c>
      <c r="B283" s="5" t="n">
        <v>1202.64249669328</v>
      </c>
      <c r="C283" s="6" t="n">
        <v>1000</v>
      </c>
      <c r="D283" s="7" t="n">
        <v>773.3333333</v>
      </c>
      <c r="E283" s="6" t="n">
        <v>1280.76035828059</v>
      </c>
      <c r="F283" s="5" t="n">
        <v>3000</v>
      </c>
      <c r="G283" s="8" t="n">
        <v>86.0871254775491</v>
      </c>
    </row>
    <row r="284" customFormat="false" ht="14.35" hidden="false" customHeight="false" outlineLevel="0" collapsed="false">
      <c r="A284" s="4" t="n">
        <v>16376</v>
      </c>
      <c r="B284" s="5" t="n">
        <v>1700</v>
      </c>
      <c r="C284" s="6" t="n">
        <v>1700</v>
      </c>
      <c r="D284" s="7" t="n">
        <v>800</v>
      </c>
      <c r="E284" s="6" t="n">
        <v>1144.58313187031</v>
      </c>
      <c r="F284" s="5" t="n">
        <v>4000</v>
      </c>
      <c r="G284" s="8" t="n">
        <v>89.0481695857385</v>
      </c>
    </row>
    <row r="285" customFormat="false" ht="14.35" hidden="false" customHeight="false" outlineLevel="0" collapsed="false">
      <c r="A285" s="4" t="n">
        <v>16406</v>
      </c>
      <c r="B285" s="5" t="n">
        <v>1700</v>
      </c>
      <c r="C285" s="6" t="n">
        <v>1700</v>
      </c>
      <c r="D285" s="7" t="n">
        <v>800</v>
      </c>
      <c r="E285" s="6" t="n">
        <v>1117.63102801668</v>
      </c>
      <c r="F285" s="5" t="n">
        <v>5429.38533798376</v>
      </c>
      <c r="G285" s="8" t="n">
        <v>87.8136311432666</v>
      </c>
    </row>
    <row r="286" customFormat="false" ht="14.35" hidden="false" customHeight="false" outlineLevel="0" collapsed="false">
      <c r="A286" s="4" t="n">
        <v>16437</v>
      </c>
      <c r="B286" s="5" t="n">
        <v>1700</v>
      </c>
      <c r="C286" s="6" t="n">
        <v>1700</v>
      </c>
      <c r="D286" s="7" t="n">
        <v>800</v>
      </c>
      <c r="E286" s="6" t="n">
        <v>1211.02527909111</v>
      </c>
      <c r="F286" s="5" t="n">
        <v>11487.5616731279</v>
      </c>
      <c r="G286" s="8" t="n">
        <v>85.0669590375823</v>
      </c>
    </row>
    <row r="287" customFormat="false" ht="14.35" hidden="false" customHeight="false" outlineLevel="0" collapsed="false">
      <c r="A287" s="4" t="n">
        <v>16468</v>
      </c>
      <c r="B287" s="5" t="n">
        <v>1700</v>
      </c>
      <c r="C287" s="6" t="n">
        <v>1700</v>
      </c>
      <c r="D287" s="7" t="n">
        <v>800</v>
      </c>
      <c r="E287" s="6" t="n">
        <v>1336.45256715582</v>
      </c>
      <c r="F287" s="5" t="n">
        <v>8978.38827318826</v>
      </c>
      <c r="G287" s="8" t="n">
        <v>78.421927514265</v>
      </c>
    </row>
    <row r="288" customFormat="false" ht="14.35" hidden="false" customHeight="false" outlineLevel="0" collapsed="false">
      <c r="A288" s="4" t="n">
        <v>16496</v>
      </c>
      <c r="B288" s="5" t="n">
        <v>1700</v>
      </c>
      <c r="C288" s="6" t="n">
        <v>1700</v>
      </c>
      <c r="D288" s="7" t="n">
        <v>800</v>
      </c>
      <c r="E288" s="6" t="n">
        <v>1899.57981401193</v>
      </c>
      <c r="F288" s="5" t="n">
        <v>52831.1699289149</v>
      </c>
      <c r="G288" s="8" t="n">
        <v>78.1327563850251</v>
      </c>
    </row>
    <row r="289" customFormat="false" ht="14.35" hidden="false" customHeight="false" outlineLevel="0" collapsed="false">
      <c r="A289" s="4" t="n">
        <v>16527</v>
      </c>
      <c r="B289" s="5" t="n">
        <v>1700</v>
      </c>
      <c r="C289" s="6" t="n">
        <v>1700</v>
      </c>
      <c r="D289" s="7" t="n">
        <v>800</v>
      </c>
      <c r="E289" s="6" t="n">
        <v>2191.16189526761</v>
      </c>
      <c r="F289" s="5" t="n">
        <v>21129.8230401193</v>
      </c>
      <c r="G289" s="8" t="n">
        <v>64.4529050170081</v>
      </c>
    </row>
    <row r="290" customFormat="false" ht="14.35" hidden="false" customHeight="false" outlineLevel="0" collapsed="false">
      <c r="A290" s="4" t="n">
        <v>16557</v>
      </c>
      <c r="B290" s="5" t="n">
        <v>1000</v>
      </c>
      <c r="C290" s="6" t="n">
        <v>1000</v>
      </c>
      <c r="D290" s="7" t="n">
        <v>700</v>
      </c>
      <c r="E290" s="6" t="n">
        <v>2434.79017282631</v>
      </c>
      <c r="F290" s="5" t="n">
        <v>16975.2746287135</v>
      </c>
      <c r="G290" s="8" t="n">
        <v>66.9932503373345</v>
      </c>
    </row>
    <row r="291" customFormat="false" ht="14.35" hidden="false" customHeight="false" outlineLevel="0" collapsed="false">
      <c r="A291" s="4" t="n">
        <v>16588</v>
      </c>
      <c r="B291" s="5" t="n">
        <v>1000</v>
      </c>
      <c r="C291" s="6" t="n">
        <v>1000</v>
      </c>
      <c r="D291" s="7" t="n">
        <v>700</v>
      </c>
      <c r="E291" s="6" t="n">
        <v>2699.08636951966</v>
      </c>
      <c r="F291" s="5" t="n">
        <v>15232.4714662985</v>
      </c>
      <c r="G291" s="8" t="n">
        <v>69.5041207800497</v>
      </c>
    </row>
    <row r="292" customFormat="false" ht="14.35" hidden="false" customHeight="false" outlineLevel="0" collapsed="false">
      <c r="A292" s="4" t="n">
        <v>16618</v>
      </c>
      <c r="B292" s="5" t="n">
        <v>2826.02130715183</v>
      </c>
      <c r="C292" s="6" t="n">
        <v>1000</v>
      </c>
      <c r="D292" s="7" t="n">
        <v>700</v>
      </c>
      <c r="E292" s="6" t="n">
        <v>2612.08381331887</v>
      </c>
      <c r="F292" s="5" t="n">
        <v>6810.4165</v>
      </c>
      <c r="G292" s="8" t="n">
        <v>71.1575537034827</v>
      </c>
    </row>
    <row r="293" customFormat="false" ht="14.35" hidden="false" customHeight="false" outlineLevel="0" collapsed="false">
      <c r="A293" s="4" t="n">
        <v>16649</v>
      </c>
      <c r="B293" s="5" t="n">
        <v>8860.12287876935</v>
      </c>
      <c r="C293" s="6" t="n">
        <v>1000</v>
      </c>
      <c r="D293" s="7" t="n">
        <v>700</v>
      </c>
      <c r="E293" s="6" t="n">
        <v>2031.48973426829</v>
      </c>
      <c r="F293" s="5" t="n">
        <v>6927.07787563879</v>
      </c>
      <c r="G293" s="8" t="n">
        <v>77.8699307830248</v>
      </c>
    </row>
    <row r="294" customFormat="false" ht="14.35" hidden="false" customHeight="false" outlineLevel="0" collapsed="false">
      <c r="A294" s="4" t="n">
        <v>16680</v>
      </c>
      <c r="B294" s="5" t="n">
        <v>7813.84743060042</v>
      </c>
      <c r="C294" s="6" t="n">
        <v>1000</v>
      </c>
      <c r="D294" s="7" t="n">
        <v>700</v>
      </c>
      <c r="E294" s="6" t="n">
        <v>1540.32818988437</v>
      </c>
      <c r="F294" s="5" t="n">
        <v>4000</v>
      </c>
      <c r="G294" s="8" t="n">
        <v>79.9400545735436</v>
      </c>
    </row>
    <row r="295" customFormat="false" ht="14.35" hidden="false" customHeight="false" outlineLevel="0" collapsed="false">
      <c r="A295" s="4" t="n">
        <v>16710</v>
      </c>
      <c r="B295" s="5" t="n">
        <v>1405.91779142264</v>
      </c>
      <c r="C295" s="6" t="n">
        <v>1000</v>
      </c>
      <c r="D295" s="7" t="n">
        <v>773.3333333</v>
      </c>
      <c r="E295" s="6" t="n">
        <v>1465.9330442594</v>
      </c>
      <c r="F295" s="5" t="n">
        <v>3000</v>
      </c>
      <c r="G295" s="8" t="n">
        <v>84.8279910422691</v>
      </c>
    </row>
    <row r="296" customFormat="false" ht="14.35" hidden="false" customHeight="false" outlineLevel="0" collapsed="false">
      <c r="A296" s="4" t="n">
        <v>16741</v>
      </c>
      <c r="B296" s="5" t="n">
        <v>1903.26880925887</v>
      </c>
      <c r="C296" s="6" t="n">
        <v>1700</v>
      </c>
      <c r="D296" s="7" t="n">
        <v>800</v>
      </c>
      <c r="E296" s="6" t="n">
        <v>1364.35314259757</v>
      </c>
      <c r="F296" s="5" t="n">
        <v>4000</v>
      </c>
      <c r="G296" s="8" t="n">
        <v>88.6354253178538</v>
      </c>
    </row>
    <row r="297" customFormat="false" ht="14.35" hidden="false" customHeight="false" outlineLevel="0" collapsed="false">
      <c r="A297" s="4" t="n">
        <v>16771</v>
      </c>
      <c r="B297" s="5" t="n">
        <v>1700</v>
      </c>
      <c r="C297" s="6" t="n">
        <v>1700</v>
      </c>
      <c r="D297" s="7" t="n">
        <v>800</v>
      </c>
      <c r="E297" s="6" t="n">
        <v>1346.27969040908</v>
      </c>
      <c r="F297" s="5" t="n">
        <v>7493.01010497456</v>
      </c>
      <c r="G297" s="8" t="n">
        <v>87.6783335722539</v>
      </c>
    </row>
    <row r="298" customFormat="false" ht="14.35" hidden="false" customHeight="false" outlineLevel="0" collapsed="false">
      <c r="A298" s="4" t="n">
        <v>16802</v>
      </c>
      <c r="B298" s="5" t="n">
        <v>1700</v>
      </c>
      <c r="C298" s="6" t="n">
        <v>1700</v>
      </c>
      <c r="D298" s="7" t="n">
        <v>800</v>
      </c>
      <c r="E298" s="6" t="n">
        <v>1894.67457229442</v>
      </c>
      <c r="F298" s="5" t="n">
        <v>68999.4303593321</v>
      </c>
      <c r="G298" s="8" t="n">
        <v>82.5532737273022</v>
      </c>
    </row>
    <row r="299" customFormat="false" ht="14.35" hidden="false" customHeight="false" outlineLevel="0" collapsed="false">
      <c r="A299" s="4" t="n">
        <v>16833</v>
      </c>
      <c r="B299" s="5" t="n">
        <v>1700</v>
      </c>
      <c r="C299" s="6" t="n">
        <v>1700</v>
      </c>
      <c r="D299" s="7" t="n">
        <v>800</v>
      </c>
      <c r="E299" s="6" t="n">
        <v>2256.80999481656</v>
      </c>
      <c r="F299" s="5" t="n">
        <v>47488.7399218238</v>
      </c>
      <c r="G299" s="8" t="n">
        <v>63.8553399586634</v>
      </c>
    </row>
    <row r="300" customFormat="false" ht="14.35" hidden="false" customHeight="false" outlineLevel="0" collapsed="false">
      <c r="A300" s="4" t="n">
        <v>16861</v>
      </c>
      <c r="B300" s="5" t="n">
        <v>1700</v>
      </c>
      <c r="C300" s="6" t="n">
        <v>1700</v>
      </c>
      <c r="D300" s="7" t="n">
        <v>800</v>
      </c>
      <c r="E300" s="6" t="n">
        <v>2460.84905294729</v>
      </c>
      <c r="F300" s="5" t="n">
        <v>15304.5283724273</v>
      </c>
      <c r="G300" s="8" t="n">
        <v>60.5899555355646</v>
      </c>
    </row>
    <row r="301" customFormat="false" ht="14.35" hidden="false" customHeight="false" outlineLevel="0" collapsed="false">
      <c r="A301" s="4" t="n">
        <v>16892</v>
      </c>
      <c r="B301" s="5" t="n">
        <v>1700</v>
      </c>
      <c r="C301" s="6" t="n">
        <v>1700</v>
      </c>
      <c r="D301" s="7" t="n">
        <v>800</v>
      </c>
      <c r="E301" s="6" t="n">
        <v>2752.64462091919</v>
      </c>
      <c r="F301" s="5" t="n">
        <v>14844.2952047473</v>
      </c>
      <c r="G301" s="8" t="n">
        <v>68.1993152924218</v>
      </c>
    </row>
    <row r="302" customFormat="false" ht="14.35" hidden="false" customHeight="false" outlineLevel="0" collapsed="false">
      <c r="A302" s="4" t="n">
        <v>16922</v>
      </c>
      <c r="B302" s="5" t="n">
        <v>1000</v>
      </c>
      <c r="C302" s="6" t="n">
        <v>1000</v>
      </c>
      <c r="D302" s="7" t="n">
        <v>700</v>
      </c>
      <c r="E302" s="6" t="n">
        <v>3077.4515760486</v>
      </c>
      <c r="F302" s="5" t="n">
        <v>18035.7277993404</v>
      </c>
      <c r="G302" s="8" t="n">
        <v>70.9277089223092</v>
      </c>
    </row>
    <row r="303" customFormat="false" ht="14.35" hidden="false" customHeight="false" outlineLevel="0" collapsed="false">
      <c r="A303" s="4" t="n">
        <v>16953</v>
      </c>
      <c r="B303" s="5" t="n">
        <v>1000</v>
      </c>
      <c r="C303" s="6" t="n">
        <v>1000</v>
      </c>
      <c r="D303" s="7" t="n">
        <v>700</v>
      </c>
      <c r="E303" s="6" t="n">
        <v>3290.5544564414</v>
      </c>
      <c r="F303" s="5" t="n">
        <v>15270.8971930341</v>
      </c>
      <c r="G303" s="8" t="n">
        <v>70.3293436707506</v>
      </c>
    </row>
    <row r="304" customFormat="false" ht="14.35" hidden="false" customHeight="false" outlineLevel="0" collapsed="false">
      <c r="A304" s="4" t="n">
        <v>16983</v>
      </c>
      <c r="B304" s="5" t="n">
        <v>3871.70308160316</v>
      </c>
      <c r="C304" s="6" t="n">
        <v>1000</v>
      </c>
      <c r="D304" s="7" t="n">
        <v>700</v>
      </c>
      <c r="E304" s="6" t="n">
        <v>3116.18272040558</v>
      </c>
      <c r="F304" s="5" t="n">
        <v>7400</v>
      </c>
      <c r="G304" s="8" t="n">
        <v>71.4087494877956</v>
      </c>
    </row>
    <row r="305" customFormat="false" ht="14.35" hidden="false" customHeight="false" outlineLevel="0" collapsed="false">
      <c r="A305" s="4" t="n">
        <v>17014</v>
      </c>
      <c r="B305" s="5" t="n">
        <v>9786.8666421669</v>
      </c>
      <c r="C305" s="6" t="n">
        <v>1000</v>
      </c>
      <c r="D305" s="7" t="n">
        <v>700</v>
      </c>
      <c r="E305" s="6" t="n">
        <v>2526.5586408691</v>
      </c>
      <c r="F305" s="5" t="n">
        <v>7018.23322509114</v>
      </c>
      <c r="G305" s="8" t="n">
        <v>77.3158482288477</v>
      </c>
    </row>
    <row r="306" customFormat="false" ht="14.35" hidden="false" customHeight="false" outlineLevel="0" collapsed="false">
      <c r="A306" s="4" t="n">
        <v>17045</v>
      </c>
      <c r="B306" s="5" t="n">
        <v>8458.05901194379</v>
      </c>
      <c r="C306" s="6" t="n">
        <v>1000</v>
      </c>
      <c r="D306" s="7" t="n">
        <v>700</v>
      </c>
      <c r="E306" s="6" t="n">
        <v>2022.59258638361</v>
      </c>
      <c r="F306" s="5" t="n">
        <v>4000</v>
      </c>
      <c r="G306" s="8" t="n">
        <v>79.6582144448237</v>
      </c>
    </row>
    <row r="307" customFormat="false" ht="14.35" hidden="false" customHeight="false" outlineLevel="0" collapsed="false">
      <c r="A307" s="4" t="n">
        <v>17075</v>
      </c>
      <c r="B307" s="5" t="n">
        <v>5499.57215322607</v>
      </c>
      <c r="C307" s="6" t="n">
        <v>1000</v>
      </c>
      <c r="D307" s="7" t="n">
        <v>773.3333333</v>
      </c>
      <c r="E307" s="6" t="n">
        <v>1683.61390154908</v>
      </c>
      <c r="F307" s="5" t="n">
        <v>3753.80992884066</v>
      </c>
      <c r="G307" s="8" t="n">
        <v>84.7356038480747</v>
      </c>
    </row>
    <row r="308" customFormat="false" ht="14.35" hidden="false" customHeight="false" outlineLevel="0" collapsed="false">
      <c r="A308" s="4" t="n">
        <v>17106</v>
      </c>
      <c r="B308" s="5" t="n">
        <v>2192.58225734145</v>
      </c>
      <c r="C308" s="6" t="n">
        <v>1700</v>
      </c>
      <c r="D308" s="7" t="n">
        <v>800</v>
      </c>
      <c r="E308" s="6" t="n">
        <v>1532.10691464803</v>
      </c>
      <c r="F308" s="5" t="n">
        <v>4000</v>
      </c>
      <c r="G308" s="8" t="n">
        <v>86.8868952225421</v>
      </c>
    </row>
    <row r="309" customFormat="false" ht="14.35" hidden="false" customHeight="false" outlineLevel="0" collapsed="false">
      <c r="A309" s="4" t="n">
        <v>17136</v>
      </c>
      <c r="B309" s="5" t="n">
        <v>1700</v>
      </c>
      <c r="C309" s="6" t="n">
        <v>1700</v>
      </c>
      <c r="D309" s="7" t="n">
        <v>800</v>
      </c>
      <c r="E309" s="6" t="n">
        <v>1485.85153134074</v>
      </c>
      <c r="F309" s="5" t="n">
        <v>4500</v>
      </c>
      <c r="G309" s="8" t="n">
        <v>87.1051654070108</v>
      </c>
    </row>
    <row r="310" customFormat="false" ht="14.35" hidden="false" customHeight="false" outlineLevel="0" collapsed="false">
      <c r="A310" s="4" t="n">
        <v>17167</v>
      </c>
      <c r="B310" s="5" t="n">
        <v>1700</v>
      </c>
      <c r="C310" s="6" t="n">
        <v>1700</v>
      </c>
      <c r="D310" s="7" t="n">
        <v>800</v>
      </c>
      <c r="E310" s="6" t="n">
        <v>1504.32301346622</v>
      </c>
      <c r="F310" s="5" t="n">
        <v>8813.19292512071</v>
      </c>
      <c r="G310" s="8" t="n">
        <v>86.2738723522833</v>
      </c>
    </row>
    <row r="311" customFormat="false" ht="14.35" hidden="false" customHeight="false" outlineLevel="0" collapsed="false">
      <c r="A311" s="4" t="n">
        <v>17198</v>
      </c>
      <c r="B311" s="5" t="n">
        <v>1700</v>
      </c>
      <c r="C311" s="6" t="n">
        <v>1700</v>
      </c>
      <c r="D311" s="7" t="n">
        <v>800</v>
      </c>
      <c r="E311" s="6" t="n">
        <v>1528.9621758231</v>
      </c>
      <c r="F311" s="5" t="n">
        <v>6838.25354865197</v>
      </c>
      <c r="G311" s="8" t="n">
        <v>80.8489730154579</v>
      </c>
    </row>
    <row r="312" customFormat="false" ht="14.35" hidden="false" customHeight="false" outlineLevel="0" collapsed="false">
      <c r="A312" s="4" t="n">
        <v>17226</v>
      </c>
      <c r="B312" s="5" t="n">
        <v>1700</v>
      </c>
      <c r="C312" s="6" t="n">
        <v>1700</v>
      </c>
      <c r="D312" s="7" t="n">
        <v>800</v>
      </c>
      <c r="E312" s="6" t="n">
        <v>1764.61280134789</v>
      </c>
      <c r="F312" s="5" t="n">
        <v>16743.6540149222</v>
      </c>
      <c r="G312" s="8" t="n">
        <v>81.015510582891</v>
      </c>
    </row>
    <row r="313" customFormat="false" ht="14.35" hidden="false" customHeight="false" outlineLevel="0" collapsed="false">
      <c r="A313" s="4" t="n">
        <v>17257</v>
      </c>
      <c r="B313" s="5" t="n">
        <v>1700</v>
      </c>
      <c r="C313" s="6" t="n">
        <v>1700</v>
      </c>
      <c r="D313" s="7" t="n">
        <v>800</v>
      </c>
      <c r="E313" s="6" t="n">
        <v>2092.37190429737</v>
      </c>
      <c r="F313" s="5" t="n">
        <v>16140.6513592961</v>
      </c>
      <c r="G313" s="8" t="n">
        <v>74.2059276099092</v>
      </c>
    </row>
    <row r="314" customFormat="false" ht="14.35" hidden="false" customHeight="false" outlineLevel="0" collapsed="false">
      <c r="A314" s="4" t="n">
        <v>17287</v>
      </c>
      <c r="B314" s="5" t="n">
        <v>1000</v>
      </c>
      <c r="C314" s="6" t="n">
        <v>1000</v>
      </c>
      <c r="D314" s="7" t="n">
        <v>700</v>
      </c>
      <c r="E314" s="6" t="n">
        <v>2248.33405291233</v>
      </c>
      <c r="F314" s="5" t="n">
        <v>13354.1936424564</v>
      </c>
      <c r="G314" s="8" t="n">
        <v>72.2548964183156</v>
      </c>
    </row>
    <row r="315" customFormat="false" ht="14.35" hidden="false" customHeight="false" outlineLevel="0" collapsed="false">
      <c r="A315" s="4" t="n">
        <v>17318</v>
      </c>
      <c r="B315" s="5" t="n">
        <v>2555.87286436171</v>
      </c>
      <c r="C315" s="6" t="n">
        <v>1000</v>
      </c>
      <c r="D315" s="7" t="n">
        <v>700</v>
      </c>
      <c r="E315" s="6" t="n">
        <v>2120.55199296807</v>
      </c>
      <c r="F315" s="5" t="n">
        <v>7295.3739739157</v>
      </c>
      <c r="G315" s="8" t="n">
        <v>73.0680031804962</v>
      </c>
    </row>
    <row r="316" customFormat="false" ht="14.35" hidden="false" customHeight="false" outlineLevel="0" collapsed="false">
      <c r="A316" s="4" t="n">
        <v>17348</v>
      </c>
      <c r="B316" s="5" t="n">
        <v>3734.58412545067</v>
      </c>
      <c r="C316" s="6" t="n">
        <v>1000</v>
      </c>
      <c r="D316" s="7" t="n">
        <v>700</v>
      </c>
      <c r="E316" s="6" t="n">
        <v>1901.92329973802</v>
      </c>
      <c r="F316" s="5" t="n">
        <v>7100</v>
      </c>
      <c r="G316" s="8" t="n">
        <v>77.9689020171823</v>
      </c>
    </row>
    <row r="317" customFormat="false" ht="14.35" hidden="false" customHeight="false" outlineLevel="0" collapsed="false">
      <c r="A317" s="4" t="n">
        <v>17379</v>
      </c>
      <c r="B317" s="5" t="n">
        <v>5350.20622000772</v>
      </c>
      <c r="C317" s="6" t="n">
        <v>1000</v>
      </c>
      <c r="D317" s="7" t="n">
        <v>700</v>
      </c>
      <c r="E317" s="6" t="n">
        <v>1539.48450172827</v>
      </c>
      <c r="F317" s="5" t="n">
        <v>5000</v>
      </c>
      <c r="G317" s="8" t="n">
        <v>79.7834962263407</v>
      </c>
    </row>
    <row r="318" customFormat="false" ht="14.35" hidden="false" customHeight="false" outlineLevel="0" collapsed="false">
      <c r="A318" s="4" t="n">
        <v>17410</v>
      </c>
      <c r="B318" s="5" t="n">
        <v>2000.49064314944</v>
      </c>
      <c r="C318" s="6" t="n">
        <v>1000</v>
      </c>
      <c r="D318" s="7" t="n">
        <v>700</v>
      </c>
      <c r="E318" s="6" t="n">
        <v>1390.88831285243</v>
      </c>
      <c r="F318" s="5" t="n">
        <v>3500</v>
      </c>
      <c r="G318" s="8" t="n">
        <v>83.0662094864637</v>
      </c>
    </row>
    <row r="319" customFormat="false" ht="14.35" hidden="false" customHeight="false" outlineLevel="0" collapsed="false">
      <c r="A319" s="4" t="n">
        <v>17440</v>
      </c>
      <c r="B319" s="5" t="n">
        <v>1168.48279285209</v>
      </c>
      <c r="C319" s="6" t="n">
        <v>1000</v>
      </c>
      <c r="D319" s="7" t="n">
        <v>773.3333333</v>
      </c>
      <c r="E319" s="6" t="n">
        <v>1281.79522076922</v>
      </c>
      <c r="F319" s="5" t="n">
        <v>3000</v>
      </c>
      <c r="G319" s="8" t="n">
        <v>86.8763024868805</v>
      </c>
    </row>
    <row r="320" customFormat="false" ht="14.35" hidden="false" customHeight="false" outlineLevel="0" collapsed="false">
      <c r="A320" s="4" t="n">
        <v>17471</v>
      </c>
      <c r="B320" s="5" t="n">
        <v>1200</v>
      </c>
      <c r="C320" s="6" t="n">
        <v>1200</v>
      </c>
      <c r="D320" s="7" t="n">
        <v>800</v>
      </c>
      <c r="E320" s="6" t="n">
        <v>1231.76100225595</v>
      </c>
      <c r="F320" s="5" t="n">
        <v>4000</v>
      </c>
      <c r="G320" s="8" t="n">
        <v>89.3068618093974</v>
      </c>
    </row>
    <row r="321" customFormat="false" ht="14.35" hidden="false" customHeight="false" outlineLevel="0" collapsed="false">
      <c r="A321" s="4" t="n">
        <v>17501</v>
      </c>
      <c r="B321" s="5" t="n">
        <v>1200.00000000001</v>
      </c>
      <c r="C321" s="6" t="n">
        <v>1200</v>
      </c>
      <c r="D321" s="7" t="n">
        <v>800</v>
      </c>
      <c r="E321" s="6" t="n">
        <v>1137.31026491456</v>
      </c>
      <c r="F321" s="5" t="n">
        <v>4500</v>
      </c>
      <c r="G321" s="8" t="n">
        <v>87.8984304541819</v>
      </c>
    </row>
    <row r="322" customFormat="false" ht="14.35" hidden="false" customHeight="false" outlineLevel="0" collapsed="false">
      <c r="A322" s="4" t="n">
        <v>17532</v>
      </c>
      <c r="B322" s="5" t="n">
        <v>1200</v>
      </c>
      <c r="C322" s="6" t="n">
        <v>1200</v>
      </c>
      <c r="D322" s="7" t="n">
        <v>800</v>
      </c>
      <c r="E322" s="6" t="n">
        <v>1070.56760088701</v>
      </c>
      <c r="F322" s="5" t="n">
        <v>4557.46399271204</v>
      </c>
      <c r="G322" s="8" t="n">
        <v>86.533904634746</v>
      </c>
    </row>
    <row r="323" customFormat="false" ht="14.35" hidden="false" customHeight="false" outlineLevel="0" collapsed="false">
      <c r="A323" s="4" t="n">
        <v>17563</v>
      </c>
      <c r="B323" s="5" t="n">
        <v>1200</v>
      </c>
      <c r="C323" s="6" t="n">
        <v>1200</v>
      </c>
      <c r="D323" s="7" t="n">
        <v>800</v>
      </c>
      <c r="E323" s="6" t="n">
        <v>1346.49531288495</v>
      </c>
      <c r="F323" s="5" t="n">
        <v>11421.6603488614</v>
      </c>
      <c r="G323" s="8" t="n">
        <v>85.9893486456479</v>
      </c>
    </row>
    <row r="324" customFormat="false" ht="14.35" hidden="false" customHeight="false" outlineLevel="0" collapsed="false">
      <c r="A324" s="4" t="n">
        <v>17592</v>
      </c>
      <c r="B324" s="5" t="n">
        <v>1200</v>
      </c>
      <c r="C324" s="6" t="n">
        <v>1200</v>
      </c>
      <c r="D324" s="7" t="n">
        <v>800</v>
      </c>
      <c r="E324" s="6" t="n">
        <v>1441.4569371661</v>
      </c>
      <c r="F324" s="5" t="n">
        <v>11144.827</v>
      </c>
      <c r="G324" s="8" t="n">
        <v>78.7683873787381</v>
      </c>
    </row>
    <row r="325" customFormat="false" ht="14.35" hidden="false" customHeight="false" outlineLevel="0" collapsed="false">
      <c r="A325" s="4" t="n">
        <v>17623</v>
      </c>
      <c r="B325" s="5" t="n">
        <v>1000</v>
      </c>
      <c r="C325" s="6" t="n">
        <v>1000</v>
      </c>
      <c r="D325" s="7" t="n">
        <v>800</v>
      </c>
      <c r="E325" s="6" t="n">
        <v>1597.56500768499</v>
      </c>
      <c r="F325" s="5" t="n">
        <v>11893.6488714074</v>
      </c>
      <c r="G325" s="8" t="n">
        <v>76.589433084244</v>
      </c>
    </row>
    <row r="326" customFormat="false" ht="14.35" hidden="false" customHeight="false" outlineLevel="0" collapsed="false">
      <c r="A326" s="4" t="n">
        <v>17653</v>
      </c>
      <c r="B326" s="5" t="n">
        <v>1000</v>
      </c>
      <c r="C326" s="6" t="n">
        <v>1000</v>
      </c>
      <c r="D326" s="7" t="n">
        <v>700</v>
      </c>
      <c r="E326" s="6" t="n">
        <v>2256.67678106748</v>
      </c>
      <c r="F326" s="5" t="n">
        <v>29460.6958747927</v>
      </c>
      <c r="G326" s="8" t="n">
        <v>75.3767044213745</v>
      </c>
    </row>
    <row r="327" customFormat="false" ht="14.35" hidden="false" customHeight="false" outlineLevel="0" collapsed="false">
      <c r="A327" s="4" t="n">
        <v>17684</v>
      </c>
      <c r="B327" s="5" t="n">
        <v>1000</v>
      </c>
      <c r="C327" s="6" t="n">
        <v>1000</v>
      </c>
      <c r="D327" s="7" t="n">
        <v>700</v>
      </c>
      <c r="E327" s="6" t="n">
        <v>2722.19989910099</v>
      </c>
      <c r="F327" s="5" t="n">
        <v>30672.1657956126</v>
      </c>
      <c r="G327" s="8" t="n">
        <v>68.026344744194</v>
      </c>
    </row>
    <row r="328" customFormat="false" ht="14.35" hidden="false" customHeight="false" outlineLevel="0" collapsed="false">
      <c r="A328" s="4" t="n">
        <v>17714</v>
      </c>
      <c r="B328" s="5" t="n">
        <v>1000</v>
      </c>
      <c r="C328" s="6" t="n">
        <v>1000</v>
      </c>
      <c r="D328" s="7" t="n">
        <v>700</v>
      </c>
      <c r="E328" s="6" t="n">
        <v>2884.15107623864</v>
      </c>
      <c r="F328" s="5" t="n">
        <v>14562.1197929218</v>
      </c>
      <c r="G328" s="8" t="n">
        <v>65.3079963867884</v>
      </c>
    </row>
    <row r="329" customFormat="false" ht="14.35" hidden="false" customHeight="false" outlineLevel="0" collapsed="false">
      <c r="A329" s="4" t="n">
        <v>17745</v>
      </c>
      <c r="B329" s="5" t="n">
        <v>8819.0468888519</v>
      </c>
      <c r="C329" s="6" t="n">
        <v>1000</v>
      </c>
      <c r="D329" s="7" t="n">
        <v>700</v>
      </c>
      <c r="E329" s="6" t="n">
        <v>2369.98703712017</v>
      </c>
      <c r="F329" s="5" t="n">
        <v>6500</v>
      </c>
      <c r="G329" s="8" t="n">
        <v>70.1270470364697</v>
      </c>
    </row>
    <row r="330" customFormat="false" ht="14.35" hidden="false" customHeight="false" outlineLevel="0" collapsed="false">
      <c r="A330" s="4" t="n">
        <v>17776</v>
      </c>
      <c r="B330" s="5" t="n">
        <v>8008.09758556615</v>
      </c>
      <c r="C330" s="6" t="n">
        <v>1000</v>
      </c>
      <c r="D330" s="7" t="n">
        <v>700</v>
      </c>
      <c r="E330" s="6" t="n">
        <v>1866.4855216079</v>
      </c>
      <c r="F330" s="5" t="n">
        <v>4000</v>
      </c>
      <c r="G330" s="8" t="n">
        <v>77.8897252738084</v>
      </c>
    </row>
    <row r="331" customFormat="false" ht="14.35" hidden="false" customHeight="false" outlineLevel="0" collapsed="false">
      <c r="A331" s="4" t="n">
        <v>17806</v>
      </c>
      <c r="B331" s="5" t="n">
        <v>2434.69459956225</v>
      </c>
      <c r="C331" s="6" t="n">
        <v>1000</v>
      </c>
      <c r="D331" s="7" t="n">
        <v>773.3333333</v>
      </c>
      <c r="E331" s="6" t="n">
        <v>1689.80331545547</v>
      </c>
      <c r="F331" s="5" t="n">
        <v>4101.3305327256</v>
      </c>
      <c r="G331" s="8" t="n">
        <v>84.1558930978159</v>
      </c>
    </row>
    <row r="332" customFormat="false" ht="14.35" hidden="false" customHeight="false" outlineLevel="0" collapsed="false">
      <c r="A332" s="4" t="n">
        <v>17837</v>
      </c>
      <c r="B332" s="5" t="n">
        <v>1996.13118620797</v>
      </c>
      <c r="C332" s="6" t="n">
        <v>1700</v>
      </c>
      <c r="D332" s="7" t="n">
        <v>800</v>
      </c>
      <c r="E332" s="6" t="n">
        <v>1547.28343525322</v>
      </c>
      <c r="F332" s="5" t="n">
        <v>4000</v>
      </c>
      <c r="G332" s="8" t="n">
        <v>86.0181795461669</v>
      </c>
    </row>
    <row r="333" customFormat="false" ht="14.35" hidden="false" customHeight="false" outlineLevel="0" collapsed="false">
      <c r="A333" s="4" t="n">
        <v>17867</v>
      </c>
      <c r="B333" s="5" t="n">
        <v>1700</v>
      </c>
      <c r="C333" s="6" t="n">
        <v>1700</v>
      </c>
      <c r="D333" s="7" t="n">
        <v>800</v>
      </c>
      <c r="E333" s="6" t="n">
        <v>1413.42358428188</v>
      </c>
      <c r="F333" s="5" t="n">
        <v>4500</v>
      </c>
      <c r="G333" s="8" t="n">
        <v>86.820400408295</v>
      </c>
    </row>
    <row r="334" customFormat="false" ht="14.35" hidden="false" customHeight="false" outlineLevel="0" collapsed="false">
      <c r="A334" s="4" t="n">
        <v>17898</v>
      </c>
      <c r="B334" s="5" t="n">
        <v>1700</v>
      </c>
      <c r="C334" s="6" t="n">
        <v>1700</v>
      </c>
      <c r="D334" s="7" t="n">
        <v>800</v>
      </c>
      <c r="E334" s="6" t="n">
        <v>1355.76104264709</v>
      </c>
      <c r="F334" s="5" t="n">
        <v>6247.27264907527</v>
      </c>
      <c r="G334" s="8" t="n">
        <v>86.1805263857043</v>
      </c>
    </row>
    <row r="335" customFormat="false" ht="14.35" hidden="false" customHeight="false" outlineLevel="0" collapsed="false">
      <c r="A335" s="4" t="n">
        <v>17929</v>
      </c>
      <c r="B335" s="5" t="n">
        <v>1700</v>
      </c>
      <c r="C335" s="6" t="n">
        <v>1700</v>
      </c>
      <c r="D335" s="7" t="n">
        <v>800</v>
      </c>
      <c r="E335" s="6" t="n">
        <v>1370.5321681973</v>
      </c>
      <c r="F335" s="5" t="n">
        <v>6951.89700846747</v>
      </c>
      <c r="G335" s="8" t="n">
        <v>83.4560399261943</v>
      </c>
    </row>
    <row r="336" customFormat="false" ht="14.35" hidden="false" customHeight="false" outlineLevel="0" collapsed="false">
      <c r="A336" s="4" t="n">
        <v>17957</v>
      </c>
      <c r="B336" s="5" t="n">
        <v>1700</v>
      </c>
      <c r="C336" s="6" t="n">
        <v>1700</v>
      </c>
      <c r="D336" s="7" t="n">
        <v>800</v>
      </c>
      <c r="E336" s="6" t="n">
        <v>1451.32576438163</v>
      </c>
      <c r="F336" s="5" t="n">
        <v>10499.6904488489</v>
      </c>
      <c r="G336" s="8" t="n">
        <v>81.7437661227166</v>
      </c>
    </row>
    <row r="337" customFormat="false" ht="14.35" hidden="false" customHeight="false" outlineLevel="0" collapsed="false">
      <c r="A337" s="4" t="n">
        <v>17988</v>
      </c>
      <c r="B337" s="5" t="n">
        <v>1700</v>
      </c>
      <c r="C337" s="6" t="n">
        <v>1700</v>
      </c>
      <c r="D337" s="7" t="n">
        <v>800</v>
      </c>
      <c r="E337" s="6" t="n">
        <v>1698.38091472783</v>
      </c>
      <c r="F337" s="5" t="n">
        <v>44922.1501479463</v>
      </c>
      <c r="G337" s="8" t="n">
        <v>78.0218413908873</v>
      </c>
    </row>
    <row r="338" customFormat="false" ht="14.35" hidden="false" customHeight="false" outlineLevel="0" collapsed="false">
      <c r="A338" s="4" t="n">
        <v>18018</v>
      </c>
      <c r="B338" s="5" t="n">
        <v>1161.3008436976</v>
      </c>
      <c r="C338" s="6" t="n">
        <v>750</v>
      </c>
      <c r="D338" s="7" t="n">
        <v>700</v>
      </c>
      <c r="E338" s="6" t="n">
        <v>1990.71612865779</v>
      </c>
      <c r="F338" s="5" t="n">
        <v>13712.8086819512</v>
      </c>
      <c r="G338" s="8" t="n">
        <v>65.6596311633922</v>
      </c>
    </row>
    <row r="339" customFormat="false" ht="14.35" hidden="false" customHeight="false" outlineLevel="0" collapsed="false">
      <c r="A339" s="4" t="n">
        <v>18049</v>
      </c>
      <c r="B339" s="5" t="n">
        <v>750</v>
      </c>
      <c r="C339" s="6" t="n">
        <v>750</v>
      </c>
      <c r="D339" s="7" t="n">
        <v>700</v>
      </c>
      <c r="E339" s="6" t="n">
        <v>2199.92239508497</v>
      </c>
      <c r="F339" s="5" t="n">
        <v>11676.1968436819</v>
      </c>
      <c r="G339" s="8" t="n">
        <v>70.7029458375781</v>
      </c>
    </row>
    <row r="340" customFormat="false" ht="14.35" hidden="false" customHeight="false" outlineLevel="0" collapsed="false">
      <c r="A340" s="4" t="n">
        <v>18079</v>
      </c>
      <c r="B340" s="5" t="n">
        <v>4330.08589476217</v>
      </c>
      <c r="C340" s="6" t="n">
        <v>750</v>
      </c>
      <c r="D340" s="7" t="n">
        <v>700</v>
      </c>
      <c r="E340" s="6" t="n">
        <v>1948.98135234924</v>
      </c>
      <c r="F340" s="5" t="n">
        <v>6752.9165</v>
      </c>
      <c r="G340" s="8" t="n">
        <v>73.5885557952325</v>
      </c>
    </row>
    <row r="341" customFormat="false" ht="14.35" hidden="false" customHeight="false" outlineLevel="0" collapsed="false">
      <c r="A341" s="4" t="n">
        <v>18110</v>
      </c>
      <c r="B341" s="5" t="n">
        <v>6630.10072227798</v>
      </c>
      <c r="C341" s="6" t="n">
        <v>750</v>
      </c>
      <c r="D341" s="7" t="n">
        <v>700</v>
      </c>
      <c r="E341" s="6" t="n">
        <v>1535.88970551618</v>
      </c>
      <c r="F341" s="5" t="n">
        <v>5000</v>
      </c>
      <c r="G341" s="8" t="n">
        <v>78.7318057381477</v>
      </c>
    </row>
    <row r="342" customFormat="false" ht="14.35" hidden="false" customHeight="false" outlineLevel="0" collapsed="false">
      <c r="A342" s="4" t="n">
        <v>18141</v>
      </c>
      <c r="B342" s="5" t="n">
        <v>1676.83563250141</v>
      </c>
      <c r="C342" s="6" t="n">
        <v>750</v>
      </c>
      <c r="D342" s="7" t="n">
        <v>700</v>
      </c>
      <c r="E342" s="6" t="n">
        <v>1410.00421458491</v>
      </c>
      <c r="F342" s="5" t="n">
        <v>3500</v>
      </c>
      <c r="G342" s="8" t="n">
        <v>82.7214653444341</v>
      </c>
    </row>
    <row r="343" customFormat="false" ht="14.35" hidden="false" customHeight="false" outlineLevel="0" collapsed="false">
      <c r="A343" s="4" t="n">
        <v>18171</v>
      </c>
      <c r="B343" s="5" t="n">
        <v>1014.99360411153</v>
      </c>
      <c r="C343" s="6" t="n">
        <v>750</v>
      </c>
      <c r="D343" s="7" t="n">
        <v>773.3333333</v>
      </c>
      <c r="E343" s="6" t="n">
        <v>1316.04334511647</v>
      </c>
      <c r="F343" s="5" t="n">
        <v>3000</v>
      </c>
      <c r="G343" s="8" t="n">
        <v>86.7632953571231</v>
      </c>
    </row>
    <row r="344" customFormat="false" ht="14.35" hidden="false" customHeight="false" outlineLevel="0" collapsed="false">
      <c r="A344" s="4" t="n">
        <v>18202</v>
      </c>
      <c r="B344" s="5" t="n">
        <v>900</v>
      </c>
      <c r="C344" s="6" t="n">
        <v>900</v>
      </c>
      <c r="D344" s="7" t="n">
        <v>800</v>
      </c>
      <c r="E344" s="6" t="n">
        <v>1181.97168784278</v>
      </c>
      <c r="F344" s="5" t="n">
        <v>4053.96663101199</v>
      </c>
      <c r="G344" s="8" t="n">
        <v>89.2698180722629</v>
      </c>
    </row>
    <row r="345" customFormat="false" ht="14.35" hidden="false" customHeight="false" outlineLevel="0" collapsed="false">
      <c r="A345" s="4" t="n">
        <v>18232</v>
      </c>
      <c r="B345" s="5" t="n">
        <v>900</v>
      </c>
      <c r="C345" s="6" t="n">
        <v>900</v>
      </c>
      <c r="D345" s="7" t="n">
        <v>800</v>
      </c>
      <c r="E345" s="6" t="n">
        <v>1070.17951844001</v>
      </c>
      <c r="F345" s="5" t="n">
        <v>4500</v>
      </c>
      <c r="G345" s="8" t="n">
        <v>87.7835613704831</v>
      </c>
    </row>
    <row r="346" customFormat="false" ht="14.35" hidden="false" customHeight="false" outlineLevel="0" collapsed="false">
      <c r="A346" s="4" t="n">
        <v>18263</v>
      </c>
      <c r="B346" s="5" t="n">
        <v>900</v>
      </c>
      <c r="C346" s="6" t="n">
        <v>900</v>
      </c>
      <c r="D346" s="7" t="n">
        <v>800</v>
      </c>
      <c r="E346" s="6" t="n">
        <v>1009.78000623388</v>
      </c>
      <c r="F346" s="5" t="n">
        <v>5135.73541912341</v>
      </c>
      <c r="G346" s="8" t="n">
        <v>86.4962505491095</v>
      </c>
    </row>
    <row r="347" customFormat="false" ht="14.35" hidden="false" customHeight="false" outlineLevel="0" collapsed="false">
      <c r="A347" s="4" t="n">
        <v>18294</v>
      </c>
      <c r="B347" s="5" t="n">
        <v>900</v>
      </c>
      <c r="C347" s="6" t="n">
        <v>900</v>
      </c>
      <c r="D347" s="7" t="n">
        <v>800</v>
      </c>
      <c r="E347" s="6" t="n">
        <v>1264.03296231918</v>
      </c>
      <c r="F347" s="5" t="n">
        <v>17420.265628276</v>
      </c>
      <c r="G347" s="8" t="n">
        <v>85.0613343019087</v>
      </c>
    </row>
    <row r="348" customFormat="false" ht="14.35" hidden="false" customHeight="false" outlineLevel="0" collapsed="false">
      <c r="A348" s="4" t="n">
        <v>18322</v>
      </c>
      <c r="B348" s="5" t="n">
        <v>900.000000000001</v>
      </c>
      <c r="C348" s="6" t="n">
        <v>900</v>
      </c>
      <c r="D348" s="7" t="n">
        <v>800</v>
      </c>
      <c r="E348" s="6" t="n">
        <v>1684.65759422985</v>
      </c>
      <c r="F348" s="5" t="n">
        <v>35625.5013462866</v>
      </c>
      <c r="G348" s="8" t="n">
        <v>75.2284886416731</v>
      </c>
    </row>
    <row r="349" customFormat="false" ht="14.35" hidden="false" customHeight="false" outlineLevel="0" collapsed="false">
      <c r="A349" s="4" t="n">
        <v>18353</v>
      </c>
      <c r="B349" s="5" t="n">
        <v>800</v>
      </c>
      <c r="C349" s="6" t="n">
        <v>750</v>
      </c>
      <c r="D349" s="7" t="n">
        <v>800</v>
      </c>
      <c r="E349" s="6" t="n">
        <v>2123.41556924978</v>
      </c>
      <c r="F349" s="5" t="n">
        <v>15352.742050768</v>
      </c>
      <c r="G349" s="8" t="n">
        <v>66.5213171959574</v>
      </c>
    </row>
    <row r="350" customFormat="false" ht="14.35" hidden="false" customHeight="false" outlineLevel="0" collapsed="false">
      <c r="A350" s="4" t="n">
        <v>18383</v>
      </c>
      <c r="B350" s="5" t="n">
        <v>1000</v>
      </c>
      <c r="C350" s="6" t="n">
        <v>1000</v>
      </c>
      <c r="D350" s="7" t="n">
        <v>700</v>
      </c>
      <c r="E350" s="6" t="n">
        <v>2617.46234805836</v>
      </c>
      <c r="F350" s="5" t="n">
        <v>23030.7319397377</v>
      </c>
      <c r="G350" s="8" t="n">
        <v>70.1195057032246</v>
      </c>
    </row>
    <row r="351" customFormat="false" ht="14.35" hidden="false" customHeight="false" outlineLevel="0" collapsed="false">
      <c r="A351" s="4" t="n">
        <v>18414</v>
      </c>
      <c r="B351" s="5" t="n">
        <v>1000</v>
      </c>
      <c r="C351" s="6" t="n">
        <v>1000</v>
      </c>
      <c r="D351" s="7" t="n">
        <v>700</v>
      </c>
      <c r="E351" s="6" t="n">
        <v>2920.4415197216</v>
      </c>
      <c r="F351" s="5" t="n">
        <v>15056.4052376016</v>
      </c>
      <c r="G351" s="8" t="n">
        <v>68.1904423497387</v>
      </c>
    </row>
    <row r="352" customFormat="false" ht="14.35" hidden="false" customHeight="false" outlineLevel="0" collapsed="false">
      <c r="A352" s="4" t="n">
        <v>18444</v>
      </c>
      <c r="B352" s="5" t="n">
        <v>1000</v>
      </c>
      <c r="C352" s="6" t="n">
        <v>1000</v>
      </c>
      <c r="D352" s="7" t="n">
        <v>700</v>
      </c>
      <c r="E352" s="6" t="n">
        <v>2979.54261701856</v>
      </c>
      <c r="F352" s="5" t="n">
        <v>7963.05966294333</v>
      </c>
      <c r="G352" s="8" t="n">
        <v>70.8160461434379</v>
      </c>
    </row>
    <row r="353" customFormat="false" ht="14.35" hidden="false" customHeight="false" outlineLevel="0" collapsed="false">
      <c r="A353" s="4" t="n">
        <v>18475</v>
      </c>
      <c r="B353" s="5" t="n">
        <v>9180.7265483159</v>
      </c>
      <c r="C353" s="6" t="n">
        <v>1000</v>
      </c>
      <c r="D353" s="7" t="n">
        <v>700</v>
      </c>
      <c r="E353" s="6" t="n">
        <v>2418.98085128594</v>
      </c>
      <c r="F353" s="5" t="n">
        <v>6793.5707426172</v>
      </c>
      <c r="G353" s="8" t="n">
        <v>76.5594384610638</v>
      </c>
    </row>
    <row r="354" customFormat="false" ht="14.35" hidden="false" customHeight="false" outlineLevel="0" collapsed="false">
      <c r="A354" s="4" t="n">
        <v>18506</v>
      </c>
      <c r="B354" s="5" t="n">
        <v>8143.72332417897</v>
      </c>
      <c r="C354" s="6" t="n">
        <v>1000</v>
      </c>
      <c r="D354" s="7" t="n">
        <v>700</v>
      </c>
      <c r="E354" s="6" t="n">
        <v>1931.10793531923</v>
      </c>
      <c r="F354" s="5" t="n">
        <v>4000.00000000008</v>
      </c>
      <c r="G354" s="8" t="n">
        <v>79.6596524246756</v>
      </c>
    </row>
    <row r="355" customFormat="false" ht="14.35" hidden="false" customHeight="false" outlineLevel="0" collapsed="false">
      <c r="A355" s="4" t="n">
        <v>18536</v>
      </c>
      <c r="B355" s="5" t="n">
        <v>5241.62684926228</v>
      </c>
      <c r="C355" s="6" t="n">
        <v>1000</v>
      </c>
      <c r="D355" s="7" t="n">
        <v>773.3333333</v>
      </c>
      <c r="E355" s="6" t="n">
        <v>1622.02453654278</v>
      </c>
      <c r="F355" s="5" t="n">
        <v>4176.11320952436</v>
      </c>
      <c r="G355" s="8" t="n">
        <v>84.73607521787</v>
      </c>
    </row>
    <row r="356" customFormat="false" ht="14.35" hidden="false" customHeight="false" outlineLevel="0" collapsed="false">
      <c r="A356" s="4" t="n">
        <v>18567</v>
      </c>
      <c r="B356" s="5" t="n">
        <v>2014.71345191655</v>
      </c>
      <c r="C356" s="6" t="n">
        <v>1700</v>
      </c>
      <c r="D356" s="7" t="n">
        <v>800</v>
      </c>
      <c r="E356" s="6" t="n">
        <v>1573.225257582</v>
      </c>
      <c r="F356" s="5" t="n">
        <v>4700.4966840209</v>
      </c>
      <c r="G356" s="8" t="n">
        <v>86.0698550079881</v>
      </c>
    </row>
    <row r="357" customFormat="false" ht="14.35" hidden="false" customHeight="false" outlineLevel="0" collapsed="false">
      <c r="A357" s="4" t="n">
        <v>18597</v>
      </c>
      <c r="B357" s="5" t="n">
        <v>1700</v>
      </c>
      <c r="C357" s="6" t="n">
        <v>1700</v>
      </c>
      <c r="D357" s="7" t="n">
        <v>800</v>
      </c>
      <c r="E357" s="6" t="n">
        <v>2032.20211657808</v>
      </c>
      <c r="F357" s="5" t="n">
        <v>42738.4118453842</v>
      </c>
      <c r="G357" s="8" t="n">
        <v>85.600361272738</v>
      </c>
    </row>
    <row r="358" customFormat="false" ht="14.35" hidden="false" customHeight="false" outlineLevel="0" collapsed="false">
      <c r="A358" s="4" t="n">
        <v>18628</v>
      </c>
      <c r="B358" s="5" t="n">
        <v>1700</v>
      </c>
      <c r="C358" s="6" t="n">
        <v>1700</v>
      </c>
      <c r="D358" s="7" t="n">
        <v>800</v>
      </c>
      <c r="E358" s="6" t="n">
        <v>2847.51982316061</v>
      </c>
      <c r="F358" s="5" t="n">
        <v>87670.5658655926</v>
      </c>
      <c r="G358" s="8" t="n">
        <v>68.52585402185</v>
      </c>
    </row>
    <row r="359" customFormat="false" ht="14.35" hidden="false" customHeight="false" outlineLevel="0" collapsed="false">
      <c r="A359" s="4" t="n">
        <v>18659</v>
      </c>
      <c r="B359" s="5" t="n">
        <v>11012.6883036011</v>
      </c>
      <c r="C359" s="6" t="n">
        <v>1700</v>
      </c>
      <c r="D359" s="7" t="n">
        <v>800</v>
      </c>
      <c r="E359" s="6" t="n">
        <v>2846</v>
      </c>
      <c r="F359" s="5" t="n">
        <v>65691.7497821235</v>
      </c>
      <c r="G359" s="8" t="n">
        <v>57.4214052072116</v>
      </c>
    </row>
    <row r="360" customFormat="false" ht="14.35" hidden="false" customHeight="false" outlineLevel="0" collapsed="false">
      <c r="A360" s="4" t="n">
        <v>18687</v>
      </c>
      <c r="B360" s="5" t="n">
        <v>10840.0785178111</v>
      </c>
      <c r="C360" s="6" t="n">
        <v>1700</v>
      </c>
      <c r="D360" s="7" t="n">
        <v>800</v>
      </c>
      <c r="E360" s="6" t="n">
        <v>2925</v>
      </c>
      <c r="F360" s="5" t="n">
        <v>70467.0267333112</v>
      </c>
      <c r="G360" s="8" t="n">
        <v>55.9936704774259</v>
      </c>
    </row>
    <row r="361" customFormat="false" ht="14.35" hidden="false" customHeight="false" outlineLevel="0" collapsed="false">
      <c r="A361" s="4" t="n">
        <v>18718</v>
      </c>
      <c r="B361" s="5" t="n">
        <v>4533.51088658117</v>
      </c>
      <c r="C361" s="6" t="n">
        <v>1700</v>
      </c>
      <c r="D361" s="7" t="n">
        <v>800</v>
      </c>
      <c r="E361" s="6" t="n">
        <v>3105</v>
      </c>
      <c r="F361" s="5" t="n">
        <v>29090.0826789947</v>
      </c>
      <c r="G361" s="8" t="n">
        <v>54.9877732112466</v>
      </c>
    </row>
    <row r="362" customFormat="false" ht="14.35" hidden="false" customHeight="false" outlineLevel="0" collapsed="false">
      <c r="A362" s="4" t="n">
        <v>18748</v>
      </c>
      <c r="B362" s="5" t="n">
        <v>1000</v>
      </c>
      <c r="C362" s="6" t="n">
        <v>1000</v>
      </c>
      <c r="D362" s="7" t="n">
        <v>700</v>
      </c>
      <c r="E362" s="6" t="n">
        <v>3361.56447532123</v>
      </c>
      <c r="F362" s="5" t="n">
        <v>16264.192147848</v>
      </c>
      <c r="G362" s="8" t="n">
        <v>61.4398935925171</v>
      </c>
    </row>
    <row r="363" customFormat="false" ht="14.35" hidden="false" customHeight="false" outlineLevel="0" collapsed="false">
      <c r="A363" s="4" t="n">
        <v>18779</v>
      </c>
      <c r="B363" s="5" t="n">
        <v>1747.37271559702</v>
      </c>
      <c r="C363" s="6" t="n">
        <v>1000</v>
      </c>
      <c r="D363" s="7" t="n">
        <v>700</v>
      </c>
      <c r="E363" s="6" t="n">
        <v>3538</v>
      </c>
      <c r="F363" s="5" t="n">
        <v>19691.6179968881</v>
      </c>
      <c r="G363" s="8" t="n">
        <v>68.0117435566331</v>
      </c>
    </row>
    <row r="364" customFormat="false" ht="14.35" hidden="false" customHeight="false" outlineLevel="0" collapsed="false">
      <c r="A364" s="4" t="n">
        <v>18809</v>
      </c>
      <c r="B364" s="5" t="n">
        <v>3272.05901283357</v>
      </c>
      <c r="C364" s="6" t="n">
        <v>1000</v>
      </c>
      <c r="D364" s="7" t="n">
        <v>700</v>
      </c>
      <c r="E364" s="6" t="n">
        <v>3394.75557492881</v>
      </c>
      <c r="F364" s="5" t="n">
        <v>5887.76052558099</v>
      </c>
      <c r="G364" s="8" t="n">
        <v>68.7001827893103</v>
      </c>
    </row>
    <row r="365" customFormat="false" ht="14.35" hidden="false" customHeight="false" outlineLevel="0" collapsed="false">
      <c r="A365" s="4" t="n">
        <v>18840</v>
      </c>
      <c r="B365" s="5" t="n">
        <v>9133.66836373126</v>
      </c>
      <c r="C365" s="6" t="n">
        <v>1000</v>
      </c>
      <c r="D365" s="7" t="n">
        <v>700</v>
      </c>
      <c r="E365" s="6" t="n">
        <v>2833.13687318981</v>
      </c>
      <c r="F365" s="5" t="n">
        <v>12005.5294368808</v>
      </c>
      <c r="G365" s="8" t="n">
        <v>78.1802999911792</v>
      </c>
    </row>
    <row r="366" customFormat="false" ht="14.35" hidden="false" customHeight="false" outlineLevel="0" collapsed="false">
      <c r="A366" s="4" t="n">
        <v>18871</v>
      </c>
      <c r="B366" s="5" t="n">
        <v>8380.18496937349</v>
      </c>
      <c r="C366" s="6" t="n">
        <v>1000</v>
      </c>
      <c r="D366" s="7" t="n">
        <v>700</v>
      </c>
      <c r="E366" s="6" t="n">
        <v>2334.08421942487</v>
      </c>
      <c r="F366" s="5" t="n">
        <v>4000</v>
      </c>
      <c r="G366" s="8" t="n">
        <v>75.8264220929416</v>
      </c>
    </row>
    <row r="367" customFormat="false" ht="14.35" hidden="false" customHeight="false" outlineLevel="0" collapsed="false">
      <c r="A367" s="4" t="n">
        <v>18901</v>
      </c>
      <c r="B367" s="5" t="n">
        <v>7917.91877181867</v>
      </c>
      <c r="C367" s="6" t="n">
        <v>1000</v>
      </c>
      <c r="D367" s="7" t="n">
        <v>773.3333333</v>
      </c>
      <c r="E367" s="6" t="n">
        <v>1890.71950660458</v>
      </c>
      <c r="F367" s="5" t="n">
        <v>10625</v>
      </c>
      <c r="G367" s="8" t="n">
        <v>83.4795423151277</v>
      </c>
    </row>
    <row r="368" customFormat="false" ht="14.35" hidden="false" customHeight="false" outlineLevel="0" collapsed="false">
      <c r="A368" s="4" t="n">
        <v>18932</v>
      </c>
      <c r="B368" s="5" t="n">
        <v>4000</v>
      </c>
      <c r="C368" s="6" t="n">
        <v>1700</v>
      </c>
      <c r="D368" s="7" t="n">
        <v>800</v>
      </c>
      <c r="E368" s="6" t="n">
        <v>1715.13759639241</v>
      </c>
      <c r="F368" s="5" t="n">
        <v>6718.75</v>
      </c>
      <c r="G368" s="8" t="n">
        <v>78.4998882024494</v>
      </c>
    </row>
    <row r="369" customFormat="false" ht="14.35" hidden="false" customHeight="false" outlineLevel="0" collapsed="false">
      <c r="A369" s="4" t="n">
        <v>18962</v>
      </c>
      <c r="B369" s="5" t="n">
        <v>2500</v>
      </c>
      <c r="C369" s="6" t="n">
        <v>1700</v>
      </c>
      <c r="D369" s="7" t="n">
        <v>800</v>
      </c>
      <c r="E369" s="6" t="n">
        <v>1614.24577602799</v>
      </c>
      <c r="F369" s="5" t="n">
        <v>10000</v>
      </c>
      <c r="G369" s="8" t="n">
        <v>80.3806216525988</v>
      </c>
    </row>
    <row r="370" customFormat="false" ht="14.35" hidden="false" customHeight="false" outlineLevel="0" collapsed="false">
      <c r="A370" s="4" t="n">
        <v>18993</v>
      </c>
      <c r="B370" s="5" t="n">
        <v>1834.73650758272</v>
      </c>
      <c r="C370" s="6" t="n">
        <v>1700</v>
      </c>
      <c r="D370" s="7" t="n">
        <v>800</v>
      </c>
      <c r="E370" s="6" t="n">
        <v>2017.53222422155</v>
      </c>
      <c r="F370" s="5" t="n">
        <v>32962.3680212474</v>
      </c>
      <c r="G370" s="8" t="n">
        <v>77.9487677777219</v>
      </c>
    </row>
    <row r="371" customFormat="false" ht="14.35" hidden="false" customHeight="false" outlineLevel="0" collapsed="false">
      <c r="A371" s="4" t="n">
        <v>19024</v>
      </c>
      <c r="B371" s="5" t="n">
        <v>1699.99999999999</v>
      </c>
      <c r="C371" s="6" t="n">
        <v>1700</v>
      </c>
      <c r="D371" s="7" t="n">
        <v>800</v>
      </c>
      <c r="E371" s="6" t="n">
        <v>2457.78934582356</v>
      </c>
      <c r="F371" s="5" t="n">
        <v>82238.0360246318</v>
      </c>
      <c r="G371" s="8" t="n">
        <v>68.0085812482837</v>
      </c>
    </row>
    <row r="372" customFormat="false" ht="14.35" hidden="false" customHeight="false" outlineLevel="0" collapsed="false">
      <c r="A372" s="4" t="n">
        <v>19053</v>
      </c>
      <c r="B372" s="5" t="n">
        <v>6399.89681844021</v>
      </c>
      <c r="C372" s="6" t="n">
        <v>1700</v>
      </c>
      <c r="D372" s="7" t="n">
        <v>800</v>
      </c>
      <c r="E372" s="6" t="n">
        <v>2832</v>
      </c>
      <c r="F372" s="5" t="n">
        <v>74877.2953501733</v>
      </c>
      <c r="G372" s="8" t="n">
        <v>57.7421792463814</v>
      </c>
    </row>
    <row r="373" customFormat="false" ht="14.35" hidden="false" customHeight="false" outlineLevel="0" collapsed="false">
      <c r="A373" s="4" t="n">
        <v>19084</v>
      </c>
      <c r="B373" s="5" t="n">
        <v>7072.56158186029</v>
      </c>
      <c r="C373" s="6" t="n">
        <v>1700</v>
      </c>
      <c r="D373" s="7" t="n">
        <v>800</v>
      </c>
      <c r="E373" s="6" t="n">
        <v>2988</v>
      </c>
      <c r="F373" s="5" t="n">
        <v>65494.240704549</v>
      </c>
      <c r="G373" s="8" t="n">
        <v>55.0956062302636</v>
      </c>
    </row>
    <row r="374" customFormat="false" ht="14.35" hidden="false" customHeight="false" outlineLevel="0" collapsed="false">
      <c r="A374" s="4" t="n">
        <v>19114</v>
      </c>
      <c r="B374" s="5" t="n">
        <v>17581.4549058031</v>
      </c>
      <c r="C374" s="6" t="n">
        <v>1000</v>
      </c>
      <c r="D374" s="7" t="n">
        <v>700</v>
      </c>
      <c r="E374" s="6" t="n">
        <v>3452</v>
      </c>
      <c r="F374" s="5" t="n">
        <v>78879.4865498925</v>
      </c>
      <c r="G374" s="8" t="n">
        <v>55.2543548026868</v>
      </c>
    </row>
    <row r="375" customFormat="false" ht="14.35" hidden="false" customHeight="false" outlineLevel="0" collapsed="false">
      <c r="A375" s="4" t="n">
        <v>19145</v>
      </c>
      <c r="B375" s="5" t="n">
        <v>20391.2248842646</v>
      </c>
      <c r="C375" s="6" t="n">
        <v>1000</v>
      </c>
      <c r="D375" s="7" t="n">
        <v>700</v>
      </c>
      <c r="E375" s="6" t="n">
        <v>3538</v>
      </c>
      <c r="F375" s="5" t="n">
        <v>70690.9575362724</v>
      </c>
      <c r="G375" s="8" t="n">
        <v>53.8809615807468</v>
      </c>
    </row>
    <row r="376" customFormat="false" ht="14.35" hidden="false" customHeight="false" outlineLevel="0" collapsed="false">
      <c r="A376" s="4" t="n">
        <v>19175</v>
      </c>
      <c r="B376" s="5" t="n">
        <v>9069.62486468018</v>
      </c>
      <c r="C376" s="6" t="n">
        <v>1000</v>
      </c>
      <c r="D376" s="7" t="n">
        <v>700</v>
      </c>
      <c r="E376" s="6" t="n">
        <v>3538</v>
      </c>
      <c r="F376" s="5" t="n">
        <v>37128.8768636506</v>
      </c>
      <c r="G376" s="8" t="n">
        <v>54.2709069997325</v>
      </c>
    </row>
    <row r="377" customFormat="false" ht="14.35" hidden="false" customHeight="false" outlineLevel="0" collapsed="false">
      <c r="A377" s="4" t="n">
        <v>19206</v>
      </c>
      <c r="B377" s="5" t="n">
        <v>2346.89121597921</v>
      </c>
      <c r="C377" s="6" t="n">
        <v>1000</v>
      </c>
      <c r="D377" s="7" t="n">
        <v>700</v>
      </c>
      <c r="E377" s="6" t="n">
        <v>3538</v>
      </c>
      <c r="F377" s="5" t="n">
        <v>10504.263416816</v>
      </c>
      <c r="G377" s="8" t="n">
        <v>59.3345898299025</v>
      </c>
    </row>
    <row r="378" customFormat="false" ht="14.35" hidden="false" customHeight="false" outlineLevel="0" collapsed="false">
      <c r="A378" s="4" t="n">
        <v>19237</v>
      </c>
      <c r="B378" s="5" t="n">
        <v>1086.96575661281</v>
      </c>
      <c r="C378" s="6" t="n">
        <v>1000</v>
      </c>
      <c r="D378" s="7" t="n">
        <v>700</v>
      </c>
      <c r="E378" s="6" t="n">
        <v>3538</v>
      </c>
      <c r="F378" s="5" t="n">
        <v>5096.41077724287</v>
      </c>
      <c r="G378" s="8" t="n">
        <v>70.6727756342534</v>
      </c>
    </row>
    <row r="379" customFormat="false" ht="14.35" hidden="false" customHeight="false" outlineLevel="0" collapsed="false">
      <c r="A379" s="4" t="n">
        <v>19267</v>
      </c>
      <c r="B379" s="5" t="n">
        <v>9398.90689766975</v>
      </c>
      <c r="C379" s="6" t="n">
        <v>1000</v>
      </c>
      <c r="D379" s="7" t="n">
        <v>773.3333333</v>
      </c>
      <c r="E379" s="6" t="n">
        <v>3021.38332737663</v>
      </c>
      <c r="F379" s="5" t="n">
        <v>20625</v>
      </c>
      <c r="G379" s="8" t="n">
        <v>79.9333187440663</v>
      </c>
    </row>
    <row r="380" customFormat="false" ht="14.35" hidden="false" customHeight="false" outlineLevel="0" collapsed="false">
      <c r="A380" s="4" t="n">
        <v>19298</v>
      </c>
      <c r="B380" s="5" t="n">
        <v>4000</v>
      </c>
      <c r="C380" s="6" t="n">
        <v>1700</v>
      </c>
      <c r="D380" s="7" t="n">
        <v>800</v>
      </c>
      <c r="E380" s="6" t="n">
        <v>2801.32125999213</v>
      </c>
      <c r="F380" s="5" t="n">
        <v>8437.5</v>
      </c>
      <c r="G380" s="8" t="n">
        <v>72.2530885393373</v>
      </c>
    </row>
    <row r="381" customFormat="false" ht="14.35" hidden="false" customHeight="false" outlineLevel="0" collapsed="false">
      <c r="A381" s="4" t="n">
        <v>19328</v>
      </c>
      <c r="B381" s="5" t="n">
        <v>2500</v>
      </c>
      <c r="C381" s="6" t="n">
        <v>1700</v>
      </c>
      <c r="D381" s="7" t="n">
        <v>800</v>
      </c>
      <c r="E381" s="6" t="n">
        <v>2709.10742394452</v>
      </c>
      <c r="F381" s="5" t="n">
        <v>13499.124</v>
      </c>
      <c r="G381" s="8" t="n">
        <v>76.586889103135</v>
      </c>
    </row>
    <row r="382" customFormat="false" ht="14.35" hidden="false" customHeight="false" outlineLevel="0" collapsed="false">
      <c r="A382" s="4" t="n">
        <v>19359</v>
      </c>
      <c r="B382" s="5" t="n">
        <v>1700</v>
      </c>
      <c r="C382" s="6" t="n">
        <v>1700</v>
      </c>
      <c r="D382" s="7" t="n">
        <v>800</v>
      </c>
      <c r="E382" s="6" t="n">
        <v>2860.95069674855</v>
      </c>
      <c r="F382" s="5" t="n">
        <v>22722.8460352</v>
      </c>
      <c r="G382" s="8" t="n">
        <v>74.4052886428538</v>
      </c>
    </row>
    <row r="383" customFormat="false" ht="14.35" hidden="false" customHeight="false" outlineLevel="0" collapsed="false">
      <c r="A383" s="4" t="n">
        <v>19390</v>
      </c>
      <c r="B383" s="5" t="n">
        <v>19592.2038716159</v>
      </c>
      <c r="C383" s="6" t="n">
        <v>1700</v>
      </c>
      <c r="D383" s="7" t="n">
        <v>800</v>
      </c>
      <c r="E383" s="6" t="n">
        <v>2809</v>
      </c>
      <c r="F383" s="5" t="n">
        <v>97430.0093586033</v>
      </c>
      <c r="G383" s="8" t="n">
        <v>69.6984865066615</v>
      </c>
    </row>
    <row r="384" customFormat="false" ht="14.35" hidden="false" customHeight="false" outlineLevel="0" collapsed="false">
      <c r="A384" s="4" t="n">
        <v>19418</v>
      </c>
      <c r="B384" s="5" t="n">
        <v>1700</v>
      </c>
      <c r="C384" s="6" t="n">
        <v>1700</v>
      </c>
      <c r="D384" s="7" t="n">
        <v>800</v>
      </c>
      <c r="E384" s="6" t="n">
        <v>3058.03977517602</v>
      </c>
      <c r="F384" s="5" t="n">
        <v>21487.8064836497</v>
      </c>
      <c r="G384" s="8" t="n">
        <v>56.996736940592</v>
      </c>
    </row>
    <row r="385" customFormat="false" ht="14.35" hidden="false" customHeight="false" outlineLevel="0" collapsed="false">
      <c r="A385" s="4" t="n">
        <v>19449</v>
      </c>
      <c r="B385" s="5" t="n">
        <v>6144.03704949465</v>
      </c>
      <c r="C385" s="6" t="n">
        <v>1700</v>
      </c>
      <c r="D385" s="7" t="n">
        <v>800</v>
      </c>
      <c r="E385" s="6" t="n">
        <v>3059</v>
      </c>
      <c r="F385" s="5" t="n">
        <v>18168.0130576986</v>
      </c>
      <c r="G385" s="8" t="n">
        <v>64.4203400839943</v>
      </c>
    </row>
    <row r="386" customFormat="false" ht="14.35" hidden="false" customHeight="false" outlineLevel="0" collapsed="false">
      <c r="A386" s="4" t="n">
        <v>19479</v>
      </c>
      <c r="B386" s="5" t="n">
        <v>4539.17810673434</v>
      </c>
      <c r="C386" s="6" t="n">
        <v>1000</v>
      </c>
      <c r="D386" s="7" t="n">
        <v>700</v>
      </c>
      <c r="E386" s="6" t="n">
        <v>3284</v>
      </c>
      <c r="F386" s="5" t="n">
        <v>20639.8742380213</v>
      </c>
      <c r="G386" s="8" t="n">
        <v>68.1402112809492</v>
      </c>
    </row>
    <row r="387" customFormat="false" ht="14.35" hidden="false" customHeight="false" outlineLevel="0" collapsed="false">
      <c r="A387" s="4" t="n">
        <v>19510</v>
      </c>
      <c r="B387" s="5" t="n">
        <v>3278.49842613615</v>
      </c>
      <c r="C387" s="6" t="n">
        <v>1000</v>
      </c>
      <c r="D387" s="7" t="n">
        <v>700</v>
      </c>
      <c r="E387" s="6" t="n">
        <v>3538</v>
      </c>
      <c r="F387" s="5" t="n">
        <v>26420.6294924747</v>
      </c>
      <c r="G387" s="8" t="n">
        <v>68.3817818829501</v>
      </c>
    </row>
    <row r="388" customFormat="false" ht="14.35" hidden="false" customHeight="false" outlineLevel="0" collapsed="false">
      <c r="A388" s="4" t="n">
        <v>19540</v>
      </c>
      <c r="B388" s="5" t="n">
        <v>5522.58653803869</v>
      </c>
      <c r="C388" s="6" t="n">
        <v>1000</v>
      </c>
      <c r="D388" s="7" t="n">
        <v>700</v>
      </c>
      <c r="E388" s="6" t="n">
        <v>3538</v>
      </c>
      <c r="F388" s="5" t="n">
        <v>19103.8883450475</v>
      </c>
      <c r="G388" s="8" t="n">
        <v>66.5682513128882</v>
      </c>
    </row>
    <row r="389" customFormat="false" ht="14.35" hidden="false" customHeight="false" outlineLevel="0" collapsed="false">
      <c r="A389" s="4" t="n">
        <v>19571</v>
      </c>
      <c r="B389" s="5" t="n">
        <v>9254.38191780871</v>
      </c>
      <c r="C389" s="6" t="n">
        <v>1000</v>
      </c>
      <c r="D389" s="7" t="n">
        <v>700</v>
      </c>
      <c r="E389" s="6" t="n">
        <v>3052.95939249438</v>
      </c>
      <c r="F389" s="5" t="n">
        <v>8000</v>
      </c>
      <c r="G389" s="8" t="n">
        <v>68.4592735191997</v>
      </c>
    </row>
    <row r="390" customFormat="false" ht="14.35" hidden="false" customHeight="false" outlineLevel="0" collapsed="false">
      <c r="A390" s="4" t="n">
        <v>19602</v>
      </c>
      <c r="B390" s="5" t="n">
        <v>5923.73297843144</v>
      </c>
      <c r="C390" s="6" t="n">
        <v>1000</v>
      </c>
      <c r="D390" s="7" t="n">
        <v>700</v>
      </c>
      <c r="E390" s="6" t="n">
        <v>2744.00593338582</v>
      </c>
      <c r="F390" s="5" t="n">
        <v>3999.99999999996</v>
      </c>
      <c r="G390" s="8" t="n">
        <v>75.7514115891859</v>
      </c>
    </row>
    <row r="391" customFormat="false" ht="14.35" hidden="false" customHeight="false" outlineLevel="0" collapsed="false">
      <c r="A391" s="4" t="n">
        <v>19632</v>
      </c>
      <c r="B391" s="5" t="n">
        <v>9619.62024989622</v>
      </c>
      <c r="C391" s="6" t="n">
        <v>1000</v>
      </c>
      <c r="D391" s="7" t="n">
        <v>773.3333333</v>
      </c>
      <c r="E391" s="6" t="n">
        <v>2209.45320481866</v>
      </c>
      <c r="F391" s="5" t="n">
        <v>19531.25</v>
      </c>
      <c r="G391" s="8" t="n">
        <v>83.4549538719967</v>
      </c>
    </row>
    <row r="392" customFormat="false" ht="14.35" hidden="false" customHeight="false" outlineLevel="0" collapsed="false">
      <c r="A392" s="4" t="n">
        <v>19663</v>
      </c>
      <c r="B392" s="5" t="n">
        <v>4000</v>
      </c>
      <c r="C392" s="6" t="n">
        <v>1700</v>
      </c>
      <c r="D392" s="7" t="n">
        <v>800</v>
      </c>
      <c r="E392" s="6" t="n">
        <v>2011.72569845729</v>
      </c>
      <c r="F392" s="5" t="n">
        <v>8125</v>
      </c>
      <c r="G392" s="8" t="n">
        <v>73.8251486904639</v>
      </c>
    </row>
    <row r="393" customFormat="false" ht="14.35" hidden="false" customHeight="false" outlineLevel="0" collapsed="false">
      <c r="A393" s="4" t="n">
        <v>19693</v>
      </c>
      <c r="B393" s="5" t="n">
        <v>2500</v>
      </c>
      <c r="C393" s="6" t="n">
        <v>1700</v>
      </c>
      <c r="D393" s="7" t="n">
        <v>800</v>
      </c>
      <c r="E393" s="6" t="n">
        <v>1982.52702612921</v>
      </c>
      <c r="F393" s="5" t="n">
        <v>15468.75</v>
      </c>
      <c r="G393" s="8" t="n">
        <v>77.3915012663955</v>
      </c>
    </row>
    <row r="394" customFormat="false" ht="14.35" hidden="false" customHeight="false" outlineLevel="0" collapsed="false">
      <c r="A394" s="4" t="n">
        <v>19724</v>
      </c>
      <c r="B394" s="5" t="n">
        <v>3676.14381294347</v>
      </c>
      <c r="C394" s="6" t="n">
        <v>1700</v>
      </c>
      <c r="D394" s="7" t="n">
        <v>800</v>
      </c>
      <c r="E394" s="6" t="n">
        <v>1903.99942734405</v>
      </c>
      <c r="F394" s="5" t="n">
        <v>4500</v>
      </c>
      <c r="G394" s="8" t="n">
        <v>73.6250494712933</v>
      </c>
    </row>
    <row r="395" customFormat="false" ht="14.35" hidden="false" customHeight="false" outlineLevel="0" collapsed="false">
      <c r="A395" s="4" t="n">
        <v>19755</v>
      </c>
      <c r="B395" s="5" t="n">
        <v>3141.93027897394</v>
      </c>
      <c r="C395" s="6" t="n">
        <v>1700</v>
      </c>
      <c r="D395" s="7" t="n">
        <v>800</v>
      </c>
      <c r="E395" s="6" t="n">
        <v>2038.54541696345</v>
      </c>
      <c r="F395" s="5" t="n">
        <v>16850.8877146425</v>
      </c>
      <c r="G395" s="8" t="n">
        <v>81.8550903485552</v>
      </c>
    </row>
    <row r="396" customFormat="false" ht="14.35" hidden="false" customHeight="false" outlineLevel="0" collapsed="false">
      <c r="A396" s="4" t="n">
        <v>19783</v>
      </c>
      <c r="B396" s="5" t="n">
        <v>1700</v>
      </c>
      <c r="C396" s="6" t="n">
        <v>1700</v>
      </c>
      <c r="D396" s="7" t="n">
        <v>800</v>
      </c>
      <c r="E396" s="6" t="n">
        <v>2405.32116061997</v>
      </c>
      <c r="F396" s="5" t="n">
        <v>53127.8399842218</v>
      </c>
      <c r="G396" s="8" t="n">
        <v>74.4322064663385</v>
      </c>
    </row>
    <row r="397" customFormat="false" ht="14.35" hidden="false" customHeight="false" outlineLevel="0" collapsed="false">
      <c r="A397" s="4" t="n">
        <v>19814</v>
      </c>
      <c r="B397" s="5" t="n">
        <v>2023.89816315826</v>
      </c>
      <c r="C397" s="6" t="n">
        <v>1700</v>
      </c>
      <c r="D397" s="7" t="n">
        <v>800</v>
      </c>
      <c r="E397" s="6" t="n">
        <v>2943</v>
      </c>
      <c r="F397" s="5" t="n">
        <v>39688.3014429155</v>
      </c>
      <c r="G397" s="8" t="n">
        <v>63.1969411701228</v>
      </c>
    </row>
    <row r="398" customFormat="false" ht="14.35" hidden="false" customHeight="false" outlineLevel="0" collapsed="false">
      <c r="A398" s="4" t="n">
        <v>19844</v>
      </c>
      <c r="B398" s="5" t="n">
        <v>6220.53063055891</v>
      </c>
      <c r="C398" s="6" t="n">
        <v>1000</v>
      </c>
      <c r="D398" s="7" t="n">
        <v>700</v>
      </c>
      <c r="E398" s="6" t="n">
        <v>3292</v>
      </c>
      <c r="F398" s="5" t="n">
        <v>46036.9721634418</v>
      </c>
      <c r="G398" s="8" t="n">
        <v>61.7495639678306</v>
      </c>
    </row>
    <row r="399" customFormat="false" ht="14.35" hidden="false" customHeight="false" outlineLevel="0" collapsed="false">
      <c r="A399" s="4" t="n">
        <v>19875</v>
      </c>
      <c r="B399" s="5" t="n">
        <v>1000</v>
      </c>
      <c r="C399" s="6" t="n">
        <v>1000</v>
      </c>
      <c r="D399" s="7" t="n">
        <v>700</v>
      </c>
      <c r="E399" s="6" t="n">
        <v>3479.70359050598</v>
      </c>
      <c r="F399" s="5" t="n">
        <v>12878.0976338641</v>
      </c>
      <c r="G399" s="8" t="n">
        <v>60.1376728871817</v>
      </c>
    </row>
    <row r="400" customFormat="false" ht="14.35" hidden="false" customHeight="false" outlineLevel="0" collapsed="false">
      <c r="A400" s="4" t="n">
        <v>19905</v>
      </c>
      <c r="B400" s="5" t="n">
        <v>3286.82904473194</v>
      </c>
      <c r="C400" s="6" t="n">
        <v>1000</v>
      </c>
      <c r="D400" s="7" t="n">
        <v>700</v>
      </c>
      <c r="E400" s="6" t="n">
        <v>3346.19405133972</v>
      </c>
      <c r="F400" s="5" t="n">
        <v>7287.70441902931</v>
      </c>
      <c r="G400" s="8" t="n">
        <v>69.3742464322518</v>
      </c>
    </row>
    <row r="401" customFormat="false" ht="14.35" hidden="false" customHeight="false" outlineLevel="0" collapsed="false">
      <c r="A401" s="4" t="n">
        <v>19936</v>
      </c>
      <c r="B401" s="5" t="n">
        <v>9669.70892791224</v>
      </c>
      <c r="C401" s="6" t="n">
        <v>1000</v>
      </c>
      <c r="D401" s="7" t="n">
        <v>700</v>
      </c>
      <c r="E401" s="6" t="n">
        <v>2749.39031923672</v>
      </c>
      <c r="F401" s="5" t="n">
        <v>11304.2075271154</v>
      </c>
      <c r="G401" s="8" t="n">
        <v>76.7661512459256</v>
      </c>
    </row>
    <row r="402" customFormat="false" ht="14.35" hidden="false" customHeight="false" outlineLevel="0" collapsed="false">
      <c r="A402" s="4" t="n">
        <v>19967</v>
      </c>
      <c r="B402" s="5" t="n">
        <v>7911.89064315281</v>
      </c>
      <c r="C402" s="6" t="n">
        <v>1000</v>
      </c>
      <c r="D402" s="7" t="n">
        <v>700</v>
      </c>
      <c r="E402" s="6" t="n">
        <v>2285.19344827125</v>
      </c>
      <c r="F402" s="5" t="n">
        <v>4000</v>
      </c>
      <c r="G402" s="8" t="n">
        <v>75.8242562275209</v>
      </c>
    </row>
    <row r="403" customFormat="false" ht="14.35" hidden="false" customHeight="false" outlineLevel="0" collapsed="false">
      <c r="A403" s="4" t="n">
        <v>19997</v>
      </c>
      <c r="B403" s="5" t="n">
        <v>7953.52433098548</v>
      </c>
      <c r="C403" s="6" t="n">
        <v>1000</v>
      </c>
      <c r="D403" s="7" t="n">
        <v>773.3333333</v>
      </c>
      <c r="E403" s="6" t="n">
        <v>1836.86231047286</v>
      </c>
      <c r="F403" s="5" t="n">
        <v>11562.5</v>
      </c>
      <c r="G403" s="8" t="n">
        <v>83.4788323444428</v>
      </c>
    </row>
    <row r="404" customFormat="false" ht="14.35" hidden="false" customHeight="false" outlineLevel="0" collapsed="false">
      <c r="A404" s="4" t="n">
        <v>20028</v>
      </c>
      <c r="B404" s="5" t="n">
        <v>4000</v>
      </c>
      <c r="C404" s="6" t="n">
        <v>1700</v>
      </c>
      <c r="D404" s="7" t="n">
        <v>800</v>
      </c>
      <c r="E404" s="6" t="n">
        <v>1609.59396238954</v>
      </c>
      <c r="F404" s="5" t="n">
        <v>6250</v>
      </c>
      <c r="G404" s="8" t="n">
        <v>77.8514979300723</v>
      </c>
    </row>
    <row r="405" customFormat="false" ht="14.35" hidden="false" customHeight="false" outlineLevel="0" collapsed="false">
      <c r="A405" s="4" t="n">
        <v>20058</v>
      </c>
      <c r="B405" s="5" t="n">
        <v>2383.00824580595</v>
      </c>
      <c r="C405" s="6" t="n">
        <v>1700</v>
      </c>
      <c r="D405" s="7" t="n">
        <v>800</v>
      </c>
      <c r="E405" s="6" t="n">
        <v>1527.83646780536</v>
      </c>
      <c r="F405" s="5" t="n">
        <v>10312.5</v>
      </c>
      <c r="G405" s="8" t="n">
        <v>80.7224387153548</v>
      </c>
    </row>
    <row r="406" customFormat="false" ht="14.35" hidden="false" customHeight="false" outlineLevel="0" collapsed="false">
      <c r="A406" s="4" t="n">
        <v>20089</v>
      </c>
      <c r="B406" s="5" t="n">
        <v>1700</v>
      </c>
      <c r="C406" s="6" t="n">
        <v>1700</v>
      </c>
      <c r="D406" s="7" t="n">
        <v>800</v>
      </c>
      <c r="E406" s="6" t="n">
        <v>1551.57132675294</v>
      </c>
      <c r="F406" s="5" t="n">
        <v>11992.2443153575</v>
      </c>
      <c r="G406" s="8" t="n">
        <v>77.8249414893949</v>
      </c>
    </row>
    <row r="407" customFormat="false" ht="14.35" hidden="false" customHeight="false" outlineLevel="0" collapsed="false">
      <c r="A407" s="4" t="n">
        <v>20120</v>
      </c>
      <c r="B407" s="5" t="n">
        <v>1700</v>
      </c>
      <c r="C407" s="6" t="n">
        <v>1700</v>
      </c>
      <c r="D407" s="7" t="n">
        <v>800</v>
      </c>
      <c r="E407" s="6" t="n">
        <v>1607.56987200731</v>
      </c>
      <c r="F407" s="5" t="n">
        <v>15816.4380831206</v>
      </c>
      <c r="G407" s="8" t="n">
        <v>75.7184225650297</v>
      </c>
    </row>
    <row r="408" customFormat="false" ht="14.35" hidden="false" customHeight="false" outlineLevel="0" collapsed="false">
      <c r="A408" s="4" t="n">
        <v>20148</v>
      </c>
      <c r="B408" s="5" t="n">
        <v>1700</v>
      </c>
      <c r="C408" s="6" t="n">
        <v>1700</v>
      </c>
      <c r="D408" s="7" t="n">
        <v>800</v>
      </c>
      <c r="E408" s="6" t="n">
        <v>1694.07417190103</v>
      </c>
      <c r="F408" s="5" t="n">
        <v>10097.0231946603</v>
      </c>
      <c r="G408" s="8" t="n">
        <v>72.906230616951</v>
      </c>
    </row>
    <row r="409" customFormat="false" ht="14.35" hidden="false" customHeight="false" outlineLevel="0" collapsed="false">
      <c r="A409" s="4" t="n">
        <v>20179</v>
      </c>
      <c r="B409" s="5" t="n">
        <v>1700</v>
      </c>
      <c r="C409" s="6" t="n">
        <v>1700</v>
      </c>
      <c r="D409" s="7" t="n">
        <v>800</v>
      </c>
      <c r="E409" s="6" t="n">
        <v>1818.32255339485</v>
      </c>
      <c r="F409" s="5" t="n">
        <v>7470.34639144075</v>
      </c>
      <c r="G409" s="8" t="n">
        <v>75.4246496996788</v>
      </c>
    </row>
    <row r="410" customFormat="false" ht="14.35" hidden="false" customHeight="false" outlineLevel="0" collapsed="false">
      <c r="A410" s="4" t="n">
        <v>20209</v>
      </c>
      <c r="B410" s="5" t="n">
        <v>1695.37906473061</v>
      </c>
      <c r="C410" s="6" t="n">
        <v>1000</v>
      </c>
      <c r="D410" s="7" t="n">
        <v>700</v>
      </c>
      <c r="E410" s="6" t="n">
        <v>1887.91628127551</v>
      </c>
      <c r="F410" s="5" t="n">
        <v>11894.9926095236</v>
      </c>
      <c r="G410" s="8" t="n">
        <v>78.559736110166</v>
      </c>
    </row>
    <row r="411" customFormat="false" ht="14.35" hidden="false" customHeight="false" outlineLevel="0" collapsed="false">
      <c r="A411" s="4" t="n">
        <v>20240</v>
      </c>
      <c r="B411" s="5" t="n">
        <v>1404.75710303278</v>
      </c>
      <c r="C411" s="6" t="n">
        <v>1000</v>
      </c>
      <c r="D411" s="7" t="n">
        <v>700</v>
      </c>
      <c r="E411" s="6" t="n">
        <v>2048.34397935923</v>
      </c>
      <c r="F411" s="5" t="n">
        <v>9894.41703881987</v>
      </c>
      <c r="G411" s="8" t="n">
        <v>76.0217037809476</v>
      </c>
    </row>
    <row r="412" customFormat="false" ht="14.35" hidden="false" customHeight="false" outlineLevel="0" collapsed="false">
      <c r="A412" s="4" t="n">
        <v>20270</v>
      </c>
      <c r="B412" s="5" t="n">
        <v>4403.35682264617</v>
      </c>
      <c r="C412" s="6" t="n">
        <v>1000</v>
      </c>
      <c r="D412" s="7" t="n">
        <v>700</v>
      </c>
      <c r="E412" s="6" t="n">
        <v>1818.47169378983</v>
      </c>
      <c r="F412" s="5" t="n">
        <v>7050.4165</v>
      </c>
      <c r="G412" s="8" t="n">
        <v>76.6012772673065</v>
      </c>
    </row>
    <row r="413" customFormat="false" ht="14.35" hidden="false" customHeight="false" outlineLevel="0" collapsed="false">
      <c r="A413" s="4" t="n">
        <v>20301</v>
      </c>
      <c r="B413" s="5" t="n">
        <v>4356.05150981527</v>
      </c>
      <c r="C413" s="6" t="n">
        <v>1000</v>
      </c>
      <c r="D413" s="7" t="n">
        <v>700</v>
      </c>
      <c r="E413" s="6" t="n">
        <v>1539.94620453898</v>
      </c>
      <c r="F413" s="5" t="n">
        <v>5000</v>
      </c>
      <c r="G413" s="8" t="n">
        <v>79.3889079361405</v>
      </c>
    </row>
    <row r="414" customFormat="false" ht="14.35" hidden="false" customHeight="false" outlineLevel="0" collapsed="false">
      <c r="A414" s="4" t="n">
        <v>20332</v>
      </c>
      <c r="B414" s="5" t="n">
        <v>1809.10750016327</v>
      </c>
      <c r="C414" s="6" t="n">
        <v>1000</v>
      </c>
      <c r="D414" s="7" t="n">
        <v>700</v>
      </c>
      <c r="E414" s="6" t="n">
        <v>1407.03930107469</v>
      </c>
      <c r="F414" s="5" t="n">
        <v>3787.97605041231</v>
      </c>
      <c r="G414" s="8" t="n">
        <v>82.9368634449361</v>
      </c>
    </row>
    <row r="415" customFormat="false" ht="14.35" hidden="false" customHeight="false" outlineLevel="0" collapsed="false">
      <c r="A415" s="4" t="n">
        <v>20362</v>
      </c>
      <c r="B415" s="5" t="n">
        <v>1000</v>
      </c>
      <c r="C415" s="6" t="n">
        <v>1000</v>
      </c>
      <c r="D415" s="7" t="n">
        <v>773.3333333</v>
      </c>
      <c r="E415" s="6" t="n">
        <v>1333.76212357433</v>
      </c>
      <c r="F415" s="5" t="n">
        <v>3000</v>
      </c>
      <c r="G415" s="8" t="n">
        <v>86.2278163248154</v>
      </c>
    </row>
    <row r="416" customFormat="false" ht="14.35" hidden="false" customHeight="false" outlineLevel="0" collapsed="false">
      <c r="A416" s="4" t="n">
        <v>20393</v>
      </c>
      <c r="B416" s="5" t="n">
        <v>1700</v>
      </c>
      <c r="C416" s="6" t="n">
        <v>1700</v>
      </c>
      <c r="D416" s="7" t="n">
        <v>800</v>
      </c>
      <c r="E416" s="6" t="n">
        <v>1172.5349670809</v>
      </c>
      <c r="F416" s="5" t="n">
        <v>4868.8610984674</v>
      </c>
      <c r="G416" s="8" t="n">
        <v>89.0942880454724</v>
      </c>
    </row>
    <row r="417" customFormat="false" ht="14.35" hidden="false" customHeight="false" outlineLevel="0" collapsed="false">
      <c r="A417" s="4" t="n">
        <v>20423</v>
      </c>
      <c r="B417" s="5" t="n">
        <v>1700</v>
      </c>
      <c r="C417" s="6" t="n">
        <v>1700</v>
      </c>
      <c r="D417" s="7" t="n">
        <v>800</v>
      </c>
      <c r="E417" s="6" t="n">
        <v>1040.7198527379</v>
      </c>
      <c r="F417" s="5" t="n">
        <v>4768.74157166107</v>
      </c>
      <c r="G417" s="8" t="n">
        <v>86.3220142772544</v>
      </c>
    </row>
    <row r="418" customFormat="false" ht="14.35" hidden="false" customHeight="false" outlineLevel="0" collapsed="false">
      <c r="A418" s="4" t="n">
        <v>20454</v>
      </c>
      <c r="B418" s="5" t="n">
        <v>1700</v>
      </c>
      <c r="C418" s="6" t="n">
        <v>1700</v>
      </c>
      <c r="D418" s="7" t="n">
        <v>800</v>
      </c>
      <c r="E418" s="6" t="n">
        <v>2488.36671847775</v>
      </c>
      <c r="F418" s="5" t="n">
        <v>92037.597231771</v>
      </c>
      <c r="G418" s="8" t="n">
        <v>85.5725294267971</v>
      </c>
    </row>
    <row r="419" customFormat="false" ht="14.35" hidden="false" customHeight="false" outlineLevel="0" collapsed="false">
      <c r="A419" s="4" t="n">
        <v>20485</v>
      </c>
      <c r="B419" s="5" t="n">
        <v>16028.5971192184</v>
      </c>
      <c r="C419" s="6" t="n">
        <v>1700</v>
      </c>
      <c r="D419" s="7" t="n">
        <v>800</v>
      </c>
      <c r="E419" s="6" t="n">
        <v>2788</v>
      </c>
      <c r="F419" s="5" t="n">
        <v>158182.213880701</v>
      </c>
      <c r="G419" s="8" t="n">
        <v>62.6366880902025</v>
      </c>
    </row>
    <row r="420" customFormat="false" ht="14.35" hidden="false" customHeight="false" outlineLevel="0" collapsed="false">
      <c r="A420" s="4" t="n">
        <v>20514</v>
      </c>
      <c r="B420" s="5" t="n">
        <v>11341.567931953</v>
      </c>
      <c r="C420" s="6" t="n">
        <v>1700</v>
      </c>
      <c r="D420" s="7" t="n">
        <v>800</v>
      </c>
      <c r="E420" s="6" t="n">
        <v>2788</v>
      </c>
      <c r="F420" s="5" t="n">
        <v>86073.8474240528</v>
      </c>
      <c r="G420" s="8" t="n">
        <v>50.9671738417628</v>
      </c>
    </row>
    <row r="421" customFormat="false" ht="14.35" hidden="false" customHeight="false" outlineLevel="0" collapsed="false">
      <c r="A421" s="4" t="n">
        <v>20545</v>
      </c>
      <c r="B421" s="5" t="n">
        <v>6410.00690670392</v>
      </c>
      <c r="C421" s="6" t="n">
        <v>1700</v>
      </c>
      <c r="D421" s="7" t="n">
        <v>800</v>
      </c>
      <c r="E421" s="6" t="n">
        <v>3018</v>
      </c>
      <c r="F421" s="5" t="n">
        <v>38288.0539763718</v>
      </c>
      <c r="G421" s="8" t="n">
        <v>51.8065626233758</v>
      </c>
    </row>
    <row r="422" customFormat="false" ht="14.35" hidden="false" customHeight="false" outlineLevel="0" collapsed="false">
      <c r="A422" s="4" t="n">
        <v>20575</v>
      </c>
      <c r="B422" s="5" t="n">
        <v>3236.99001617919</v>
      </c>
      <c r="C422" s="6" t="n">
        <v>1000</v>
      </c>
      <c r="D422" s="7" t="n">
        <v>700</v>
      </c>
      <c r="E422" s="6" t="n">
        <v>3427</v>
      </c>
      <c r="F422" s="5" t="n">
        <v>25018.3413473449</v>
      </c>
      <c r="G422" s="8" t="n">
        <v>58.29112409742</v>
      </c>
    </row>
    <row r="423" customFormat="false" ht="14.35" hidden="false" customHeight="false" outlineLevel="0" collapsed="false">
      <c r="A423" s="4" t="n">
        <v>20606</v>
      </c>
      <c r="B423" s="5" t="n">
        <v>10828.1952935464</v>
      </c>
      <c r="C423" s="6" t="n">
        <v>1000</v>
      </c>
      <c r="D423" s="7" t="n">
        <v>700</v>
      </c>
      <c r="E423" s="6" t="n">
        <v>3538</v>
      </c>
      <c r="F423" s="5" t="n">
        <v>44182.9888764881</v>
      </c>
      <c r="G423" s="8" t="n">
        <v>63.6785677125446</v>
      </c>
    </row>
    <row r="424" customFormat="false" ht="14.35" hidden="false" customHeight="false" outlineLevel="0" collapsed="false">
      <c r="A424" s="4" t="n">
        <v>20636</v>
      </c>
      <c r="B424" s="5" t="n">
        <v>4355.89382238917</v>
      </c>
      <c r="C424" s="6" t="n">
        <v>1000</v>
      </c>
      <c r="D424" s="7" t="n">
        <v>700</v>
      </c>
      <c r="E424" s="6" t="n">
        <v>3538</v>
      </c>
      <c r="F424" s="5" t="n">
        <v>18676.9824921373</v>
      </c>
      <c r="G424" s="8" t="n">
        <v>61.0850821304683</v>
      </c>
    </row>
    <row r="425" customFormat="false" ht="14.35" hidden="false" customHeight="false" outlineLevel="0" collapsed="false">
      <c r="A425" s="4" t="n">
        <v>20667</v>
      </c>
      <c r="B425" s="5" t="n">
        <v>8529.58608511987</v>
      </c>
      <c r="C425" s="6" t="n">
        <v>1000</v>
      </c>
      <c r="D425" s="7" t="n">
        <v>700</v>
      </c>
      <c r="E425" s="6" t="n">
        <v>3110.98689842505</v>
      </c>
      <c r="F425" s="5" t="n">
        <v>8000</v>
      </c>
      <c r="G425" s="8" t="n">
        <v>66.8351264612838</v>
      </c>
    </row>
    <row r="426" customFormat="false" ht="14.35" hidden="false" customHeight="false" outlineLevel="0" collapsed="false">
      <c r="A426" s="4" t="n">
        <v>20698</v>
      </c>
      <c r="B426" s="5" t="n">
        <v>3339.97607718315</v>
      </c>
      <c r="C426" s="6" t="n">
        <v>1000</v>
      </c>
      <c r="D426" s="7" t="n">
        <v>700</v>
      </c>
      <c r="E426" s="6" t="n">
        <v>2942.71993794444</v>
      </c>
      <c r="F426" s="5" t="n">
        <v>4000.00000000002</v>
      </c>
      <c r="G426" s="8" t="n">
        <v>75.219016183601</v>
      </c>
    </row>
    <row r="427" customFormat="false" ht="14.35" hidden="false" customHeight="false" outlineLevel="0" collapsed="false">
      <c r="A427" s="4" t="n">
        <v>20728</v>
      </c>
      <c r="B427" s="5" t="n">
        <v>9804.99520874032</v>
      </c>
      <c r="C427" s="6" t="n">
        <v>1000</v>
      </c>
      <c r="D427" s="7" t="n">
        <v>773.3333333</v>
      </c>
      <c r="E427" s="6" t="n">
        <v>2414.89867433479</v>
      </c>
      <c r="F427" s="5" t="n">
        <v>20937.5</v>
      </c>
      <c r="G427" s="8" t="n">
        <v>83.2804346580458</v>
      </c>
    </row>
    <row r="428" customFormat="false" ht="14.35" hidden="false" customHeight="false" outlineLevel="0" collapsed="false">
      <c r="A428" s="4" t="n">
        <v>20759</v>
      </c>
      <c r="B428" s="5" t="n">
        <v>4000</v>
      </c>
      <c r="C428" s="6" t="n">
        <v>1700</v>
      </c>
      <c r="D428" s="7" t="n">
        <v>800</v>
      </c>
      <c r="E428" s="6" t="n">
        <v>2263.52032317877</v>
      </c>
      <c r="F428" s="5" t="n">
        <v>7812.5</v>
      </c>
      <c r="G428" s="8" t="n">
        <v>73.2350033305842</v>
      </c>
    </row>
    <row r="429" customFormat="false" ht="14.35" hidden="false" customHeight="false" outlineLevel="0" collapsed="false">
      <c r="A429" s="4" t="n">
        <v>20789</v>
      </c>
      <c r="B429" s="5" t="n">
        <v>2500</v>
      </c>
      <c r="C429" s="6" t="n">
        <v>1700</v>
      </c>
      <c r="D429" s="7" t="n">
        <v>800</v>
      </c>
      <c r="E429" s="6" t="n">
        <v>2175.01641587272</v>
      </c>
      <c r="F429" s="5" t="n">
        <v>14086.626</v>
      </c>
      <c r="G429" s="8" t="n">
        <v>77.4986900560504</v>
      </c>
    </row>
    <row r="430" customFormat="false" ht="14.35" hidden="false" customHeight="false" outlineLevel="0" collapsed="false">
      <c r="A430" s="4" t="n">
        <v>20820</v>
      </c>
      <c r="B430" s="5" t="n">
        <v>6009.97915754661</v>
      </c>
      <c r="C430" s="6" t="n">
        <v>1700</v>
      </c>
      <c r="D430" s="7" t="n">
        <v>800</v>
      </c>
      <c r="E430" s="6" t="n">
        <v>1918.34708048306</v>
      </c>
      <c r="F430" s="5" t="n">
        <v>4945.47232389399</v>
      </c>
      <c r="G430" s="8" t="n">
        <v>74.3776273286409</v>
      </c>
    </row>
    <row r="431" customFormat="false" ht="14.35" hidden="false" customHeight="false" outlineLevel="0" collapsed="false">
      <c r="A431" s="4" t="n">
        <v>20851</v>
      </c>
      <c r="B431" s="5" t="n">
        <v>1700</v>
      </c>
      <c r="C431" s="6" t="n">
        <v>1700</v>
      </c>
      <c r="D431" s="7" t="n">
        <v>800</v>
      </c>
      <c r="E431" s="6" t="n">
        <v>2000.11460900137</v>
      </c>
      <c r="F431" s="5" t="n">
        <v>8515.75795278052</v>
      </c>
      <c r="G431" s="8" t="n">
        <v>81.3782189957309</v>
      </c>
    </row>
    <row r="432" customFormat="false" ht="14.35" hidden="false" customHeight="false" outlineLevel="0" collapsed="false">
      <c r="A432" s="4" t="n">
        <v>20879</v>
      </c>
      <c r="B432" s="5" t="n">
        <v>4893.23862909421</v>
      </c>
      <c r="C432" s="6" t="n">
        <v>1700</v>
      </c>
      <c r="D432" s="7" t="n">
        <v>800</v>
      </c>
      <c r="E432" s="6" t="n">
        <v>2343.72286679776</v>
      </c>
      <c r="F432" s="5" t="n">
        <v>15469.736988112</v>
      </c>
      <c r="G432" s="8" t="n">
        <v>79.5073387865818</v>
      </c>
    </row>
    <row r="433" customFormat="false" ht="14.35" hidden="false" customHeight="false" outlineLevel="0" collapsed="false">
      <c r="A433" s="4" t="n">
        <v>20910</v>
      </c>
      <c r="B433" s="5" t="n">
        <v>1700</v>
      </c>
      <c r="C433" s="6" t="n">
        <v>1700</v>
      </c>
      <c r="D433" s="7" t="n">
        <v>800</v>
      </c>
      <c r="E433" s="6" t="n">
        <v>2807.68287678754</v>
      </c>
      <c r="F433" s="5" t="n">
        <v>37753.8267004165</v>
      </c>
      <c r="G433" s="8" t="n">
        <v>74.3181319394602</v>
      </c>
    </row>
    <row r="434" customFormat="false" ht="14.35" hidden="false" customHeight="false" outlineLevel="0" collapsed="false">
      <c r="A434" s="4" t="n">
        <v>20940</v>
      </c>
      <c r="B434" s="5" t="n">
        <v>1000</v>
      </c>
      <c r="C434" s="6" t="n">
        <v>1000</v>
      </c>
      <c r="D434" s="7" t="n">
        <v>700</v>
      </c>
      <c r="E434" s="6" t="n">
        <v>2983.67429596386</v>
      </c>
      <c r="F434" s="5" t="n">
        <v>14119.4542004411</v>
      </c>
      <c r="G434" s="8" t="n">
        <v>65.7781223886006</v>
      </c>
    </row>
    <row r="435" customFormat="false" ht="14.35" hidden="false" customHeight="false" outlineLevel="0" collapsed="false">
      <c r="A435" s="4" t="n">
        <v>20971</v>
      </c>
      <c r="B435" s="5" t="n">
        <v>1000</v>
      </c>
      <c r="C435" s="6" t="n">
        <v>1000</v>
      </c>
      <c r="D435" s="7" t="n">
        <v>700</v>
      </c>
      <c r="E435" s="6" t="n">
        <v>3275.99341852773</v>
      </c>
      <c r="F435" s="5" t="n">
        <v>21531.1084126694</v>
      </c>
      <c r="G435" s="8" t="n">
        <v>70.5177824248472</v>
      </c>
    </row>
    <row r="436" customFormat="false" ht="14.35" hidden="false" customHeight="false" outlineLevel="0" collapsed="false">
      <c r="A436" s="4" t="n">
        <v>21001</v>
      </c>
      <c r="B436" s="5" t="n">
        <v>1787.30391957424</v>
      </c>
      <c r="C436" s="6" t="n">
        <v>1000</v>
      </c>
      <c r="D436" s="7" t="n">
        <v>700</v>
      </c>
      <c r="E436" s="6" t="n">
        <v>3253.45878309491</v>
      </c>
      <c r="F436" s="5" t="n">
        <v>5427.52803926663</v>
      </c>
      <c r="G436" s="8" t="n">
        <v>68.8371073359322</v>
      </c>
    </row>
    <row r="437" customFormat="false" ht="14.35" hidden="false" customHeight="false" outlineLevel="0" collapsed="false">
      <c r="A437" s="4" t="n">
        <v>21032</v>
      </c>
      <c r="B437" s="5" t="n">
        <v>8751.80639709699</v>
      </c>
      <c r="C437" s="6" t="n">
        <v>1000</v>
      </c>
      <c r="D437" s="7" t="n">
        <v>700</v>
      </c>
      <c r="E437" s="6" t="n">
        <v>2703.12349275447</v>
      </c>
      <c r="F437" s="5" t="n">
        <v>11491.1900771514</v>
      </c>
      <c r="G437" s="8" t="n">
        <v>78.8490771477293</v>
      </c>
    </row>
    <row r="438" customFormat="false" ht="14.35" hidden="false" customHeight="false" outlineLevel="0" collapsed="false">
      <c r="A438" s="4" t="n">
        <v>21063</v>
      </c>
      <c r="B438" s="5" t="n">
        <v>7454.45771767196</v>
      </c>
      <c r="C438" s="6" t="n">
        <v>1000</v>
      </c>
      <c r="D438" s="7" t="n">
        <v>700</v>
      </c>
      <c r="E438" s="6" t="n">
        <v>2221.70000748182</v>
      </c>
      <c r="F438" s="5" t="n">
        <v>4000</v>
      </c>
      <c r="G438" s="8" t="n">
        <v>76.3812850903231</v>
      </c>
    </row>
    <row r="439" customFormat="false" ht="14.35" hidden="false" customHeight="false" outlineLevel="0" collapsed="false">
      <c r="A439" s="4" t="n">
        <v>21093</v>
      </c>
      <c r="B439" s="5" t="n">
        <v>8062.44589727075</v>
      </c>
      <c r="C439" s="6" t="n">
        <v>1000</v>
      </c>
      <c r="D439" s="7" t="n">
        <v>773.3333333</v>
      </c>
      <c r="E439" s="6" t="n">
        <v>1793.65067994402</v>
      </c>
      <c r="F439" s="5" t="n">
        <v>11562.5</v>
      </c>
      <c r="G439" s="8" t="n">
        <v>83.6614264056694</v>
      </c>
    </row>
    <row r="440" customFormat="false" ht="14.35" hidden="false" customHeight="false" outlineLevel="0" collapsed="false">
      <c r="A440" s="4" t="n">
        <v>21124</v>
      </c>
      <c r="B440" s="5" t="n">
        <v>1700</v>
      </c>
      <c r="C440" s="6" t="n">
        <v>1700</v>
      </c>
      <c r="D440" s="7" t="n">
        <v>800</v>
      </c>
      <c r="E440" s="6" t="n">
        <v>1735.75575725794</v>
      </c>
      <c r="F440" s="5" t="n">
        <v>5937.5</v>
      </c>
      <c r="G440" s="8" t="n">
        <v>77.9113522633423</v>
      </c>
    </row>
    <row r="441" customFormat="false" ht="14.35" hidden="false" customHeight="false" outlineLevel="0" collapsed="false">
      <c r="A441" s="4" t="n">
        <v>21154</v>
      </c>
      <c r="B441" s="5" t="n">
        <v>2278.39174215452</v>
      </c>
      <c r="C441" s="6" t="n">
        <v>1700</v>
      </c>
      <c r="D441" s="7" t="n">
        <v>800</v>
      </c>
      <c r="E441" s="6" t="n">
        <v>1626.85620450709</v>
      </c>
      <c r="F441" s="5" t="n">
        <v>10312.5</v>
      </c>
      <c r="G441" s="8" t="n">
        <v>81.1352373324525</v>
      </c>
    </row>
    <row r="442" customFormat="false" ht="14.35" hidden="false" customHeight="false" outlineLevel="0" collapsed="false">
      <c r="A442" s="4" t="n">
        <v>21185</v>
      </c>
      <c r="B442" s="5" t="n">
        <v>1700</v>
      </c>
      <c r="C442" s="6" t="n">
        <v>1700</v>
      </c>
      <c r="D442" s="7" t="n">
        <v>800</v>
      </c>
      <c r="E442" s="6" t="n">
        <v>1770.88705139697</v>
      </c>
      <c r="F442" s="5" t="n">
        <v>16690.246464629</v>
      </c>
      <c r="G442" s="8" t="n">
        <v>77.9602568760796</v>
      </c>
    </row>
    <row r="443" customFormat="false" ht="14.35" hidden="false" customHeight="false" outlineLevel="0" collapsed="false">
      <c r="A443" s="4" t="n">
        <v>21216</v>
      </c>
      <c r="B443" s="5" t="n">
        <v>1699.99999999997</v>
      </c>
      <c r="C443" s="6" t="n">
        <v>1700</v>
      </c>
      <c r="D443" s="7" t="n">
        <v>800</v>
      </c>
      <c r="E443" s="6" t="n">
        <v>2048.60842156299</v>
      </c>
      <c r="F443" s="5" t="n">
        <v>37313.8130221809</v>
      </c>
      <c r="G443" s="8" t="n">
        <v>73.2289046674151</v>
      </c>
    </row>
    <row r="444" customFormat="false" ht="14.35" hidden="false" customHeight="false" outlineLevel="0" collapsed="false">
      <c r="A444" s="4" t="n">
        <v>21244</v>
      </c>
      <c r="B444" s="5" t="n">
        <v>9060.97488190173</v>
      </c>
      <c r="C444" s="6" t="n">
        <v>1700</v>
      </c>
      <c r="D444" s="7" t="n">
        <v>800</v>
      </c>
      <c r="E444" s="6" t="n">
        <v>2788</v>
      </c>
      <c r="F444" s="5" t="n">
        <v>146430.525085003</v>
      </c>
      <c r="G444" s="8" t="n">
        <v>65.51093596331</v>
      </c>
    </row>
    <row r="445" customFormat="false" ht="14.35" hidden="false" customHeight="false" outlineLevel="0" collapsed="false">
      <c r="A445" s="4" t="n">
        <v>21275</v>
      </c>
      <c r="B445" s="5" t="n">
        <v>11899.2926664114</v>
      </c>
      <c r="C445" s="6" t="n">
        <v>1700</v>
      </c>
      <c r="D445" s="7" t="n">
        <v>800</v>
      </c>
      <c r="E445" s="6" t="n">
        <v>2788</v>
      </c>
      <c r="F445" s="5" t="n">
        <v>120292.144423042</v>
      </c>
      <c r="G445" s="8" t="n">
        <v>52.5010867208048</v>
      </c>
    </row>
    <row r="446" customFormat="false" ht="14.35" hidden="false" customHeight="false" outlineLevel="0" collapsed="false">
      <c r="A446" s="4" t="n">
        <v>21305</v>
      </c>
      <c r="B446" s="5" t="n">
        <v>7677.77211793537</v>
      </c>
      <c r="C446" s="6" t="n">
        <v>1000</v>
      </c>
      <c r="D446" s="7" t="n">
        <v>700</v>
      </c>
      <c r="E446" s="6" t="n">
        <v>3235</v>
      </c>
      <c r="F446" s="5" t="n">
        <v>106060.533807298</v>
      </c>
      <c r="G446" s="8" t="n">
        <v>49.7436684639776</v>
      </c>
    </row>
    <row r="447" customFormat="false" ht="14.35" hidden="false" customHeight="false" outlineLevel="0" collapsed="false">
      <c r="A447" s="4" t="n">
        <v>21336</v>
      </c>
      <c r="B447" s="5" t="n">
        <v>10506.7374479738</v>
      </c>
      <c r="C447" s="6" t="n">
        <v>1000</v>
      </c>
      <c r="D447" s="7" t="n">
        <v>700</v>
      </c>
      <c r="E447" s="6" t="n">
        <v>3538</v>
      </c>
      <c r="F447" s="5" t="n">
        <v>49829.0289637989</v>
      </c>
      <c r="G447" s="8" t="n">
        <v>49.8049498005053</v>
      </c>
    </row>
    <row r="448" customFormat="false" ht="14.35" hidden="false" customHeight="false" outlineLevel="0" collapsed="false">
      <c r="A448" s="4" t="n">
        <v>21366</v>
      </c>
      <c r="B448" s="5" t="n">
        <v>6741.40853807776</v>
      </c>
      <c r="C448" s="6" t="n">
        <v>1000</v>
      </c>
      <c r="D448" s="7" t="n">
        <v>700</v>
      </c>
      <c r="E448" s="6" t="n">
        <v>3538</v>
      </c>
      <c r="F448" s="5" t="n">
        <v>30585.3018611181</v>
      </c>
      <c r="G448" s="8" t="n">
        <v>55.6154977609912</v>
      </c>
    </row>
    <row r="449" customFormat="false" ht="14.35" hidden="false" customHeight="false" outlineLevel="0" collapsed="false">
      <c r="A449" s="4" t="n">
        <v>21397</v>
      </c>
      <c r="B449" s="5" t="n">
        <v>3284.41472900163</v>
      </c>
      <c r="C449" s="6" t="n">
        <v>1000</v>
      </c>
      <c r="D449" s="7" t="n">
        <v>700</v>
      </c>
      <c r="E449" s="6" t="n">
        <v>3419.99410339473</v>
      </c>
      <c r="F449" s="5" t="n">
        <v>8000</v>
      </c>
      <c r="G449" s="8" t="n">
        <v>61.2614597558379</v>
      </c>
    </row>
    <row r="450" customFormat="false" ht="14.35" hidden="false" customHeight="false" outlineLevel="0" collapsed="false">
      <c r="A450" s="4" t="n">
        <v>21428</v>
      </c>
      <c r="B450" s="5" t="n">
        <v>1396.53324645576</v>
      </c>
      <c r="C450" s="6" t="n">
        <v>1000</v>
      </c>
      <c r="D450" s="7" t="n">
        <v>700</v>
      </c>
      <c r="E450" s="6" t="n">
        <v>3374.65021040797</v>
      </c>
      <c r="F450" s="5" t="n">
        <v>4566.75424280603</v>
      </c>
      <c r="G450" s="8" t="n">
        <v>73.3919682375559</v>
      </c>
    </row>
    <row r="451" customFormat="false" ht="14.35" hidden="false" customHeight="false" outlineLevel="0" collapsed="false">
      <c r="A451" s="4" t="n">
        <v>21458</v>
      </c>
      <c r="B451" s="5" t="n">
        <v>9441.43123015564</v>
      </c>
      <c r="C451" s="6" t="n">
        <v>1000</v>
      </c>
      <c r="D451" s="7" t="n">
        <v>773.3333333</v>
      </c>
      <c r="E451" s="6" t="n">
        <v>2851.83691259981</v>
      </c>
      <c r="F451" s="5" t="n">
        <v>19687.5</v>
      </c>
      <c r="G451" s="8" t="n">
        <v>81.6658123257912</v>
      </c>
    </row>
    <row r="452" customFormat="false" ht="14.35" hidden="false" customHeight="false" outlineLevel="0" collapsed="false">
      <c r="A452" s="4" t="n">
        <v>21489</v>
      </c>
      <c r="B452" s="5" t="n">
        <v>4000</v>
      </c>
      <c r="C452" s="6" t="n">
        <v>1700</v>
      </c>
      <c r="D452" s="7" t="n">
        <v>800</v>
      </c>
      <c r="E452" s="6" t="n">
        <v>2627.77151175968</v>
      </c>
      <c r="F452" s="5" t="n">
        <v>8125</v>
      </c>
      <c r="G452" s="8" t="n">
        <v>73.177589699885</v>
      </c>
    </row>
    <row r="453" customFormat="false" ht="14.35" hidden="false" customHeight="false" outlineLevel="0" collapsed="false">
      <c r="A453" s="4" t="n">
        <v>21519</v>
      </c>
      <c r="B453" s="5" t="n">
        <v>2500</v>
      </c>
      <c r="C453" s="6" t="n">
        <v>1700</v>
      </c>
      <c r="D453" s="7" t="n">
        <v>800</v>
      </c>
      <c r="E453" s="6" t="n">
        <v>2525.75208625918</v>
      </c>
      <c r="F453" s="5" t="n">
        <v>13689.228</v>
      </c>
      <c r="G453" s="8" t="n">
        <v>77.1792314292837</v>
      </c>
    </row>
    <row r="454" customFormat="false" ht="14.35" hidden="false" customHeight="false" outlineLevel="0" collapsed="false">
      <c r="A454" s="4" t="n">
        <v>21550</v>
      </c>
      <c r="B454" s="5" t="n">
        <v>5691.9063786457</v>
      </c>
      <c r="C454" s="6" t="n">
        <v>1700</v>
      </c>
      <c r="D454" s="7" t="n">
        <v>800</v>
      </c>
      <c r="E454" s="6" t="n">
        <v>2299.75452871399</v>
      </c>
      <c r="F454" s="5" t="n">
        <v>5090.28597119491</v>
      </c>
      <c r="G454" s="8" t="n">
        <v>74.4922634729769</v>
      </c>
    </row>
    <row r="455" customFormat="false" ht="14.35" hidden="false" customHeight="false" outlineLevel="0" collapsed="false">
      <c r="A455" s="4" t="n">
        <v>21581</v>
      </c>
      <c r="B455" s="5" t="n">
        <v>1700</v>
      </c>
      <c r="C455" s="6" t="n">
        <v>1700</v>
      </c>
      <c r="D455" s="7" t="n">
        <v>800</v>
      </c>
      <c r="E455" s="6" t="n">
        <v>2599.29116034402</v>
      </c>
      <c r="F455" s="5" t="n">
        <v>17359.2007317334</v>
      </c>
      <c r="G455" s="8" t="n">
        <v>81.1945644612943</v>
      </c>
    </row>
    <row r="456" customFormat="false" ht="14.35" hidden="false" customHeight="false" outlineLevel="0" collapsed="false">
      <c r="A456" s="4" t="n">
        <v>21609</v>
      </c>
      <c r="B456" s="5" t="n">
        <v>2756.15143109703</v>
      </c>
      <c r="C456" s="6" t="n">
        <v>1700</v>
      </c>
      <c r="D456" s="7" t="n">
        <v>800</v>
      </c>
      <c r="E456" s="6" t="n">
        <v>2839</v>
      </c>
      <c r="F456" s="5" t="n">
        <v>45550.0187471266</v>
      </c>
      <c r="G456" s="8" t="n">
        <v>73.987878582127</v>
      </c>
    </row>
    <row r="457" customFormat="false" ht="14.35" hidden="false" customHeight="false" outlineLevel="0" collapsed="false">
      <c r="A457" s="4" t="n">
        <v>21640</v>
      </c>
      <c r="B457" s="5" t="n">
        <v>2247.79871860452</v>
      </c>
      <c r="C457" s="6" t="n">
        <v>1700</v>
      </c>
      <c r="D457" s="7" t="n">
        <v>800</v>
      </c>
      <c r="E457" s="6" t="n">
        <v>3054</v>
      </c>
      <c r="F457" s="5" t="n">
        <v>12261.1344315059</v>
      </c>
      <c r="G457" s="8" t="n">
        <v>64.2309035142922</v>
      </c>
    </row>
    <row r="458" customFormat="false" ht="14.35" hidden="false" customHeight="false" outlineLevel="0" collapsed="false">
      <c r="A458" s="4" t="n">
        <v>21670</v>
      </c>
      <c r="B458" s="5" t="n">
        <v>1934.56402331141</v>
      </c>
      <c r="C458" s="6" t="n">
        <v>1000</v>
      </c>
      <c r="D458" s="7" t="n">
        <v>700</v>
      </c>
      <c r="E458" s="6" t="n">
        <v>3135.55288636482</v>
      </c>
      <c r="F458" s="5" t="n">
        <v>8823.16896452252</v>
      </c>
      <c r="G458" s="8" t="n">
        <v>71.0923241275221</v>
      </c>
    </row>
    <row r="459" customFormat="false" ht="14.35" hidden="false" customHeight="false" outlineLevel="0" collapsed="false">
      <c r="A459" s="4" t="n">
        <v>21701</v>
      </c>
      <c r="B459" s="5" t="n">
        <v>1847.42482258737</v>
      </c>
      <c r="C459" s="6" t="n">
        <v>1000</v>
      </c>
      <c r="D459" s="7" t="n">
        <v>700</v>
      </c>
      <c r="E459" s="6" t="n">
        <v>3160.07296623293</v>
      </c>
      <c r="F459" s="5" t="n">
        <v>9210.73627573575</v>
      </c>
      <c r="G459" s="8" t="n">
        <v>75.8637897280682</v>
      </c>
    </row>
    <row r="460" customFormat="false" ht="14.35" hidden="false" customHeight="false" outlineLevel="0" collapsed="false">
      <c r="A460" s="4" t="n">
        <v>21731</v>
      </c>
      <c r="B460" s="5" t="n">
        <v>3995.75587657334</v>
      </c>
      <c r="C460" s="6" t="n">
        <v>1000</v>
      </c>
      <c r="D460" s="7" t="n">
        <v>700</v>
      </c>
      <c r="E460" s="6" t="n">
        <v>2903.59399656677</v>
      </c>
      <c r="F460" s="5" t="n">
        <v>7100</v>
      </c>
      <c r="G460" s="8" t="n">
        <v>77.0983550369053</v>
      </c>
    </row>
    <row r="461" customFormat="false" ht="14.35" hidden="false" customHeight="false" outlineLevel="0" collapsed="false">
      <c r="A461" s="4" t="n">
        <v>21762</v>
      </c>
      <c r="B461" s="5" t="n">
        <v>10000</v>
      </c>
      <c r="C461" s="6" t="n">
        <v>1000</v>
      </c>
      <c r="D461" s="7" t="n">
        <v>700</v>
      </c>
      <c r="E461" s="6" t="n">
        <v>2239.79110404603</v>
      </c>
      <c r="F461" s="5" t="n">
        <v>8967.34251555392</v>
      </c>
      <c r="G461" s="8" t="n">
        <v>79.4981309262059</v>
      </c>
    </row>
    <row r="462" customFormat="false" ht="14.35" hidden="false" customHeight="false" outlineLevel="0" collapsed="false">
      <c r="A462" s="4" t="n">
        <v>21793</v>
      </c>
      <c r="B462" s="5" t="n">
        <v>7905.3193510891</v>
      </c>
      <c r="C462" s="6" t="n">
        <v>1000</v>
      </c>
      <c r="D462" s="7" t="n">
        <v>700</v>
      </c>
      <c r="E462" s="6" t="n">
        <v>1726.6230775603</v>
      </c>
      <c r="F462" s="5" t="n">
        <v>4000</v>
      </c>
      <c r="G462" s="8" t="n">
        <v>78.4949719829727</v>
      </c>
    </row>
    <row r="463" customFormat="false" ht="14.35" hidden="false" customHeight="false" outlineLevel="0" collapsed="false">
      <c r="A463" s="4" t="n">
        <v>21823</v>
      </c>
      <c r="B463" s="5" t="n">
        <v>2409.7621541732</v>
      </c>
      <c r="C463" s="6" t="n">
        <v>1000</v>
      </c>
      <c r="D463" s="7" t="n">
        <v>773.3333333</v>
      </c>
      <c r="E463" s="6" t="n">
        <v>1618.96954170668</v>
      </c>
      <c r="F463" s="5" t="n">
        <v>4798.74996518987</v>
      </c>
      <c r="G463" s="8" t="n">
        <v>84.3542929690799</v>
      </c>
    </row>
    <row r="464" customFormat="false" ht="14.35" hidden="false" customHeight="false" outlineLevel="0" collapsed="false">
      <c r="A464" s="4" t="n">
        <v>21854</v>
      </c>
      <c r="B464" s="5" t="n">
        <v>1206.27367989169</v>
      </c>
      <c r="C464" s="6" t="n">
        <v>1200</v>
      </c>
      <c r="D464" s="7" t="n">
        <v>800</v>
      </c>
      <c r="E464" s="6" t="n">
        <v>1504.05935999026</v>
      </c>
      <c r="F464" s="5" t="n">
        <v>4000</v>
      </c>
      <c r="G464" s="8" t="n">
        <v>84.8794258824041</v>
      </c>
    </row>
    <row r="465" customFormat="false" ht="14.35" hidden="false" customHeight="false" outlineLevel="0" collapsed="false">
      <c r="A465" s="4" t="n">
        <v>21884</v>
      </c>
      <c r="B465" s="5" t="n">
        <v>1200</v>
      </c>
      <c r="C465" s="6" t="n">
        <v>1200</v>
      </c>
      <c r="D465" s="7" t="n">
        <v>800</v>
      </c>
      <c r="E465" s="6" t="n">
        <v>1360.21502093015</v>
      </c>
      <c r="F465" s="5" t="n">
        <v>4500</v>
      </c>
      <c r="G465" s="8" t="n">
        <v>86.4471169573135</v>
      </c>
    </row>
    <row r="466" customFormat="false" ht="14.35" hidden="false" customHeight="false" outlineLevel="0" collapsed="false">
      <c r="A466" s="4" t="n">
        <v>21915</v>
      </c>
      <c r="B466" s="5" t="n">
        <v>1200</v>
      </c>
      <c r="C466" s="6" t="n">
        <v>1200</v>
      </c>
      <c r="D466" s="7" t="n">
        <v>800</v>
      </c>
      <c r="E466" s="6" t="n">
        <v>1290.05307502015</v>
      </c>
      <c r="F466" s="5" t="n">
        <v>4500</v>
      </c>
      <c r="G466" s="8" t="n">
        <v>86.0581640704726</v>
      </c>
    </row>
    <row r="467" customFormat="false" ht="14.35" hidden="false" customHeight="false" outlineLevel="0" collapsed="false">
      <c r="A467" s="4" t="n">
        <v>21946</v>
      </c>
      <c r="B467" s="5" t="n">
        <v>1200</v>
      </c>
      <c r="C467" s="6" t="n">
        <v>1200</v>
      </c>
      <c r="D467" s="7" t="n">
        <v>800</v>
      </c>
      <c r="E467" s="6" t="n">
        <v>1391.27805560555</v>
      </c>
      <c r="F467" s="5" t="n">
        <v>8892.2956712609</v>
      </c>
      <c r="G467" s="8" t="n">
        <v>85.9306653141661</v>
      </c>
    </row>
    <row r="468" customFormat="false" ht="14.35" hidden="false" customHeight="false" outlineLevel="0" collapsed="false">
      <c r="A468" s="4" t="n">
        <v>21975</v>
      </c>
      <c r="B468" s="5" t="n">
        <v>1200</v>
      </c>
      <c r="C468" s="6" t="n">
        <v>1200</v>
      </c>
      <c r="D468" s="7" t="n">
        <v>800</v>
      </c>
      <c r="E468" s="6" t="n">
        <v>1948.56899022302</v>
      </c>
      <c r="F468" s="5" t="n">
        <v>29427.9893562118</v>
      </c>
      <c r="G468" s="8" t="n">
        <v>80.6679768489306</v>
      </c>
    </row>
    <row r="469" customFormat="false" ht="14.35" hidden="false" customHeight="false" outlineLevel="0" collapsed="false">
      <c r="A469" s="4" t="n">
        <v>22006</v>
      </c>
      <c r="B469" s="5" t="n">
        <v>1000</v>
      </c>
      <c r="C469" s="6" t="n">
        <v>1000</v>
      </c>
      <c r="D469" s="7" t="n">
        <v>800</v>
      </c>
      <c r="E469" s="6" t="n">
        <v>2511.71330734145</v>
      </c>
      <c r="F469" s="5" t="n">
        <v>13996.5646222729</v>
      </c>
      <c r="G469" s="8" t="n">
        <v>69.7693383924463</v>
      </c>
    </row>
    <row r="470" customFormat="false" ht="14.35" hidden="false" customHeight="false" outlineLevel="0" collapsed="false">
      <c r="A470" s="4" t="n">
        <v>22036</v>
      </c>
      <c r="B470" s="5" t="n">
        <v>1015.22450681011</v>
      </c>
      <c r="C470" s="6" t="n">
        <v>1000</v>
      </c>
      <c r="D470" s="7" t="n">
        <v>700</v>
      </c>
      <c r="E470" s="6" t="n">
        <v>2767.54948290633</v>
      </c>
      <c r="F470" s="5" t="n">
        <v>12958.333</v>
      </c>
      <c r="G470" s="8" t="n">
        <v>71.8931104684707</v>
      </c>
    </row>
    <row r="471" customFormat="false" ht="14.35" hidden="false" customHeight="false" outlineLevel="0" collapsed="false">
      <c r="A471" s="4" t="n">
        <v>22067</v>
      </c>
      <c r="B471" s="5" t="n">
        <v>1593.55060134354</v>
      </c>
      <c r="C471" s="6" t="n">
        <v>1000</v>
      </c>
      <c r="D471" s="7" t="n">
        <v>700</v>
      </c>
      <c r="E471" s="6" t="n">
        <v>2835.85207280867</v>
      </c>
      <c r="F471" s="5" t="n">
        <v>8172.40529760569</v>
      </c>
      <c r="G471" s="8" t="n">
        <v>73.1800693586289</v>
      </c>
    </row>
    <row r="472" customFormat="false" ht="14.35" hidden="false" customHeight="false" outlineLevel="0" collapsed="false">
      <c r="A472" s="4" t="n">
        <v>22097</v>
      </c>
      <c r="B472" s="5" t="n">
        <v>4776.07477855645</v>
      </c>
      <c r="C472" s="6" t="n">
        <v>1000</v>
      </c>
      <c r="D472" s="7" t="n">
        <v>700</v>
      </c>
      <c r="E472" s="6" t="n">
        <v>2554.91635126543</v>
      </c>
      <c r="F472" s="5" t="n">
        <v>7176.875</v>
      </c>
      <c r="G472" s="8" t="n">
        <v>77.1354510599345</v>
      </c>
    </row>
    <row r="473" customFormat="false" ht="14.35" hidden="false" customHeight="false" outlineLevel="0" collapsed="false">
      <c r="A473" s="4" t="n">
        <v>22128</v>
      </c>
      <c r="B473" s="5" t="n">
        <v>9822.87079390568</v>
      </c>
      <c r="C473" s="6" t="n">
        <v>1000</v>
      </c>
      <c r="D473" s="7" t="n">
        <v>700</v>
      </c>
      <c r="E473" s="6" t="n">
        <v>1900.288829113</v>
      </c>
      <c r="F473" s="5" t="n">
        <v>5000</v>
      </c>
      <c r="G473" s="8" t="n">
        <v>79.4277413621651</v>
      </c>
    </row>
    <row r="474" customFormat="false" ht="14.35" hidden="false" customHeight="false" outlineLevel="0" collapsed="false">
      <c r="A474" s="4" t="n">
        <v>22159</v>
      </c>
      <c r="B474" s="5" t="n">
        <v>4739.91531259664</v>
      </c>
      <c r="C474" s="6" t="n">
        <v>1000</v>
      </c>
      <c r="D474" s="7" t="n">
        <v>700</v>
      </c>
      <c r="E474" s="6" t="n">
        <v>1571.50428958883</v>
      </c>
      <c r="F474" s="5" t="n">
        <v>3899.39171562043</v>
      </c>
      <c r="G474" s="8" t="n">
        <v>82.949593041987</v>
      </c>
    </row>
    <row r="475" customFormat="false" ht="14.35" hidden="false" customHeight="false" outlineLevel="0" collapsed="false">
      <c r="A475" s="4" t="n">
        <v>22189</v>
      </c>
      <c r="B475" s="5" t="n">
        <v>1256.44179116815</v>
      </c>
      <c r="C475" s="6" t="n">
        <v>1000</v>
      </c>
      <c r="D475" s="7" t="n">
        <v>773.3333333</v>
      </c>
      <c r="E475" s="6" t="n">
        <v>1502.37108021506</v>
      </c>
      <c r="F475" s="5" t="n">
        <v>3000</v>
      </c>
      <c r="G475" s="8" t="n">
        <v>86.0097819375703</v>
      </c>
    </row>
    <row r="476" customFormat="false" ht="14.35" hidden="false" customHeight="false" outlineLevel="0" collapsed="false">
      <c r="A476" s="4" t="n">
        <v>22220</v>
      </c>
      <c r="B476" s="5" t="n">
        <v>1199.99999999998</v>
      </c>
      <c r="C476" s="6" t="n">
        <v>1200</v>
      </c>
      <c r="D476" s="7" t="n">
        <v>800</v>
      </c>
      <c r="E476" s="6" t="n">
        <v>1366.5529518932</v>
      </c>
      <c r="F476" s="5" t="n">
        <v>4316.34620049853</v>
      </c>
      <c r="G476" s="8" t="n">
        <v>89.0228163733335</v>
      </c>
    </row>
    <row r="477" customFormat="false" ht="14.35" hidden="false" customHeight="false" outlineLevel="0" collapsed="false">
      <c r="A477" s="4" t="n">
        <v>22250</v>
      </c>
      <c r="B477" s="5" t="n">
        <v>1200</v>
      </c>
      <c r="C477" s="6" t="n">
        <v>1200</v>
      </c>
      <c r="D477" s="7" t="n">
        <v>800</v>
      </c>
      <c r="E477" s="6" t="n">
        <v>1300.42575728031</v>
      </c>
      <c r="F477" s="5" t="n">
        <v>4752.51996989437</v>
      </c>
      <c r="G477" s="8" t="n">
        <v>87.2218770276142</v>
      </c>
    </row>
    <row r="478" customFormat="false" ht="14.35" hidden="false" customHeight="false" outlineLevel="0" collapsed="false">
      <c r="A478" s="4" t="n">
        <v>22281</v>
      </c>
      <c r="B478" s="5" t="n">
        <v>1418.84101814074</v>
      </c>
      <c r="C478" s="6" t="n">
        <v>1200</v>
      </c>
      <c r="D478" s="7" t="n">
        <v>800</v>
      </c>
      <c r="E478" s="6" t="n">
        <v>1306.72121744041</v>
      </c>
      <c r="F478" s="5" t="n">
        <v>11852.5968715788</v>
      </c>
      <c r="G478" s="8" t="n">
        <v>85.893623564581</v>
      </c>
    </row>
    <row r="479" customFormat="false" ht="14.35" hidden="false" customHeight="false" outlineLevel="0" collapsed="false">
      <c r="A479" s="4" t="n">
        <v>22312</v>
      </c>
      <c r="B479" s="5" t="n">
        <v>1200</v>
      </c>
      <c r="C479" s="6" t="n">
        <v>1200</v>
      </c>
      <c r="D479" s="7" t="n">
        <v>800</v>
      </c>
      <c r="E479" s="6" t="n">
        <v>1392.75279176773</v>
      </c>
      <c r="F479" s="5" t="n">
        <v>9182.0469540772</v>
      </c>
      <c r="G479" s="8" t="n">
        <v>78.4531212910983</v>
      </c>
    </row>
    <row r="480" customFormat="false" ht="14.35" hidden="false" customHeight="false" outlineLevel="0" collapsed="false">
      <c r="A480" s="4" t="n">
        <v>22340</v>
      </c>
      <c r="B480" s="5" t="n">
        <v>1200</v>
      </c>
      <c r="C480" s="6" t="n">
        <v>1200</v>
      </c>
      <c r="D480" s="7" t="n">
        <v>800</v>
      </c>
      <c r="E480" s="6" t="n">
        <v>1652.07486641439</v>
      </c>
      <c r="F480" s="5" t="n">
        <v>34037.8690378019</v>
      </c>
      <c r="G480" s="8" t="n">
        <v>77.9710508204304</v>
      </c>
    </row>
    <row r="481" customFormat="false" ht="14.35" hidden="false" customHeight="false" outlineLevel="0" collapsed="false">
      <c r="A481" s="4" t="n">
        <v>22371</v>
      </c>
      <c r="B481" s="5" t="n">
        <v>1109.04104051296</v>
      </c>
      <c r="C481" s="6" t="n">
        <v>1000</v>
      </c>
      <c r="D481" s="7" t="n">
        <v>800</v>
      </c>
      <c r="E481" s="6" t="n">
        <v>1909.63954899903</v>
      </c>
      <c r="F481" s="5" t="n">
        <v>13578.9562117715</v>
      </c>
      <c r="G481" s="8" t="n">
        <v>67.7697747522617</v>
      </c>
    </row>
    <row r="482" customFormat="false" ht="14.35" hidden="false" customHeight="false" outlineLevel="0" collapsed="false">
      <c r="A482" s="4" t="n">
        <v>22401</v>
      </c>
      <c r="B482" s="5" t="n">
        <v>1247.14713678908</v>
      </c>
      <c r="C482" s="6" t="n">
        <v>750</v>
      </c>
      <c r="D482" s="7" t="n">
        <v>700</v>
      </c>
      <c r="E482" s="6" t="n">
        <v>2030.4898561194</v>
      </c>
      <c r="F482" s="5" t="n">
        <v>8975.60236191231</v>
      </c>
      <c r="G482" s="8" t="n">
        <v>71.4698404182999</v>
      </c>
    </row>
    <row r="483" customFormat="false" ht="14.35" hidden="false" customHeight="false" outlineLevel="0" collapsed="false">
      <c r="A483" s="4" t="n">
        <v>22432</v>
      </c>
      <c r="B483" s="5" t="n">
        <v>1572.05199535114</v>
      </c>
      <c r="C483" s="6" t="n">
        <v>750</v>
      </c>
      <c r="D483" s="7" t="n">
        <v>700</v>
      </c>
      <c r="E483" s="6" t="n">
        <v>2090.08450484805</v>
      </c>
      <c r="F483" s="5" t="n">
        <v>8140.00849123907</v>
      </c>
      <c r="G483" s="8" t="n">
        <v>75.8562410753758</v>
      </c>
    </row>
    <row r="484" customFormat="false" ht="14.35" hidden="false" customHeight="false" outlineLevel="0" collapsed="false">
      <c r="A484" s="4" t="n">
        <v>22462</v>
      </c>
      <c r="B484" s="5" t="n">
        <v>4787.42858264053</v>
      </c>
      <c r="C484" s="6" t="n">
        <v>750</v>
      </c>
      <c r="D484" s="7" t="n">
        <v>700</v>
      </c>
      <c r="E484" s="6" t="n">
        <v>1841.27757904806</v>
      </c>
      <c r="F484" s="5" t="n">
        <v>7100</v>
      </c>
      <c r="G484" s="8" t="n">
        <v>78.0431470821646</v>
      </c>
    </row>
    <row r="485" customFormat="false" ht="14.35" hidden="false" customHeight="false" outlineLevel="0" collapsed="false">
      <c r="A485" s="4" t="n">
        <v>22493</v>
      </c>
      <c r="B485" s="5" t="n">
        <v>5204.79212861506</v>
      </c>
      <c r="C485" s="6" t="n">
        <v>750</v>
      </c>
      <c r="D485" s="7" t="n">
        <v>700</v>
      </c>
      <c r="E485" s="6" t="n">
        <v>1508.37834304301</v>
      </c>
      <c r="F485" s="5" t="n">
        <v>5000</v>
      </c>
      <c r="G485" s="8" t="n">
        <v>79.8078337586419</v>
      </c>
    </row>
    <row r="486" customFormat="false" ht="14.35" hidden="false" customHeight="false" outlineLevel="0" collapsed="false">
      <c r="A486" s="4" t="n">
        <v>22524</v>
      </c>
      <c r="B486" s="5" t="n">
        <v>2206.16717162607</v>
      </c>
      <c r="C486" s="6" t="n">
        <v>750</v>
      </c>
      <c r="D486" s="7" t="n">
        <v>700</v>
      </c>
      <c r="E486" s="6" t="n">
        <v>1350.83544092048</v>
      </c>
      <c r="F486" s="5" t="n">
        <v>3500</v>
      </c>
      <c r="G486" s="8" t="n">
        <v>83.0741873295521</v>
      </c>
    </row>
    <row r="487" customFormat="false" ht="14.35" hidden="false" customHeight="false" outlineLevel="0" collapsed="false">
      <c r="A487" s="4" t="n">
        <v>22554</v>
      </c>
      <c r="B487" s="5" t="n">
        <v>955.252699726267</v>
      </c>
      <c r="C487" s="6" t="n">
        <v>750</v>
      </c>
      <c r="D487" s="7" t="n">
        <v>773.3333333</v>
      </c>
      <c r="E487" s="6" t="n">
        <v>1266.65272544404</v>
      </c>
      <c r="F487" s="5" t="n">
        <v>3000</v>
      </c>
      <c r="G487" s="8" t="n">
        <v>86.8789176238448</v>
      </c>
    </row>
    <row r="488" customFormat="false" ht="14.35" hidden="false" customHeight="false" outlineLevel="0" collapsed="false">
      <c r="A488" s="4" t="n">
        <v>22585</v>
      </c>
      <c r="B488" s="5" t="n">
        <v>900</v>
      </c>
      <c r="C488" s="6" t="n">
        <v>900</v>
      </c>
      <c r="D488" s="7" t="n">
        <v>800</v>
      </c>
      <c r="E488" s="6" t="n">
        <v>1146.31472239094</v>
      </c>
      <c r="F488" s="5" t="n">
        <v>4791.6452602325</v>
      </c>
      <c r="G488" s="8" t="n">
        <v>89.3077190512943</v>
      </c>
    </row>
    <row r="489" customFormat="false" ht="14.35" hidden="false" customHeight="false" outlineLevel="0" collapsed="false">
      <c r="A489" s="4" t="n">
        <v>22615</v>
      </c>
      <c r="B489" s="5" t="n">
        <v>900</v>
      </c>
      <c r="C489" s="6" t="n">
        <v>900</v>
      </c>
      <c r="D489" s="7" t="n">
        <v>800</v>
      </c>
      <c r="E489" s="6" t="n">
        <v>1060.12385754947</v>
      </c>
      <c r="F489" s="5" t="n">
        <v>4500</v>
      </c>
      <c r="G489" s="8" t="n">
        <v>86.5145160832379</v>
      </c>
    </row>
    <row r="490" customFormat="false" ht="14.35" hidden="false" customHeight="false" outlineLevel="0" collapsed="false">
      <c r="A490" s="4" t="n">
        <v>22646</v>
      </c>
      <c r="B490" s="5" t="n">
        <v>900</v>
      </c>
      <c r="C490" s="6" t="n">
        <v>900</v>
      </c>
      <c r="D490" s="7" t="n">
        <v>800</v>
      </c>
      <c r="E490" s="6" t="n">
        <v>1073.29985989319</v>
      </c>
      <c r="F490" s="5" t="n">
        <v>10895.9970181178</v>
      </c>
      <c r="G490" s="8" t="n">
        <v>86.0802575039506</v>
      </c>
    </row>
    <row r="491" customFormat="false" ht="14.35" hidden="false" customHeight="false" outlineLevel="0" collapsed="false">
      <c r="A491" s="4" t="n">
        <v>22677</v>
      </c>
      <c r="B491" s="5" t="n">
        <v>900</v>
      </c>
      <c r="C491" s="6" t="n">
        <v>900</v>
      </c>
      <c r="D491" s="7" t="n">
        <v>800</v>
      </c>
      <c r="E491" s="6" t="n">
        <v>1157.37650956217</v>
      </c>
      <c r="F491" s="5" t="n">
        <v>6000.00000000005</v>
      </c>
      <c r="G491" s="8" t="n">
        <v>79.1593462884012</v>
      </c>
    </row>
    <row r="492" customFormat="false" ht="14.35" hidden="false" customHeight="false" outlineLevel="0" collapsed="false">
      <c r="A492" s="4" t="n">
        <v>22705</v>
      </c>
      <c r="B492" s="5" t="n">
        <v>900</v>
      </c>
      <c r="C492" s="6" t="n">
        <v>900</v>
      </c>
      <c r="D492" s="7" t="n">
        <v>800</v>
      </c>
      <c r="E492" s="6" t="n">
        <v>1688.49408195156</v>
      </c>
      <c r="F492" s="5" t="n">
        <v>60838.5039707268</v>
      </c>
      <c r="G492" s="8" t="n">
        <v>81.4640641440665</v>
      </c>
    </row>
    <row r="493" customFormat="false" ht="14.35" hidden="false" customHeight="false" outlineLevel="0" collapsed="false">
      <c r="A493" s="4" t="n">
        <v>22736</v>
      </c>
      <c r="B493" s="5" t="n">
        <v>800</v>
      </c>
      <c r="C493" s="6" t="n">
        <v>750</v>
      </c>
      <c r="D493" s="7" t="n">
        <v>800</v>
      </c>
      <c r="E493" s="6" t="n">
        <v>2031.40767389952</v>
      </c>
      <c r="F493" s="5" t="n">
        <v>20039.0524591494</v>
      </c>
      <c r="G493" s="8" t="n">
        <v>64.4631692401197</v>
      </c>
    </row>
    <row r="494" customFormat="false" ht="14.35" hidden="false" customHeight="false" outlineLevel="0" collapsed="false">
      <c r="A494" s="4" t="n">
        <v>22766</v>
      </c>
      <c r="B494" s="5" t="n">
        <v>772.844705422227</v>
      </c>
      <c r="C494" s="6" t="n">
        <v>750</v>
      </c>
      <c r="D494" s="7" t="n">
        <v>700</v>
      </c>
      <c r="E494" s="6" t="n">
        <v>2534.85723800742</v>
      </c>
      <c r="F494" s="5" t="n">
        <v>14098.5238323226</v>
      </c>
      <c r="G494" s="8" t="n">
        <v>67.4028946112466</v>
      </c>
    </row>
    <row r="495" customFormat="false" ht="14.35" hidden="false" customHeight="false" outlineLevel="0" collapsed="false">
      <c r="A495" s="4" t="n">
        <v>22797</v>
      </c>
      <c r="B495" s="5" t="n">
        <v>750.000000000038</v>
      </c>
      <c r="C495" s="6" t="n">
        <v>750</v>
      </c>
      <c r="D495" s="7" t="n">
        <v>700</v>
      </c>
      <c r="E495" s="6" t="n">
        <v>2761.90789521781</v>
      </c>
      <c r="F495" s="5" t="n">
        <v>10455.2380499231</v>
      </c>
      <c r="G495" s="8" t="n">
        <v>71.061754058243</v>
      </c>
    </row>
    <row r="496" customFormat="false" ht="14.35" hidden="false" customHeight="false" outlineLevel="0" collapsed="false">
      <c r="A496" s="4" t="n">
        <v>22827</v>
      </c>
      <c r="B496" s="5" t="n">
        <v>4479.01353056792</v>
      </c>
      <c r="C496" s="6" t="n">
        <v>750</v>
      </c>
      <c r="D496" s="7" t="n">
        <v>700</v>
      </c>
      <c r="E496" s="6" t="n">
        <v>2622.82973386625</v>
      </c>
      <c r="F496" s="5" t="n">
        <v>6030</v>
      </c>
      <c r="G496" s="8" t="n">
        <v>74.5527991953346</v>
      </c>
    </row>
    <row r="497" customFormat="false" ht="14.35" hidden="false" customHeight="false" outlineLevel="0" collapsed="false">
      <c r="A497" s="4" t="n">
        <v>22858</v>
      </c>
      <c r="B497" s="5" t="n">
        <v>9531.01576857329</v>
      </c>
      <c r="C497" s="6" t="n">
        <v>750</v>
      </c>
      <c r="D497" s="7" t="n">
        <v>700</v>
      </c>
      <c r="E497" s="6" t="n">
        <v>1998.12960771125</v>
      </c>
      <c r="F497" s="5" t="n">
        <v>9063.60353995182</v>
      </c>
      <c r="G497" s="8" t="n">
        <v>79.915807016957</v>
      </c>
    </row>
    <row r="498" customFormat="false" ht="14.35" hidden="false" customHeight="false" outlineLevel="0" collapsed="false">
      <c r="A498" s="4" t="n">
        <v>22889</v>
      </c>
      <c r="B498" s="5" t="n">
        <v>7688.19837681154</v>
      </c>
      <c r="C498" s="6" t="n">
        <v>750</v>
      </c>
      <c r="D498" s="7" t="n">
        <v>700</v>
      </c>
      <c r="E498" s="6" t="n">
        <v>1540.82013510808</v>
      </c>
      <c r="F498" s="5" t="n">
        <v>4000</v>
      </c>
      <c r="G498" s="8" t="n">
        <v>78.5500406486938</v>
      </c>
    </row>
    <row r="499" customFormat="false" ht="14.35" hidden="false" customHeight="false" outlineLevel="0" collapsed="false">
      <c r="A499" s="4" t="n">
        <v>22919</v>
      </c>
      <c r="B499" s="5" t="n">
        <v>1177.28929209825</v>
      </c>
      <c r="C499" s="6" t="n">
        <v>750</v>
      </c>
      <c r="D499" s="7" t="n">
        <v>773.3333333</v>
      </c>
      <c r="E499" s="6" t="n">
        <v>1444.71576108453</v>
      </c>
      <c r="F499" s="5" t="n">
        <v>3000</v>
      </c>
      <c r="G499" s="8" t="n">
        <v>84.3723444777033</v>
      </c>
    </row>
    <row r="500" customFormat="false" ht="14.35" hidden="false" customHeight="false" outlineLevel="0" collapsed="false">
      <c r="A500" s="4" t="n">
        <v>22950</v>
      </c>
      <c r="B500" s="5" t="n">
        <v>1200</v>
      </c>
      <c r="C500" s="6" t="n">
        <v>1200</v>
      </c>
      <c r="D500" s="7" t="n">
        <v>800</v>
      </c>
      <c r="E500" s="6" t="n">
        <v>2022.8295129255</v>
      </c>
      <c r="F500" s="5" t="n">
        <v>29793.2265859368</v>
      </c>
      <c r="G500" s="8" t="n">
        <v>88.4860643739891</v>
      </c>
    </row>
    <row r="501" customFormat="false" ht="14.35" hidden="false" customHeight="false" outlineLevel="0" collapsed="false">
      <c r="A501" s="4" t="n">
        <v>22980</v>
      </c>
      <c r="B501" s="5" t="n">
        <v>1200</v>
      </c>
      <c r="C501" s="6" t="n">
        <v>1200</v>
      </c>
      <c r="D501" s="7" t="n">
        <v>800</v>
      </c>
      <c r="E501" s="6" t="n">
        <v>2031.42971811521</v>
      </c>
      <c r="F501" s="5" t="n">
        <v>4557.81306782072</v>
      </c>
      <c r="G501" s="8" t="n">
        <v>72.237557328637</v>
      </c>
    </row>
    <row r="502" customFormat="false" ht="14.35" hidden="false" customHeight="false" outlineLevel="0" collapsed="false">
      <c r="A502" s="4" t="n">
        <v>23011</v>
      </c>
      <c r="B502" s="5" t="n">
        <v>1200</v>
      </c>
      <c r="C502" s="6" t="n">
        <v>1200</v>
      </c>
      <c r="D502" s="7" t="n">
        <v>800</v>
      </c>
      <c r="E502" s="6" t="n">
        <v>2321.11059164447</v>
      </c>
      <c r="F502" s="5" t="n">
        <v>23381.1991505905</v>
      </c>
      <c r="G502" s="8" t="n">
        <v>81.3024189041873</v>
      </c>
    </row>
    <row r="503" customFormat="false" ht="14.35" hidden="false" customHeight="false" outlineLevel="0" collapsed="false">
      <c r="A503" s="4" t="n">
        <v>23042</v>
      </c>
      <c r="B503" s="5" t="n">
        <v>2935.10916335584</v>
      </c>
      <c r="C503" s="6" t="n">
        <v>1200</v>
      </c>
      <c r="D503" s="7" t="n">
        <v>800</v>
      </c>
      <c r="E503" s="6" t="n">
        <v>2529.07140977538</v>
      </c>
      <c r="F503" s="5" t="n">
        <v>14177.010425477</v>
      </c>
      <c r="G503" s="8" t="n">
        <v>71.7404342314351</v>
      </c>
    </row>
    <row r="504" customFormat="false" ht="14.35" hidden="false" customHeight="false" outlineLevel="0" collapsed="false">
      <c r="A504" s="4" t="n">
        <v>23070</v>
      </c>
      <c r="B504" s="5" t="n">
        <v>8991.51172719385</v>
      </c>
      <c r="C504" s="6" t="n">
        <v>1200</v>
      </c>
      <c r="D504" s="7" t="n">
        <v>800</v>
      </c>
      <c r="E504" s="6" t="n">
        <v>3057</v>
      </c>
      <c r="F504" s="5" t="n">
        <v>74984.8527710197</v>
      </c>
      <c r="G504" s="8" t="n">
        <v>72.4410451144606</v>
      </c>
    </row>
    <row r="505" customFormat="false" ht="14.35" hidden="false" customHeight="false" outlineLevel="0" collapsed="false">
      <c r="A505" s="4" t="n">
        <v>23101</v>
      </c>
      <c r="B505" s="5" t="n">
        <v>8289.09126783059</v>
      </c>
      <c r="C505" s="6" t="n">
        <v>1000</v>
      </c>
      <c r="D505" s="7" t="n">
        <v>800</v>
      </c>
      <c r="E505" s="6" t="n">
        <v>2927</v>
      </c>
      <c r="F505" s="5" t="n">
        <v>27239.7100156732</v>
      </c>
      <c r="G505" s="8" t="n">
        <v>59.9028915529151</v>
      </c>
    </row>
    <row r="506" customFormat="false" ht="14.35" hidden="false" customHeight="false" outlineLevel="0" collapsed="false">
      <c r="A506" s="4" t="n">
        <v>23131</v>
      </c>
      <c r="B506" s="5" t="n">
        <v>13103.8369171843</v>
      </c>
      <c r="C506" s="6" t="n">
        <v>1000</v>
      </c>
      <c r="D506" s="7" t="n">
        <v>700</v>
      </c>
      <c r="E506" s="6" t="n">
        <v>3180</v>
      </c>
      <c r="F506" s="5" t="n">
        <v>97671.9434977729</v>
      </c>
      <c r="G506" s="8" t="n">
        <v>63.5548440804616</v>
      </c>
    </row>
    <row r="507" customFormat="false" ht="14.35" hidden="false" customHeight="false" outlineLevel="0" collapsed="false">
      <c r="A507" s="4" t="n">
        <v>23162</v>
      </c>
      <c r="B507" s="5" t="n">
        <v>3138.99201203576</v>
      </c>
      <c r="C507" s="6" t="n">
        <v>1000</v>
      </c>
      <c r="D507" s="7" t="n">
        <v>700</v>
      </c>
      <c r="E507" s="6" t="n">
        <v>3538</v>
      </c>
      <c r="F507" s="5" t="n">
        <v>28162.4117304192</v>
      </c>
      <c r="G507" s="8" t="n">
        <v>54.9638403990469</v>
      </c>
    </row>
    <row r="508" customFormat="false" ht="14.35" hidden="false" customHeight="false" outlineLevel="0" collapsed="false">
      <c r="A508" s="4" t="n">
        <v>23192</v>
      </c>
      <c r="B508" s="5" t="n">
        <v>1997.62603631359</v>
      </c>
      <c r="C508" s="6" t="n">
        <v>1000</v>
      </c>
      <c r="D508" s="7" t="n">
        <v>700</v>
      </c>
      <c r="E508" s="6" t="n">
        <v>3538</v>
      </c>
      <c r="F508" s="5" t="n">
        <v>9358.07969499896</v>
      </c>
      <c r="G508" s="8" t="n">
        <v>61.6804741446308</v>
      </c>
    </row>
    <row r="509" customFormat="false" ht="14.35" hidden="false" customHeight="false" outlineLevel="0" collapsed="false">
      <c r="A509" s="4" t="n">
        <v>23223</v>
      </c>
      <c r="B509" s="5" t="n">
        <v>9352.89457269833</v>
      </c>
      <c r="C509" s="6" t="n">
        <v>1000</v>
      </c>
      <c r="D509" s="7" t="n">
        <v>700</v>
      </c>
      <c r="E509" s="6" t="n">
        <v>2977.83209072792</v>
      </c>
      <c r="F509" s="5" t="n">
        <v>10417.8021773521</v>
      </c>
      <c r="G509" s="8" t="n">
        <v>72.3274134742421</v>
      </c>
    </row>
    <row r="510" customFormat="false" ht="14.35" hidden="false" customHeight="false" outlineLevel="0" collapsed="false">
      <c r="A510" s="4" t="n">
        <v>23254</v>
      </c>
      <c r="B510" s="5" t="n">
        <v>7675.84786190233</v>
      </c>
      <c r="C510" s="6" t="n">
        <v>1000</v>
      </c>
      <c r="D510" s="7" t="n">
        <v>700</v>
      </c>
      <c r="E510" s="6" t="n">
        <v>2510.0876918063</v>
      </c>
      <c r="F510" s="5" t="n">
        <v>4000</v>
      </c>
      <c r="G510" s="8" t="n">
        <v>74.9951778589205</v>
      </c>
    </row>
    <row r="511" customFormat="false" ht="14.35" hidden="false" customHeight="false" outlineLevel="0" collapsed="false">
      <c r="A511" s="4" t="n">
        <v>23284</v>
      </c>
      <c r="B511" s="5" t="n">
        <v>9380.91972728214</v>
      </c>
      <c r="C511" s="6" t="n">
        <v>1000</v>
      </c>
      <c r="D511" s="7" t="n">
        <v>773.3333333</v>
      </c>
      <c r="E511" s="6" t="n">
        <v>1982.62564087516</v>
      </c>
      <c r="F511" s="5" t="n">
        <v>19843.75</v>
      </c>
      <c r="G511" s="8" t="n">
        <v>83.2070604552156</v>
      </c>
    </row>
    <row r="512" customFormat="false" ht="14.35" hidden="false" customHeight="false" outlineLevel="0" collapsed="false">
      <c r="A512" s="4" t="n">
        <v>23315</v>
      </c>
      <c r="B512" s="5" t="n">
        <v>3829.41768679025</v>
      </c>
      <c r="C512" s="6" t="n">
        <v>1700</v>
      </c>
      <c r="D512" s="7" t="n">
        <v>800</v>
      </c>
      <c r="E512" s="6" t="n">
        <v>1779.78055468093</v>
      </c>
      <c r="F512" s="5" t="n">
        <v>7812.5</v>
      </c>
      <c r="G512" s="8" t="n">
        <v>73.6222152831627</v>
      </c>
    </row>
    <row r="513" customFormat="false" ht="14.35" hidden="false" customHeight="false" outlineLevel="0" collapsed="false">
      <c r="A513" s="4" t="n">
        <v>23345</v>
      </c>
      <c r="B513" s="5" t="n">
        <v>1893.36511230471</v>
      </c>
      <c r="C513" s="6" t="n">
        <v>1700</v>
      </c>
      <c r="D513" s="7" t="n">
        <v>800</v>
      </c>
      <c r="E513" s="6" t="n">
        <v>1849.60257066082</v>
      </c>
      <c r="F513" s="5" t="n">
        <v>15625</v>
      </c>
      <c r="G513" s="8" t="n">
        <v>77.6256181341056</v>
      </c>
    </row>
    <row r="514" customFormat="false" ht="14.35" hidden="false" customHeight="false" outlineLevel="0" collapsed="false">
      <c r="A514" s="4" t="n">
        <v>23376</v>
      </c>
      <c r="B514" s="5" t="n">
        <v>1700</v>
      </c>
      <c r="C514" s="6" t="n">
        <v>1700</v>
      </c>
      <c r="D514" s="7" t="n">
        <v>800</v>
      </c>
      <c r="E514" s="6" t="n">
        <v>1815.37009209097</v>
      </c>
      <c r="F514" s="5" t="n">
        <v>4500</v>
      </c>
      <c r="G514" s="8" t="n">
        <v>73.6247541651755</v>
      </c>
    </row>
    <row r="515" customFormat="false" ht="14.35" hidden="false" customHeight="false" outlineLevel="0" collapsed="false">
      <c r="A515" s="4" t="n">
        <v>23407</v>
      </c>
      <c r="B515" s="5" t="n">
        <v>1700</v>
      </c>
      <c r="C515" s="6" t="n">
        <v>1700</v>
      </c>
      <c r="D515" s="7" t="n">
        <v>800</v>
      </c>
      <c r="E515" s="6" t="n">
        <v>1936.79774195861</v>
      </c>
      <c r="F515" s="5" t="n">
        <v>19217.5668292346</v>
      </c>
      <c r="G515" s="8" t="n">
        <v>81.8549935472097</v>
      </c>
    </row>
    <row r="516" customFormat="false" ht="14.35" hidden="false" customHeight="false" outlineLevel="0" collapsed="false">
      <c r="A516" s="4" t="n">
        <v>23436</v>
      </c>
      <c r="B516" s="5" t="n">
        <v>1700</v>
      </c>
      <c r="C516" s="6" t="n">
        <v>1700</v>
      </c>
      <c r="D516" s="7" t="n">
        <v>800</v>
      </c>
      <c r="E516" s="6" t="n">
        <v>2063.65240878449</v>
      </c>
      <c r="F516" s="5" t="n">
        <v>11561.4057071365</v>
      </c>
      <c r="G516" s="8" t="n">
        <v>73.4247901246643</v>
      </c>
    </row>
    <row r="517" customFormat="false" ht="14.35" hidden="false" customHeight="false" outlineLevel="0" collapsed="false">
      <c r="A517" s="4" t="n">
        <v>23467</v>
      </c>
      <c r="B517" s="5" t="n">
        <v>1700</v>
      </c>
      <c r="C517" s="6" t="n">
        <v>1700</v>
      </c>
      <c r="D517" s="7" t="n">
        <v>800</v>
      </c>
      <c r="E517" s="6" t="n">
        <v>2188.76655971516</v>
      </c>
      <c r="F517" s="5" t="n">
        <v>7664.68845363256</v>
      </c>
      <c r="G517" s="8" t="n">
        <v>74.5565083803681</v>
      </c>
    </row>
    <row r="518" customFormat="false" ht="14.35" hidden="false" customHeight="false" outlineLevel="0" collapsed="false">
      <c r="A518" s="4" t="n">
        <v>23497</v>
      </c>
      <c r="B518" s="5" t="n">
        <v>1199.99359309529</v>
      </c>
      <c r="C518" s="6" t="n">
        <v>1000</v>
      </c>
      <c r="D518" s="7" t="n">
        <v>700</v>
      </c>
      <c r="E518" s="6" t="n">
        <v>2293.52425262138</v>
      </c>
      <c r="F518" s="5" t="n">
        <v>8956.67088281183</v>
      </c>
      <c r="G518" s="8" t="n">
        <v>78.0782954021698</v>
      </c>
    </row>
    <row r="519" customFormat="false" ht="14.35" hidden="false" customHeight="false" outlineLevel="0" collapsed="false">
      <c r="A519" s="4" t="n">
        <v>23528</v>
      </c>
      <c r="B519" s="5" t="n">
        <v>1202.88487912524</v>
      </c>
      <c r="C519" s="6" t="n">
        <v>1000</v>
      </c>
      <c r="D519" s="7" t="n">
        <v>700</v>
      </c>
      <c r="E519" s="6" t="n">
        <v>2386.13755040674</v>
      </c>
      <c r="F519" s="5" t="n">
        <v>8869.57339401271</v>
      </c>
      <c r="G519" s="8" t="n">
        <v>78.0386774578259</v>
      </c>
    </row>
    <row r="520" customFormat="false" ht="14.35" hidden="false" customHeight="false" outlineLevel="0" collapsed="false">
      <c r="A520" s="4" t="n">
        <v>23558</v>
      </c>
      <c r="B520" s="5" t="n">
        <v>3945.13367574875</v>
      </c>
      <c r="C520" s="6" t="n">
        <v>1000</v>
      </c>
      <c r="D520" s="7" t="n">
        <v>700</v>
      </c>
      <c r="E520" s="6" t="n">
        <v>2187.17398829788</v>
      </c>
      <c r="F520" s="5" t="n">
        <v>7243.3335</v>
      </c>
      <c r="G520" s="8" t="n">
        <v>78.1005952548836</v>
      </c>
    </row>
    <row r="521" customFormat="false" ht="14.35" hidden="false" customHeight="false" outlineLevel="0" collapsed="false">
      <c r="A521" s="4" t="n">
        <v>23589</v>
      </c>
      <c r="B521" s="5" t="n">
        <v>9478.65157315759</v>
      </c>
      <c r="C521" s="6" t="n">
        <v>1000</v>
      </c>
      <c r="D521" s="7" t="n">
        <v>700</v>
      </c>
      <c r="E521" s="6" t="n">
        <v>1540.615714603</v>
      </c>
      <c r="F521" s="5" t="n">
        <v>5000</v>
      </c>
      <c r="G521" s="8" t="n">
        <v>79.6734609244197</v>
      </c>
    </row>
    <row r="522" customFormat="false" ht="14.35" hidden="false" customHeight="false" outlineLevel="0" collapsed="false">
      <c r="A522" s="4" t="n">
        <v>23620</v>
      </c>
      <c r="B522" s="5" t="n">
        <v>1563.02267234652</v>
      </c>
      <c r="C522" s="6" t="n">
        <v>1000</v>
      </c>
      <c r="D522" s="7" t="n">
        <v>700</v>
      </c>
      <c r="E522" s="6" t="n">
        <v>1453.54185579385</v>
      </c>
      <c r="F522" s="5" t="n">
        <v>3947.25616618479</v>
      </c>
      <c r="G522" s="8" t="n">
        <v>83.0301399144941</v>
      </c>
    </row>
    <row r="523" customFormat="false" ht="14.35" hidden="false" customHeight="false" outlineLevel="0" collapsed="false">
      <c r="A523" s="4" t="n">
        <v>23650</v>
      </c>
      <c r="B523" s="5" t="n">
        <v>1000</v>
      </c>
      <c r="C523" s="6" t="n">
        <v>1000</v>
      </c>
      <c r="D523" s="7" t="n">
        <v>773.3333333</v>
      </c>
      <c r="E523" s="6" t="n">
        <v>1377.10929934913</v>
      </c>
      <c r="F523" s="5" t="n">
        <v>3000</v>
      </c>
      <c r="G523" s="8" t="n">
        <v>85.9426676099903</v>
      </c>
    </row>
    <row r="524" customFormat="false" ht="14.35" hidden="false" customHeight="false" outlineLevel="0" collapsed="false">
      <c r="A524" s="4" t="n">
        <v>23681</v>
      </c>
      <c r="B524" s="5" t="n">
        <v>1700</v>
      </c>
      <c r="C524" s="6" t="n">
        <v>1700</v>
      </c>
      <c r="D524" s="7" t="n">
        <v>800</v>
      </c>
      <c r="E524" s="6" t="n">
        <v>1234.39320458319</v>
      </c>
      <c r="F524" s="5" t="n">
        <v>4000</v>
      </c>
      <c r="G524" s="8" t="n">
        <v>89.0008162967528</v>
      </c>
    </row>
    <row r="525" customFormat="false" ht="14.35" hidden="false" customHeight="false" outlineLevel="0" collapsed="false">
      <c r="A525" s="4" t="n">
        <v>23711</v>
      </c>
      <c r="B525" s="5" t="n">
        <v>1700</v>
      </c>
      <c r="C525" s="6" t="n">
        <v>1700</v>
      </c>
      <c r="D525" s="7" t="n">
        <v>800</v>
      </c>
      <c r="E525" s="6" t="n">
        <v>1149.03930580499</v>
      </c>
      <c r="F525" s="5" t="n">
        <v>9570.34159520139</v>
      </c>
      <c r="G525" s="8" t="n">
        <v>87.798108735137</v>
      </c>
    </row>
    <row r="526" customFormat="false" ht="14.35" hidden="false" customHeight="false" outlineLevel="0" collapsed="false">
      <c r="A526" s="4" t="n">
        <v>23742</v>
      </c>
      <c r="B526" s="5" t="n">
        <v>1700</v>
      </c>
      <c r="C526" s="6" t="n">
        <v>1700</v>
      </c>
      <c r="D526" s="7" t="n">
        <v>800</v>
      </c>
      <c r="E526" s="6" t="n">
        <v>2668.41636909399</v>
      </c>
      <c r="F526" s="5" t="n">
        <v>80319.6395966071</v>
      </c>
      <c r="G526" s="8" t="n">
        <v>80.7168507384663</v>
      </c>
    </row>
    <row r="527" customFormat="false" ht="14.35" hidden="false" customHeight="false" outlineLevel="0" collapsed="false">
      <c r="A527" s="4" t="n">
        <v>23773</v>
      </c>
      <c r="B527" s="5" t="n">
        <v>16872.4603357842</v>
      </c>
      <c r="C527" s="6" t="n">
        <v>1700</v>
      </c>
      <c r="D527" s="7" t="n">
        <v>800</v>
      </c>
      <c r="E527" s="6" t="n">
        <v>2788</v>
      </c>
      <c r="F527" s="5" t="n">
        <v>112560.904475889</v>
      </c>
      <c r="G527" s="8" t="n">
        <v>62.0888797655709</v>
      </c>
    </row>
    <row r="528" customFormat="false" ht="14.35" hidden="false" customHeight="false" outlineLevel="0" collapsed="false">
      <c r="A528" s="4" t="n">
        <v>23801</v>
      </c>
      <c r="B528" s="5" t="n">
        <v>4858.8294242985</v>
      </c>
      <c r="C528" s="6" t="n">
        <v>1700</v>
      </c>
      <c r="D528" s="7" t="n">
        <v>800</v>
      </c>
      <c r="E528" s="6" t="n">
        <v>2997</v>
      </c>
      <c r="F528" s="5" t="n">
        <v>35775.5950079946</v>
      </c>
      <c r="G528" s="8" t="n">
        <v>53.395744102771</v>
      </c>
    </row>
    <row r="529" customFormat="false" ht="14.35" hidden="false" customHeight="false" outlineLevel="0" collapsed="false">
      <c r="A529" s="4" t="n">
        <v>23832</v>
      </c>
      <c r="B529" s="5" t="n">
        <v>5227.60105068442</v>
      </c>
      <c r="C529" s="6" t="n">
        <v>1700</v>
      </c>
      <c r="D529" s="7" t="n">
        <v>800</v>
      </c>
      <c r="E529" s="6" t="n">
        <v>3096</v>
      </c>
      <c r="F529" s="5" t="n">
        <v>18033.808002212</v>
      </c>
      <c r="G529" s="8" t="n">
        <v>59.3323167401841</v>
      </c>
    </row>
    <row r="530" customFormat="false" ht="14.35" hidden="false" customHeight="false" outlineLevel="0" collapsed="false">
      <c r="A530" s="4" t="n">
        <v>23862</v>
      </c>
      <c r="B530" s="5" t="n">
        <v>7799.22257927267</v>
      </c>
      <c r="C530" s="6" t="n">
        <v>1000</v>
      </c>
      <c r="D530" s="7" t="n">
        <v>700</v>
      </c>
      <c r="E530" s="6" t="n">
        <v>3354</v>
      </c>
      <c r="F530" s="5" t="n">
        <v>54910.2462246385</v>
      </c>
      <c r="G530" s="8" t="n">
        <v>66.5291900827171</v>
      </c>
    </row>
    <row r="531" customFormat="false" ht="14.35" hidden="false" customHeight="false" outlineLevel="0" collapsed="false">
      <c r="A531" s="4" t="n">
        <v>23893</v>
      </c>
      <c r="B531" s="5" t="n">
        <v>3484.98822447874</v>
      </c>
      <c r="C531" s="6" t="n">
        <v>1000</v>
      </c>
      <c r="D531" s="7" t="n">
        <v>700</v>
      </c>
      <c r="E531" s="6" t="n">
        <v>3538</v>
      </c>
      <c r="F531" s="5" t="n">
        <v>19640.2177620825</v>
      </c>
      <c r="G531" s="8" t="n">
        <v>60.3533861553823</v>
      </c>
    </row>
    <row r="532" customFormat="false" ht="14.35" hidden="false" customHeight="false" outlineLevel="0" collapsed="false">
      <c r="A532" s="4" t="n">
        <v>23923</v>
      </c>
      <c r="B532" s="5" t="n">
        <v>2160.69124526387</v>
      </c>
      <c r="C532" s="6" t="n">
        <v>1000</v>
      </c>
      <c r="D532" s="7" t="n">
        <v>700</v>
      </c>
      <c r="E532" s="6" t="n">
        <v>3538</v>
      </c>
      <c r="F532" s="5" t="n">
        <v>10161.0605383271</v>
      </c>
      <c r="G532" s="8" t="n">
        <v>66.2098078089112</v>
      </c>
    </row>
    <row r="533" customFormat="false" ht="14.35" hidden="false" customHeight="false" outlineLevel="0" collapsed="false">
      <c r="A533" s="4" t="n">
        <v>23954</v>
      </c>
      <c r="B533" s="5" t="n">
        <v>8671.9023445865</v>
      </c>
      <c r="C533" s="6" t="n">
        <v>1000</v>
      </c>
      <c r="D533" s="7" t="n">
        <v>700</v>
      </c>
      <c r="E533" s="6" t="n">
        <v>3028.99956152924</v>
      </c>
      <c r="F533" s="5" t="n">
        <v>8587.94634152123</v>
      </c>
      <c r="G533" s="8" t="n">
        <v>73.1811009641614</v>
      </c>
    </row>
    <row r="534" customFormat="false" ht="14.35" hidden="false" customHeight="false" outlineLevel="0" collapsed="false">
      <c r="A534" s="4" t="n">
        <v>23985</v>
      </c>
      <c r="B534" s="5" t="n">
        <v>5640.01816830572</v>
      </c>
      <c r="C534" s="6" t="n">
        <v>1000</v>
      </c>
      <c r="D534" s="7" t="n">
        <v>700</v>
      </c>
      <c r="E534" s="6" t="n">
        <v>2743.73570216611</v>
      </c>
      <c r="F534" s="5" t="n">
        <v>4000</v>
      </c>
      <c r="G534" s="8" t="n">
        <v>76.7556183583273</v>
      </c>
    </row>
    <row r="535" customFormat="false" ht="14.35" hidden="false" customHeight="false" outlineLevel="0" collapsed="false">
      <c r="A535" s="4" t="n">
        <v>24015</v>
      </c>
      <c r="B535" s="5" t="n">
        <v>9747.07475690691</v>
      </c>
      <c r="C535" s="6" t="n">
        <v>1000</v>
      </c>
      <c r="D535" s="7" t="n">
        <v>773.3333333</v>
      </c>
      <c r="E535" s="6" t="n">
        <v>2210.35623713009</v>
      </c>
      <c r="F535" s="5" t="n">
        <v>20078.125</v>
      </c>
      <c r="G535" s="8" t="n">
        <v>83.7841328509212</v>
      </c>
    </row>
    <row r="536" customFormat="false" ht="14.35" hidden="false" customHeight="false" outlineLevel="0" collapsed="false">
      <c r="A536" s="4" t="n">
        <v>24046</v>
      </c>
      <c r="B536" s="5" t="n">
        <v>4000</v>
      </c>
      <c r="C536" s="6" t="n">
        <v>1700</v>
      </c>
      <c r="D536" s="7" t="n">
        <v>800</v>
      </c>
      <c r="E536" s="6" t="n">
        <v>2030.40361986748</v>
      </c>
      <c r="F536" s="5" t="n">
        <v>7812.5</v>
      </c>
      <c r="G536" s="8" t="n">
        <v>73.7213750860195</v>
      </c>
    </row>
    <row r="537" customFormat="false" ht="14.35" hidden="false" customHeight="false" outlineLevel="0" collapsed="false">
      <c r="A537" s="4" t="n">
        <v>24076</v>
      </c>
      <c r="B537" s="5" t="n">
        <v>2500</v>
      </c>
      <c r="C537" s="6" t="n">
        <v>1700</v>
      </c>
      <c r="D537" s="7" t="n">
        <v>800</v>
      </c>
      <c r="E537" s="6" t="n">
        <v>2049.44138752906</v>
      </c>
      <c r="F537" s="5" t="n">
        <v>15468.75</v>
      </c>
      <c r="G537" s="8" t="n">
        <v>77.6581227174821</v>
      </c>
    </row>
    <row r="538" customFormat="false" ht="14.35" hidden="false" customHeight="false" outlineLevel="0" collapsed="false">
      <c r="A538" s="4" t="n">
        <v>24107</v>
      </c>
      <c r="B538" s="5" t="n">
        <v>1700</v>
      </c>
      <c r="C538" s="6" t="n">
        <v>1700</v>
      </c>
      <c r="D538" s="7" t="n">
        <v>800</v>
      </c>
      <c r="E538" s="6" t="n">
        <v>2094.15623754736</v>
      </c>
      <c r="F538" s="5" t="n">
        <v>6249.30528063404</v>
      </c>
      <c r="G538" s="8" t="n">
        <v>73.7124479829595</v>
      </c>
    </row>
    <row r="539" customFormat="false" ht="14.35" hidden="false" customHeight="false" outlineLevel="0" collapsed="false">
      <c r="A539" s="4" t="n">
        <v>24138</v>
      </c>
      <c r="B539" s="5" t="n">
        <v>1700</v>
      </c>
      <c r="C539" s="6" t="n">
        <v>1700</v>
      </c>
      <c r="D539" s="7" t="n">
        <v>800</v>
      </c>
      <c r="E539" s="6" t="n">
        <v>2243.07451814124</v>
      </c>
      <c r="F539" s="5" t="n">
        <v>24118.3446465345</v>
      </c>
      <c r="G539" s="8" t="n">
        <v>79.3665102269596</v>
      </c>
    </row>
    <row r="540" customFormat="false" ht="14.35" hidden="false" customHeight="false" outlineLevel="0" collapsed="false">
      <c r="A540" s="4" t="n">
        <v>24166</v>
      </c>
      <c r="B540" s="5" t="n">
        <v>1700</v>
      </c>
      <c r="C540" s="6" t="n">
        <v>1700</v>
      </c>
      <c r="D540" s="7" t="n">
        <v>800</v>
      </c>
      <c r="E540" s="6" t="n">
        <v>2332.32793212549</v>
      </c>
      <c r="F540" s="5" t="n">
        <v>24445.8625482298</v>
      </c>
      <c r="G540" s="8" t="n">
        <v>70.8679087329344</v>
      </c>
    </row>
    <row r="541" customFormat="false" ht="14.35" hidden="false" customHeight="false" outlineLevel="0" collapsed="false">
      <c r="A541" s="4" t="n">
        <v>24197</v>
      </c>
      <c r="B541" s="5" t="n">
        <v>1700</v>
      </c>
      <c r="C541" s="6" t="n">
        <v>1700</v>
      </c>
      <c r="D541" s="7" t="n">
        <v>800</v>
      </c>
      <c r="E541" s="6" t="n">
        <v>2553.98901063045</v>
      </c>
      <c r="F541" s="5" t="n">
        <v>18988.318321852</v>
      </c>
      <c r="G541" s="8" t="n">
        <v>67.9786757811558</v>
      </c>
    </row>
    <row r="542" customFormat="false" ht="14.35" hidden="false" customHeight="false" outlineLevel="0" collapsed="false">
      <c r="A542" s="4" t="n">
        <v>24227</v>
      </c>
      <c r="B542" s="5" t="n">
        <v>1000</v>
      </c>
      <c r="C542" s="6" t="n">
        <v>1000</v>
      </c>
      <c r="D542" s="7" t="n">
        <v>700</v>
      </c>
      <c r="E542" s="6" t="n">
        <v>2860.53526775715</v>
      </c>
      <c r="F542" s="5" t="n">
        <v>16945.0822312867</v>
      </c>
      <c r="G542" s="8" t="n">
        <v>68.9681231314895</v>
      </c>
    </row>
    <row r="543" customFormat="false" ht="14.35" hidden="false" customHeight="false" outlineLevel="0" collapsed="false">
      <c r="A543" s="4" t="n">
        <v>24258</v>
      </c>
      <c r="B543" s="5" t="n">
        <v>1000.00000000003</v>
      </c>
      <c r="C543" s="6" t="n">
        <v>1000</v>
      </c>
      <c r="D543" s="7" t="n">
        <v>700</v>
      </c>
      <c r="E543" s="6" t="n">
        <v>2942.29173298138</v>
      </c>
      <c r="F543" s="5" t="n">
        <v>9114.68367438973</v>
      </c>
      <c r="G543" s="8" t="n">
        <v>70.1651297976586</v>
      </c>
    </row>
    <row r="544" customFormat="false" ht="14.35" hidden="false" customHeight="false" outlineLevel="0" collapsed="false">
      <c r="A544" s="4" t="n">
        <v>24288</v>
      </c>
      <c r="B544" s="5" t="n">
        <v>3835.40297739571</v>
      </c>
      <c r="C544" s="6" t="n">
        <v>1000</v>
      </c>
      <c r="D544" s="7" t="n">
        <v>700</v>
      </c>
      <c r="E544" s="6" t="n">
        <v>2675.61517190678</v>
      </c>
      <c r="F544" s="5" t="n">
        <v>6874.7915</v>
      </c>
      <c r="G544" s="8" t="n">
        <v>75.3106902893505</v>
      </c>
    </row>
    <row r="545" customFormat="false" ht="14.35" hidden="false" customHeight="false" outlineLevel="0" collapsed="false">
      <c r="A545" s="4" t="n">
        <v>24319</v>
      </c>
      <c r="B545" s="5" t="n">
        <v>10000</v>
      </c>
      <c r="C545" s="6" t="n">
        <v>1000</v>
      </c>
      <c r="D545" s="7" t="n">
        <v>700</v>
      </c>
      <c r="E545" s="6" t="n">
        <v>2055.82677313948</v>
      </c>
      <c r="F545" s="5" t="n">
        <v>8153.20014732405</v>
      </c>
      <c r="G545" s="8" t="n">
        <v>79.1592135487796</v>
      </c>
    </row>
    <row r="546" customFormat="false" ht="14.35" hidden="false" customHeight="false" outlineLevel="0" collapsed="false">
      <c r="A546" s="4" t="n">
        <v>24350</v>
      </c>
      <c r="B546" s="5" t="n">
        <v>8070.51797862552</v>
      </c>
      <c r="C546" s="6" t="n">
        <v>1000</v>
      </c>
      <c r="D546" s="7" t="n">
        <v>700</v>
      </c>
      <c r="E546" s="6" t="n">
        <v>1558.13953501601</v>
      </c>
      <c r="F546" s="5" t="n">
        <v>4000</v>
      </c>
      <c r="G546" s="8" t="n">
        <v>79.1134491718223</v>
      </c>
    </row>
    <row r="547" customFormat="false" ht="14.35" hidden="false" customHeight="false" outlineLevel="0" collapsed="false">
      <c r="A547" s="4" t="n">
        <v>24380</v>
      </c>
      <c r="B547" s="5" t="n">
        <v>1092.03164760903</v>
      </c>
      <c r="C547" s="6" t="n">
        <v>1000</v>
      </c>
      <c r="D547" s="7" t="n">
        <v>773.3333333</v>
      </c>
      <c r="E547" s="6" t="n">
        <v>1500.59651417988</v>
      </c>
      <c r="F547" s="5" t="n">
        <v>3000</v>
      </c>
      <c r="G547" s="8" t="n">
        <v>84.5570297915848</v>
      </c>
    </row>
    <row r="548" customFormat="false" ht="14.35" hidden="false" customHeight="false" outlineLevel="0" collapsed="false">
      <c r="A548" s="4" t="n">
        <v>24411</v>
      </c>
      <c r="B548" s="5" t="n">
        <v>1700.00000000001</v>
      </c>
      <c r="C548" s="6" t="n">
        <v>1700</v>
      </c>
      <c r="D548" s="7" t="n">
        <v>800</v>
      </c>
      <c r="E548" s="6" t="n">
        <v>1321.43185294259</v>
      </c>
      <c r="F548" s="5" t="n">
        <v>4000.00000000002</v>
      </c>
      <c r="G548" s="8" t="n">
        <v>88.5466042198795</v>
      </c>
    </row>
    <row r="549" customFormat="false" ht="14.35" hidden="false" customHeight="false" outlineLevel="0" collapsed="false">
      <c r="A549" s="4" t="n">
        <v>24441</v>
      </c>
      <c r="B549" s="5" t="n">
        <v>1700</v>
      </c>
      <c r="C549" s="6" t="n">
        <v>1700</v>
      </c>
      <c r="D549" s="7" t="n">
        <v>800</v>
      </c>
      <c r="E549" s="6" t="n">
        <v>1343.97804670525</v>
      </c>
      <c r="F549" s="5" t="n">
        <v>8130.08052212047</v>
      </c>
      <c r="G549" s="8" t="n">
        <v>87.6492180163379</v>
      </c>
    </row>
    <row r="550" customFormat="false" ht="14.35" hidden="false" customHeight="false" outlineLevel="0" collapsed="false">
      <c r="A550" s="4" t="n">
        <v>24472</v>
      </c>
      <c r="B550" s="5" t="n">
        <v>1700</v>
      </c>
      <c r="C550" s="6" t="n">
        <v>1700</v>
      </c>
      <c r="D550" s="7" t="n">
        <v>800</v>
      </c>
      <c r="E550" s="6" t="n">
        <v>1605.89561747832</v>
      </c>
      <c r="F550" s="5" t="n">
        <v>36951.3926785999</v>
      </c>
      <c r="G550" s="8" t="n">
        <v>81.9182396168369</v>
      </c>
    </row>
    <row r="551" customFormat="false" ht="14.35" hidden="false" customHeight="false" outlineLevel="0" collapsed="false">
      <c r="A551" s="4" t="n">
        <v>24503</v>
      </c>
      <c r="B551" s="5" t="n">
        <v>1700</v>
      </c>
      <c r="C551" s="6" t="n">
        <v>1700</v>
      </c>
      <c r="D551" s="7" t="n">
        <v>800</v>
      </c>
      <c r="E551" s="6" t="n">
        <v>2236.07676886911</v>
      </c>
      <c r="F551" s="5" t="n">
        <v>48757.611821579</v>
      </c>
      <c r="G551" s="8" t="n">
        <v>68.4341151257109</v>
      </c>
    </row>
    <row r="552" customFormat="false" ht="14.35" hidden="false" customHeight="false" outlineLevel="0" collapsed="false">
      <c r="A552" s="4" t="n">
        <v>24531</v>
      </c>
      <c r="B552" s="5" t="n">
        <v>1700</v>
      </c>
      <c r="C552" s="6" t="n">
        <v>1700</v>
      </c>
      <c r="D552" s="7" t="n">
        <v>800</v>
      </c>
      <c r="E552" s="6" t="n">
        <v>2677.27082887293</v>
      </c>
      <c r="F552" s="5" t="n">
        <v>53604.8048989224</v>
      </c>
      <c r="G552" s="8" t="n">
        <v>61.8887541289969</v>
      </c>
    </row>
    <row r="553" customFormat="false" ht="14.35" hidden="false" customHeight="false" outlineLevel="0" collapsed="false">
      <c r="A553" s="4" t="n">
        <v>24562</v>
      </c>
      <c r="B553" s="5" t="n">
        <v>9943.60934595606</v>
      </c>
      <c r="C553" s="6" t="n">
        <v>1700</v>
      </c>
      <c r="D553" s="7" t="n">
        <v>800</v>
      </c>
      <c r="E553" s="6" t="n">
        <v>2847</v>
      </c>
      <c r="F553" s="5" t="n">
        <v>58269.5700442042</v>
      </c>
      <c r="G553" s="8" t="n">
        <v>59.016687951052</v>
      </c>
    </row>
    <row r="554" customFormat="false" ht="14.35" hidden="false" customHeight="false" outlineLevel="0" collapsed="false">
      <c r="A554" s="4" t="n">
        <v>24592</v>
      </c>
      <c r="B554" s="5" t="n">
        <v>2159.99745016713</v>
      </c>
      <c r="C554" s="6" t="n">
        <v>1000</v>
      </c>
      <c r="D554" s="7" t="n">
        <v>700</v>
      </c>
      <c r="E554" s="6" t="n">
        <v>3236</v>
      </c>
      <c r="F554" s="5" t="n">
        <v>61493.4982521798</v>
      </c>
      <c r="G554" s="8" t="n">
        <v>57.4356223010653</v>
      </c>
    </row>
    <row r="555" customFormat="false" ht="14.35" hidden="false" customHeight="false" outlineLevel="0" collapsed="false">
      <c r="A555" s="4" t="n">
        <v>24623</v>
      </c>
      <c r="B555" s="5" t="n">
        <v>9235.64953089231</v>
      </c>
      <c r="C555" s="6" t="n">
        <v>1000</v>
      </c>
      <c r="D555" s="7" t="n">
        <v>700</v>
      </c>
      <c r="E555" s="6" t="n">
        <v>3538</v>
      </c>
      <c r="F555" s="5" t="n">
        <v>53097.275638787</v>
      </c>
      <c r="G555" s="8" t="n">
        <v>56.5045616109441</v>
      </c>
    </row>
    <row r="556" customFormat="false" ht="14.35" hidden="false" customHeight="false" outlineLevel="0" collapsed="false">
      <c r="A556" s="4" t="n">
        <v>24653</v>
      </c>
      <c r="B556" s="5" t="n">
        <v>8491.61925673883</v>
      </c>
      <c r="C556" s="6" t="n">
        <v>1000</v>
      </c>
      <c r="D556" s="7" t="n">
        <v>700</v>
      </c>
      <c r="E556" s="6" t="n">
        <v>3538</v>
      </c>
      <c r="F556" s="5" t="n">
        <v>39789.5679760245</v>
      </c>
      <c r="G556" s="8" t="n">
        <v>57.3246702866484</v>
      </c>
    </row>
    <row r="557" customFormat="false" ht="14.35" hidden="false" customHeight="false" outlineLevel="0" collapsed="false">
      <c r="A557" s="4" t="n">
        <v>24684</v>
      </c>
      <c r="B557" s="5" t="n">
        <v>1416.53239705475</v>
      </c>
      <c r="C557" s="6" t="n">
        <v>1000</v>
      </c>
      <c r="D557" s="7" t="n">
        <v>700</v>
      </c>
      <c r="E557" s="6" t="n">
        <v>3538</v>
      </c>
      <c r="F557" s="5" t="n">
        <v>14642.6720179445</v>
      </c>
      <c r="G557" s="8" t="n">
        <v>59.8051001212305</v>
      </c>
    </row>
    <row r="558" customFormat="false" ht="14.35" hidden="false" customHeight="false" outlineLevel="0" collapsed="false">
      <c r="A558" s="4" t="n">
        <v>24715</v>
      </c>
      <c r="B558" s="5" t="n">
        <v>1390.38790976898</v>
      </c>
      <c r="C558" s="6" t="n">
        <v>1000</v>
      </c>
      <c r="D558" s="7" t="n">
        <v>700</v>
      </c>
      <c r="E558" s="6" t="n">
        <v>3482.53484698535</v>
      </c>
      <c r="F558" s="5" t="n">
        <v>4000</v>
      </c>
      <c r="G558" s="8" t="n">
        <v>68.2809129123202</v>
      </c>
    </row>
    <row r="559" customFormat="false" ht="14.35" hidden="false" customHeight="false" outlineLevel="0" collapsed="false">
      <c r="A559" s="4" t="n">
        <v>24745</v>
      </c>
      <c r="B559" s="5" t="n">
        <v>9360.28904760449</v>
      </c>
      <c r="C559" s="6" t="n">
        <v>1000</v>
      </c>
      <c r="D559" s="7" t="n">
        <v>773.3333333</v>
      </c>
      <c r="E559" s="6" t="n">
        <v>2957.32359037441</v>
      </c>
      <c r="F559" s="5" t="n">
        <v>20156.25</v>
      </c>
      <c r="G559" s="8" t="n">
        <v>81.00612440572</v>
      </c>
    </row>
    <row r="560" customFormat="false" ht="14.35" hidden="false" customHeight="false" outlineLevel="0" collapsed="false">
      <c r="A560" s="4" t="n">
        <v>24776</v>
      </c>
      <c r="B560" s="5" t="n">
        <v>4000</v>
      </c>
      <c r="C560" s="6" t="n">
        <v>1700</v>
      </c>
      <c r="D560" s="7" t="n">
        <v>800</v>
      </c>
      <c r="E560" s="6" t="n">
        <v>2755.94428621969</v>
      </c>
      <c r="F560" s="5" t="n">
        <v>7812.5</v>
      </c>
      <c r="G560" s="8" t="n">
        <v>72.7809757342289</v>
      </c>
    </row>
    <row r="561" customFormat="false" ht="14.35" hidden="false" customHeight="false" outlineLevel="0" collapsed="false">
      <c r="A561" s="4" t="n">
        <v>24806</v>
      </c>
      <c r="B561" s="5" t="n">
        <v>2500</v>
      </c>
      <c r="C561" s="6" t="n">
        <v>1700</v>
      </c>
      <c r="D561" s="7" t="n">
        <v>800</v>
      </c>
      <c r="E561" s="6" t="n">
        <v>2657.34962984034</v>
      </c>
      <c r="F561" s="5" t="n">
        <v>13960.507</v>
      </c>
      <c r="G561" s="8" t="n">
        <v>77.3498598099651</v>
      </c>
    </row>
    <row r="562" customFormat="false" ht="14.35" hidden="false" customHeight="false" outlineLevel="0" collapsed="false">
      <c r="A562" s="4" t="n">
        <v>24837</v>
      </c>
      <c r="B562" s="5" t="n">
        <v>4507.56536214403</v>
      </c>
      <c r="C562" s="6" t="n">
        <v>1700</v>
      </c>
      <c r="D562" s="7" t="n">
        <v>800</v>
      </c>
      <c r="E562" s="6" t="n">
        <v>2495.22930863994</v>
      </c>
      <c r="F562" s="5" t="n">
        <v>5152.80983453036</v>
      </c>
      <c r="G562" s="8" t="n">
        <v>74.3977780293199</v>
      </c>
    </row>
    <row r="563" customFormat="false" ht="14.35" hidden="false" customHeight="false" outlineLevel="0" collapsed="false">
      <c r="A563" s="4" t="n">
        <v>24868</v>
      </c>
      <c r="B563" s="5" t="n">
        <v>1700</v>
      </c>
      <c r="C563" s="6" t="n">
        <v>1700</v>
      </c>
      <c r="D563" s="7" t="n">
        <v>800</v>
      </c>
      <c r="E563" s="6" t="n">
        <v>2649.28993018089</v>
      </c>
      <c r="F563" s="5" t="n">
        <v>20365.9175324417</v>
      </c>
      <c r="G563" s="8" t="n">
        <v>81.0700130076826</v>
      </c>
    </row>
    <row r="564" customFormat="false" ht="14.35" hidden="false" customHeight="false" outlineLevel="0" collapsed="false">
      <c r="A564" s="4" t="n">
        <v>24897</v>
      </c>
      <c r="B564" s="5" t="n">
        <v>7035.80442350569</v>
      </c>
      <c r="C564" s="6" t="n">
        <v>1700</v>
      </c>
      <c r="D564" s="7" t="n">
        <v>800</v>
      </c>
      <c r="E564" s="6" t="n">
        <v>2962</v>
      </c>
      <c r="F564" s="5" t="n">
        <v>53190.9679603045</v>
      </c>
      <c r="G564" s="8" t="n">
        <v>72.7225950019209</v>
      </c>
    </row>
    <row r="565" customFormat="false" ht="14.35" hidden="false" customHeight="false" outlineLevel="0" collapsed="false">
      <c r="A565" s="4" t="n">
        <v>24928</v>
      </c>
      <c r="B565" s="5" t="n">
        <v>6618.57740343677</v>
      </c>
      <c r="C565" s="6" t="n">
        <v>1700</v>
      </c>
      <c r="D565" s="7" t="n">
        <v>800</v>
      </c>
      <c r="E565" s="6" t="n">
        <v>3036</v>
      </c>
      <c r="F565" s="5" t="n">
        <v>32613.7414382143</v>
      </c>
      <c r="G565" s="8" t="n">
        <v>62.6274278194033</v>
      </c>
    </row>
    <row r="566" customFormat="false" ht="14.35" hidden="false" customHeight="false" outlineLevel="0" collapsed="false">
      <c r="A566" s="4" t="n">
        <v>24958</v>
      </c>
      <c r="B566" s="5" t="n">
        <v>1687.70651080741</v>
      </c>
      <c r="C566" s="6" t="n">
        <v>1000</v>
      </c>
      <c r="D566" s="7" t="n">
        <v>700</v>
      </c>
      <c r="E566" s="6" t="n">
        <v>3198.41180499662</v>
      </c>
      <c r="F566" s="5" t="n">
        <v>10303.4357310011</v>
      </c>
      <c r="G566" s="8" t="n">
        <v>63.0677498292883</v>
      </c>
    </row>
    <row r="567" customFormat="false" ht="14.35" hidden="false" customHeight="false" outlineLevel="0" collapsed="false">
      <c r="A567" s="4" t="n">
        <v>24989</v>
      </c>
      <c r="B567" s="5" t="n">
        <v>1505.20757573375</v>
      </c>
      <c r="C567" s="6" t="n">
        <v>1000</v>
      </c>
      <c r="D567" s="7" t="n">
        <v>700</v>
      </c>
      <c r="E567" s="6" t="n">
        <v>3261.22597779651</v>
      </c>
      <c r="F567" s="5" t="n">
        <v>10149.2155059661</v>
      </c>
      <c r="G567" s="8" t="n">
        <v>72.0444749207895</v>
      </c>
    </row>
    <row r="568" customFormat="false" ht="14.35" hidden="false" customHeight="false" outlineLevel="0" collapsed="false">
      <c r="A568" s="4" t="n">
        <v>25019</v>
      </c>
      <c r="B568" s="5" t="n">
        <v>4189.72046322163</v>
      </c>
      <c r="C568" s="6" t="n">
        <v>1000</v>
      </c>
      <c r="D568" s="7" t="n">
        <v>700</v>
      </c>
      <c r="E568" s="6" t="n">
        <v>3018.62372588098</v>
      </c>
      <c r="F568" s="5" t="n">
        <v>6875</v>
      </c>
      <c r="G568" s="8" t="n">
        <v>75.1026457074875</v>
      </c>
    </row>
    <row r="569" customFormat="false" ht="14.35" hidden="false" customHeight="false" outlineLevel="0" collapsed="false">
      <c r="A569" s="4" t="n">
        <v>25050</v>
      </c>
      <c r="B569" s="5" t="n">
        <v>10000</v>
      </c>
      <c r="C569" s="6" t="n">
        <v>1000</v>
      </c>
      <c r="D569" s="7" t="n">
        <v>700</v>
      </c>
      <c r="E569" s="6" t="n">
        <v>2377.63665499792</v>
      </c>
      <c r="F569" s="5" t="n">
        <v>8416.66003934304</v>
      </c>
      <c r="G569" s="8" t="n">
        <v>79.0907840637488</v>
      </c>
    </row>
    <row r="570" customFormat="false" ht="14.35" hidden="false" customHeight="false" outlineLevel="0" collapsed="false">
      <c r="A570" s="4" t="n">
        <v>25081</v>
      </c>
      <c r="B570" s="5" t="n">
        <v>7527.88639394057</v>
      </c>
      <c r="C570" s="6" t="n">
        <v>1000</v>
      </c>
      <c r="D570" s="7" t="n">
        <v>700</v>
      </c>
      <c r="E570" s="6" t="n">
        <v>1942.46817928098</v>
      </c>
      <c r="F570" s="5" t="n">
        <v>4000</v>
      </c>
      <c r="G570" s="8" t="n">
        <v>78.8472417972682</v>
      </c>
    </row>
    <row r="571" customFormat="false" ht="14.35" hidden="false" customHeight="false" outlineLevel="0" collapsed="false">
      <c r="A571" s="4" t="n">
        <v>25111</v>
      </c>
      <c r="B571" s="5" t="n">
        <v>4743.26835232476</v>
      </c>
      <c r="C571" s="6" t="n">
        <v>1000</v>
      </c>
      <c r="D571" s="7" t="n">
        <v>773.3333333</v>
      </c>
      <c r="E571" s="6" t="n">
        <v>1677.44290119502</v>
      </c>
      <c r="F571" s="5" t="n">
        <v>3859.85606662552</v>
      </c>
      <c r="G571" s="8" t="n">
        <v>84.469767014206</v>
      </c>
    </row>
    <row r="572" customFormat="false" ht="14.35" hidden="false" customHeight="false" outlineLevel="0" collapsed="false">
      <c r="A572" s="4" t="n">
        <v>25142</v>
      </c>
      <c r="B572" s="5" t="n">
        <v>2396.26486487769</v>
      </c>
      <c r="C572" s="6" t="n">
        <v>1700</v>
      </c>
      <c r="D572" s="7" t="n">
        <v>800</v>
      </c>
      <c r="E572" s="6" t="n">
        <v>1561.92691113817</v>
      </c>
      <c r="F572" s="5" t="n">
        <v>4000</v>
      </c>
      <c r="G572" s="8" t="n">
        <v>86.5862095321115</v>
      </c>
    </row>
    <row r="573" customFormat="false" ht="14.35" hidden="false" customHeight="false" outlineLevel="0" collapsed="false">
      <c r="A573" s="4" t="n">
        <v>25172</v>
      </c>
      <c r="B573" s="5" t="n">
        <v>1700.60393951068</v>
      </c>
      <c r="C573" s="6" t="n">
        <v>1700</v>
      </c>
      <c r="D573" s="7" t="n">
        <v>800</v>
      </c>
      <c r="E573" s="6" t="n">
        <v>1551.60381809235</v>
      </c>
      <c r="F573" s="5" t="n">
        <v>4803.96320451714</v>
      </c>
      <c r="G573" s="8" t="n">
        <v>87.0066006376876</v>
      </c>
    </row>
    <row r="574" customFormat="false" ht="14.35" hidden="false" customHeight="false" outlineLevel="0" collapsed="false">
      <c r="A574" s="4" t="n">
        <v>25203</v>
      </c>
      <c r="B574" s="5" t="n">
        <v>1700</v>
      </c>
      <c r="C574" s="6" t="n">
        <v>1700</v>
      </c>
      <c r="D574" s="7" t="n">
        <v>800</v>
      </c>
      <c r="E574" s="6" t="n">
        <v>1676.05847090818</v>
      </c>
      <c r="F574" s="5" t="n">
        <v>14751.9013444928</v>
      </c>
      <c r="G574" s="8" t="n">
        <v>85.7405294728011</v>
      </c>
    </row>
    <row r="575" customFormat="false" ht="14.35" hidden="false" customHeight="false" outlineLevel="0" collapsed="false">
      <c r="A575" s="4" t="n">
        <v>25234</v>
      </c>
      <c r="B575" s="5" t="n">
        <v>6453.98998695442</v>
      </c>
      <c r="C575" s="6" t="n">
        <v>1700</v>
      </c>
      <c r="D575" s="7" t="n">
        <v>800</v>
      </c>
      <c r="E575" s="6" t="n">
        <v>2788</v>
      </c>
      <c r="F575" s="5" t="n">
        <v>116519.281851258</v>
      </c>
      <c r="G575" s="8" t="n">
        <v>76.7255783733429</v>
      </c>
    </row>
    <row r="576" customFormat="false" ht="14.35" hidden="false" customHeight="false" outlineLevel="0" collapsed="false">
      <c r="A576" s="4" t="n">
        <v>25262</v>
      </c>
      <c r="B576" s="5" t="n">
        <v>12472.486521228</v>
      </c>
      <c r="C576" s="6" t="n">
        <v>1700</v>
      </c>
      <c r="D576" s="7" t="n">
        <v>800</v>
      </c>
      <c r="E576" s="6" t="n">
        <v>2788</v>
      </c>
      <c r="F576" s="5" t="n">
        <v>141699.233377142</v>
      </c>
      <c r="G576" s="8" t="n">
        <v>57.9287234339067</v>
      </c>
    </row>
    <row r="577" customFormat="false" ht="14.35" hidden="false" customHeight="false" outlineLevel="0" collapsed="false">
      <c r="A577" s="4" t="n">
        <v>25293</v>
      </c>
      <c r="B577" s="5" t="n">
        <v>6449.60628360804</v>
      </c>
      <c r="C577" s="6" t="n">
        <v>1700</v>
      </c>
      <c r="D577" s="7" t="n">
        <v>800</v>
      </c>
      <c r="E577" s="6" t="n">
        <v>3027</v>
      </c>
      <c r="F577" s="5" t="n">
        <v>68539.154715642</v>
      </c>
      <c r="G577" s="8" t="n">
        <v>50.267399155538</v>
      </c>
    </row>
    <row r="578" customFormat="false" ht="14.35" hidden="false" customHeight="false" outlineLevel="0" collapsed="false">
      <c r="A578" s="4" t="n">
        <v>25323</v>
      </c>
      <c r="B578" s="5" t="n">
        <v>7559.97542206831</v>
      </c>
      <c r="C578" s="6" t="n">
        <v>1000</v>
      </c>
      <c r="D578" s="7" t="n">
        <v>700</v>
      </c>
      <c r="E578" s="6" t="n">
        <v>3470</v>
      </c>
      <c r="F578" s="5" t="n">
        <v>62247.9609868711</v>
      </c>
      <c r="G578" s="8" t="n">
        <v>53.3233346110507</v>
      </c>
    </row>
    <row r="579" customFormat="false" ht="14.35" hidden="false" customHeight="false" outlineLevel="0" collapsed="false">
      <c r="A579" s="4" t="n">
        <v>25354</v>
      </c>
      <c r="B579" s="5" t="n">
        <v>12825.0923709155</v>
      </c>
      <c r="C579" s="6" t="n">
        <v>1000</v>
      </c>
      <c r="D579" s="7" t="n">
        <v>700</v>
      </c>
      <c r="E579" s="6" t="n">
        <v>3538</v>
      </c>
      <c r="F579" s="5" t="n">
        <v>58282.1356312413</v>
      </c>
      <c r="G579" s="8" t="n">
        <v>55.063080538907</v>
      </c>
    </row>
    <row r="580" customFormat="false" ht="14.35" hidden="false" customHeight="false" outlineLevel="0" collapsed="false">
      <c r="A580" s="4" t="n">
        <v>25384</v>
      </c>
      <c r="B580" s="5" t="n">
        <v>3740.85142656803</v>
      </c>
      <c r="C580" s="6" t="n">
        <v>1000</v>
      </c>
      <c r="D580" s="7" t="n">
        <v>700</v>
      </c>
      <c r="E580" s="6" t="n">
        <v>3538</v>
      </c>
      <c r="F580" s="5" t="n">
        <v>30464.5630690777</v>
      </c>
      <c r="G580" s="8" t="n">
        <v>56.1379769804672</v>
      </c>
    </row>
    <row r="581" customFormat="false" ht="14.35" hidden="false" customHeight="false" outlineLevel="0" collapsed="false">
      <c r="A581" s="4" t="n">
        <v>25415</v>
      </c>
      <c r="B581" s="5" t="n">
        <v>5409.12471617888</v>
      </c>
      <c r="C581" s="6" t="n">
        <v>1000</v>
      </c>
      <c r="D581" s="7" t="n">
        <v>700</v>
      </c>
      <c r="E581" s="6" t="n">
        <v>3220.2939205457</v>
      </c>
      <c r="F581" s="5" t="n">
        <v>8000</v>
      </c>
      <c r="G581" s="8" t="n">
        <v>61.4630479207323</v>
      </c>
    </row>
    <row r="582" customFormat="false" ht="14.35" hidden="false" customHeight="false" outlineLevel="0" collapsed="false">
      <c r="A582" s="4" t="n">
        <v>25446</v>
      </c>
      <c r="B582" s="5" t="n">
        <v>4434.95106326214</v>
      </c>
      <c r="C582" s="6" t="n">
        <v>1000</v>
      </c>
      <c r="D582" s="7" t="n">
        <v>700</v>
      </c>
      <c r="E582" s="6" t="n">
        <v>2994.13169805153</v>
      </c>
      <c r="F582" s="5" t="n">
        <v>4000.00000000003</v>
      </c>
      <c r="G582" s="8" t="n">
        <v>73.4580488380082</v>
      </c>
    </row>
    <row r="583" customFormat="false" ht="14.35" hidden="false" customHeight="false" outlineLevel="0" collapsed="false">
      <c r="A583" s="4" t="n">
        <v>25476</v>
      </c>
      <c r="B583" s="5" t="n">
        <v>9802.1974182129</v>
      </c>
      <c r="C583" s="6" t="n">
        <v>1000</v>
      </c>
      <c r="D583" s="7" t="n">
        <v>773.3333333</v>
      </c>
      <c r="E583" s="6" t="n">
        <v>2484.72634146157</v>
      </c>
      <c r="F583" s="5" t="n">
        <v>21875</v>
      </c>
      <c r="G583" s="8" t="n">
        <v>82.7031895621605</v>
      </c>
    </row>
    <row r="584" customFormat="false" ht="14.35" hidden="false" customHeight="false" outlineLevel="0" collapsed="false">
      <c r="A584" s="4" t="n">
        <v>25507</v>
      </c>
      <c r="B584" s="5" t="n">
        <v>4000</v>
      </c>
      <c r="C584" s="6" t="n">
        <v>1700</v>
      </c>
      <c r="D584" s="7" t="n">
        <v>800</v>
      </c>
      <c r="E584" s="6" t="n">
        <v>2357.89110086324</v>
      </c>
      <c r="F584" s="5" t="n">
        <v>7187.5</v>
      </c>
      <c r="G584" s="8" t="n">
        <v>72.7100222495709</v>
      </c>
    </row>
    <row r="585" customFormat="false" ht="14.35" hidden="false" customHeight="false" outlineLevel="0" collapsed="false">
      <c r="A585" s="4" t="n">
        <v>25537</v>
      </c>
      <c r="B585" s="5" t="n">
        <v>2500</v>
      </c>
      <c r="C585" s="6" t="n">
        <v>1700</v>
      </c>
      <c r="D585" s="7" t="n">
        <v>800</v>
      </c>
      <c r="E585" s="6" t="n">
        <v>2313.26333431384</v>
      </c>
      <c r="F585" s="5" t="n">
        <v>14863.438</v>
      </c>
      <c r="G585" s="8" t="n">
        <v>77.9657461050452</v>
      </c>
    </row>
    <row r="586" customFormat="false" ht="14.35" hidden="false" customHeight="false" outlineLevel="0" collapsed="false">
      <c r="A586" s="4" t="n">
        <v>25568</v>
      </c>
      <c r="B586" s="5" t="n">
        <v>1700</v>
      </c>
      <c r="C586" s="6" t="n">
        <v>1700</v>
      </c>
      <c r="D586" s="7" t="n">
        <v>800</v>
      </c>
      <c r="E586" s="6" t="n">
        <v>2801.99484958468</v>
      </c>
      <c r="F586" s="5" t="n">
        <v>39115.2409334339</v>
      </c>
      <c r="G586" s="8" t="n">
        <v>74.1192663537075</v>
      </c>
    </row>
    <row r="587" customFormat="false" ht="14.35" hidden="false" customHeight="false" outlineLevel="0" collapsed="false">
      <c r="A587" s="4" t="n">
        <v>25599</v>
      </c>
      <c r="B587" s="5" t="n">
        <v>35769.8686162006</v>
      </c>
      <c r="C587" s="6" t="n">
        <v>1700</v>
      </c>
      <c r="D587" s="7" t="n">
        <v>800</v>
      </c>
      <c r="E587" s="6" t="n">
        <v>2787</v>
      </c>
      <c r="F587" s="5" t="n">
        <v>207330.623689625</v>
      </c>
      <c r="G587" s="8" t="n">
        <v>65.4413884402173</v>
      </c>
    </row>
    <row r="588" customFormat="false" ht="14.35" hidden="false" customHeight="false" outlineLevel="0" collapsed="false">
      <c r="A588" s="4" t="n">
        <v>25627</v>
      </c>
      <c r="B588" s="5" t="n">
        <v>10654.5581216252</v>
      </c>
      <c r="C588" s="6" t="n">
        <v>1700</v>
      </c>
      <c r="D588" s="7" t="n">
        <v>800</v>
      </c>
      <c r="E588" s="6" t="n">
        <v>2787</v>
      </c>
      <c r="F588" s="5" t="n">
        <v>79798.627027695</v>
      </c>
      <c r="G588" s="8" t="n">
        <v>49.8125771653031</v>
      </c>
    </row>
    <row r="589" customFormat="false" ht="14.35" hidden="false" customHeight="false" outlineLevel="0" collapsed="false">
      <c r="A589" s="4" t="n">
        <v>25658</v>
      </c>
      <c r="B589" s="5" t="n">
        <v>4108.83402382985</v>
      </c>
      <c r="C589" s="6" t="n">
        <v>1700</v>
      </c>
      <c r="D589" s="7" t="n">
        <v>800</v>
      </c>
      <c r="E589" s="6" t="n">
        <v>3163</v>
      </c>
      <c r="F589" s="5" t="n">
        <v>37665.1178872366</v>
      </c>
      <c r="G589" s="8" t="n">
        <v>52.0083436463039</v>
      </c>
    </row>
    <row r="590" customFormat="false" ht="14.35" hidden="false" customHeight="false" outlineLevel="0" collapsed="false">
      <c r="A590" s="4" t="n">
        <v>25688</v>
      </c>
      <c r="B590" s="5" t="n">
        <v>1357.21306350448</v>
      </c>
      <c r="C590" s="6" t="n">
        <v>1000</v>
      </c>
      <c r="D590" s="7" t="n">
        <v>700</v>
      </c>
      <c r="E590" s="6" t="n">
        <v>3248.18332504554</v>
      </c>
      <c r="F590" s="5" t="n">
        <v>12167.3352755249</v>
      </c>
      <c r="G590" s="8" t="n">
        <v>58.4830058540561</v>
      </c>
    </row>
    <row r="591" customFormat="false" ht="14.35" hidden="false" customHeight="false" outlineLevel="0" collapsed="false">
      <c r="A591" s="4" t="n">
        <v>25719</v>
      </c>
      <c r="B591" s="5" t="n">
        <v>1000</v>
      </c>
      <c r="C591" s="6" t="n">
        <v>1000</v>
      </c>
      <c r="D591" s="7" t="n">
        <v>700</v>
      </c>
      <c r="E591" s="6" t="n">
        <v>3302.03291842409</v>
      </c>
      <c r="F591" s="5" t="n">
        <v>11996.1074793652</v>
      </c>
      <c r="G591" s="8" t="n">
        <v>69.2670291787435</v>
      </c>
    </row>
    <row r="592" customFormat="false" ht="14.35" hidden="false" customHeight="false" outlineLevel="0" collapsed="false">
      <c r="A592" s="4" t="n">
        <v>25749</v>
      </c>
      <c r="B592" s="5" t="n">
        <v>1895.48884746093</v>
      </c>
      <c r="C592" s="6" t="n">
        <v>1000</v>
      </c>
      <c r="D592" s="7" t="n">
        <v>700</v>
      </c>
      <c r="E592" s="6" t="n">
        <v>3161.14113002952</v>
      </c>
      <c r="F592" s="5" t="n">
        <v>7420.66770651369</v>
      </c>
      <c r="G592" s="8" t="n">
        <v>72.9106700195029</v>
      </c>
    </row>
    <row r="593" customFormat="false" ht="14.35" hidden="false" customHeight="false" outlineLevel="0" collapsed="false">
      <c r="A593" s="4" t="n">
        <v>25780</v>
      </c>
      <c r="B593" s="5" t="n">
        <v>8816.19825514669</v>
      </c>
      <c r="C593" s="6" t="n">
        <v>1000</v>
      </c>
      <c r="D593" s="7" t="n">
        <v>700</v>
      </c>
      <c r="E593" s="6" t="n">
        <v>2567.46245658342</v>
      </c>
      <c r="F593" s="5" t="n">
        <v>11504.4832676542</v>
      </c>
      <c r="G593" s="8" t="n">
        <v>77.7867989550445</v>
      </c>
    </row>
    <row r="594" customFormat="false" ht="14.35" hidden="false" customHeight="false" outlineLevel="0" collapsed="false">
      <c r="A594" s="4" t="n">
        <v>25811</v>
      </c>
      <c r="B594" s="5" t="n">
        <v>8039.35837960642</v>
      </c>
      <c r="C594" s="6" t="n">
        <v>1000</v>
      </c>
      <c r="D594" s="7" t="n">
        <v>700</v>
      </c>
      <c r="E594" s="6" t="n">
        <v>2092.20718107127</v>
      </c>
      <c r="F594" s="5" t="n">
        <v>4000</v>
      </c>
      <c r="G594" s="8" t="n">
        <v>76.0242080861914</v>
      </c>
    </row>
    <row r="595" customFormat="false" ht="14.35" hidden="false" customHeight="false" outlineLevel="0" collapsed="false">
      <c r="A595" s="4" t="n">
        <v>25841</v>
      </c>
      <c r="B595" s="5" t="n">
        <v>9498.50025213506</v>
      </c>
      <c r="C595" s="6" t="n">
        <v>1000</v>
      </c>
      <c r="D595" s="7" t="n">
        <v>773.3333333</v>
      </c>
      <c r="E595" s="6" t="n">
        <v>1564.35098325381</v>
      </c>
      <c r="F595" s="5" t="n">
        <v>18437.5</v>
      </c>
      <c r="G595" s="8" t="n">
        <v>83.544376563715</v>
      </c>
    </row>
    <row r="596" customFormat="false" ht="14.35" hidden="false" customHeight="false" outlineLevel="0" collapsed="false">
      <c r="A596" s="4" t="n">
        <v>25872</v>
      </c>
      <c r="B596" s="5" t="n">
        <v>1700</v>
      </c>
      <c r="C596" s="6" t="n">
        <v>1700</v>
      </c>
      <c r="D596" s="7" t="n">
        <v>800</v>
      </c>
      <c r="E596" s="6" t="n">
        <v>1535.89192163857</v>
      </c>
      <c r="F596" s="5" t="n">
        <v>8593.75</v>
      </c>
      <c r="G596" s="8" t="n">
        <v>74.2962057494483</v>
      </c>
    </row>
    <row r="597" customFormat="false" ht="14.35" hidden="false" customHeight="false" outlineLevel="0" collapsed="false">
      <c r="A597" s="4" t="n">
        <v>25902</v>
      </c>
      <c r="B597" s="5" t="n">
        <v>2641.20756484221</v>
      </c>
      <c r="C597" s="6" t="n">
        <v>1700</v>
      </c>
      <c r="D597" s="7" t="n">
        <v>800</v>
      </c>
      <c r="E597" s="6" t="n">
        <v>1611.63720781848</v>
      </c>
      <c r="F597" s="5" t="n">
        <v>15156.25</v>
      </c>
      <c r="G597" s="8" t="n">
        <v>77.1159713159114</v>
      </c>
    </row>
    <row r="598" customFormat="false" ht="14.35" hidden="false" customHeight="false" outlineLevel="0" collapsed="false">
      <c r="A598" s="4" t="n">
        <v>25933</v>
      </c>
      <c r="B598" s="5" t="n">
        <v>2141.20756484221</v>
      </c>
      <c r="C598" s="6" t="n">
        <v>2141.20756484221</v>
      </c>
      <c r="D598" s="7" t="n">
        <v>800</v>
      </c>
      <c r="E598" s="6" t="n">
        <v>1935.00409550579</v>
      </c>
      <c r="F598" s="5" t="n">
        <v>49542.3163120374</v>
      </c>
      <c r="G598" s="8" t="n">
        <v>73.6911708283722</v>
      </c>
    </row>
    <row r="599" customFormat="false" ht="14.35" hidden="false" customHeight="false" outlineLevel="0" collapsed="false">
      <c r="A599" s="4" t="n">
        <v>25964</v>
      </c>
      <c r="B599" s="5" t="n">
        <v>2141.20756484221</v>
      </c>
      <c r="C599" s="6" t="n">
        <v>2141.20756484221</v>
      </c>
      <c r="D599" s="7" t="n">
        <v>800</v>
      </c>
      <c r="E599" s="6" t="n">
        <v>2243.74275807456</v>
      </c>
      <c r="F599" s="5" t="n">
        <v>47420.7140348995</v>
      </c>
      <c r="G599" s="8" t="n">
        <v>63.4896339644916</v>
      </c>
    </row>
    <row r="600" customFormat="false" ht="14.35" hidden="false" customHeight="false" outlineLevel="0" collapsed="false">
      <c r="A600" s="4" t="n">
        <v>25992</v>
      </c>
      <c r="B600" s="5" t="n">
        <v>2141.20756484221</v>
      </c>
      <c r="C600" s="6" t="n">
        <v>2141.20756484221</v>
      </c>
      <c r="D600" s="7" t="n">
        <v>800</v>
      </c>
      <c r="E600" s="6" t="n">
        <v>2515.4640313941</v>
      </c>
      <c r="F600" s="5" t="n">
        <v>22684.4719394427</v>
      </c>
      <c r="G600" s="8" t="n">
        <v>60.4810652416928</v>
      </c>
    </row>
    <row r="601" customFormat="false" ht="14.35" hidden="false" customHeight="false" outlineLevel="0" collapsed="false">
      <c r="A601" s="4" t="n">
        <v>26023</v>
      </c>
      <c r="B601" s="5" t="n">
        <v>3185.64238460659</v>
      </c>
      <c r="C601" s="6" t="n">
        <v>2141.20756484221</v>
      </c>
      <c r="D601" s="7" t="n">
        <v>800</v>
      </c>
      <c r="E601" s="6" t="n">
        <v>3162</v>
      </c>
      <c r="F601" s="5" t="n">
        <v>40038.8541221656</v>
      </c>
      <c r="G601" s="8" t="n">
        <v>65.1470820902306</v>
      </c>
    </row>
    <row r="602" customFormat="false" ht="14.35" hidden="false" customHeight="false" outlineLevel="0" collapsed="false">
      <c r="A602" s="4" t="n">
        <v>26053</v>
      </c>
      <c r="B602" s="5" t="n">
        <v>3841.87977465721</v>
      </c>
      <c r="C602" s="6" t="n">
        <v>1000</v>
      </c>
      <c r="D602" s="7" t="n">
        <v>700</v>
      </c>
      <c r="E602" s="6" t="n">
        <v>3433</v>
      </c>
      <c r="F602" s="5" t="n">
        <v>27386.5111557094</v>
      </c>
      <c r="G602" s="8" t="n">
        <v>62.3214125658656</v>
      </c>
    </row>
    <row r="603" customFormat="false" ht="14.35" hidden="false" customHeight="false" outlineLevel="0" collapsed="false">
      <c r="A603" s="4" t="n">
        <v>26084</v>
      </c>
      <c r="B603" s="5" t="n">
        <v>8569.25095727019</v>
      </c>
      <c r="C603" s="6" t="n">
        <v>1000</v>
      </c>
      <c r="D603" s="7" t="n">
        <v>700</v>
      </c>
      <c r="E603" s="6" t="n">
        <v>3538</v>
      </c>
      <c r="F603" s="5" t="n">
        <v>29930.0783684722</v>
      </c>
      <c r="G603" s="8" t="n">
        <v>64.3064361113253</v>
      </c>
    </row>
    <row r="604" customFormat="false" ht="14.35" hidden="false" customHeight="false" outlineLevel="0" collapsed="false">
      <c r="A604" s="4" t="n">
        <v>26114</v>
      </c>
      <c r="B604" s="5" t="n">
        <v>5604.59232402613</v>
      </c>
      <c r="C604" s="6" t="n">
        <v>1000</v>
      </c>
      <c r="D604" s="7" t="n">
        <v>700</v>
      </c>
      <c r="E604" s="6" t="n">
        <v>3538</v>
      </c>
      <c r="F604" s="5" t="n">
        <v>14731.8794903943</v>
      </c>
      <c r="G604" s="8" t="n">
        <v>64.2763461343355</v>
      </c>
    </row>
    <row r="605" customFormat="false" ht="14.35" hidden="false" customHeight="false" outlineLevel="0" collapsed="false">
      <c r="A605" s="4" t="n">
        <v>26145</v>
      </c>
      <c r="B605" s="5" t="n">
        <v>9002.67779164201</v>
      </c>
      <c r="C605" s="6" t="n">
        <v>1000</v>
      </c>
      <c r="D605" s="7" t="n">
        <v>700</v>
      </c>
      <c r="E605" s="6" t="n">
        <v>3058.34178922291</v>
      </c>
      <c r="F605" s="5" t="n">
        <v>8000</v>
      </c>
      <c r="G605" s="8" t="n">
        <v>69.7000297814586</v>
      </c>
    </row>
    <row r="606" customFormat="false" ht="14.35" hidden="false" customHeight="false" outlineLevel="0" collapsed="false">
      <c r="A606" s="4" t="n">
        <v>26176</v>
      </c>
      <c r="B606" s="5" t="n">
        <v>7153.20082194195</v>
      </c>
      <c r="C606" s="6" t="n">
        <v>1000</v>
      </c>
      <c r="D606" s="7" t="n">
        <v>700</v>
      </c>
      <c r="E606" s="6" t="n">
        <v>2688.30476076374</v>
      </c>
      <c r="F606" s="5" t="n">
        <v>4000.00000000004</v>
      </c>
      <c r="G606" s="8" t="n">
        <v>76.1581314919544</v>
      </c>
    </row>
    <row r="607" customFormat="false" ht="14.35" hidden="false" customHeight="false" outlineLevel="0" collapsed="false">
      <c r="A607" s="4" t="n">
        <v>26206</v>
      </c>
      <c r="B607" s="5" t="n">
        <v>9526.54671815181</v>
      </c>
      <c r="C607" s="6" t="n">
        <v>1000</v>
      </c>
      <c r="D607" s="7" t="n">
        <v>773.3333333</v>
      </c>
      <c r="E607" s="6" t="n">
        <v>2170.63904979556</v>
      </c>
      <c r="F607" s="5" t="n">
        <v>19062.5</v>
      </c>
      <c r="G607" s="8" t="n">
        <v>83.588276656124</v>
      </c>
    </row>
    <row r="608" customFormat="false" ht="14.35" hidden="false" customHeight="false" outlineLevel="0" collapsed="false">
      <c r="A608" s="4" t="n">
        <v>26237</v>
      </c>
      <c r="B608" s="5" t="n">
        <v>4000</v>
      </c>
      <c r="C608" s="6" t="n">
        <v>1700</v>
      </c>
      <c r="D608" s="7" t="n">
        <v>800</v>
      </c>
      <c r="E608" s="6" t="n">
        <v>2005.93247298564</v>
      </c>
      <c r="F608" s="5" t="n">
        <v>8437.5</v>
      </c>
      <c r="G608" s="8" t="n">
        <v>74.0550626172838</v>
      </c>
    </row>
    <row r="609" customFormat="false" ht="14.35" hidden="false" customHeight="false" outlineLevel="0" collapsed="false">
      <c r="A609" s="4" t="n">
        <v>26267</v>
      </c>
      <c r="B609" s="5" t="n">
        <v>2500</v>
      </c>
      <c r="C609" s="6" t="n">
        <v>1700</v>
      </c>
      <c r="D609" s="7" t="n">
        <v>800</v>
      </c>
      <c r="E609" s="6" t="n">
        <v>1928.6998416828</v>
      </c>
      <c r="F609" s="5" t="n">
        <v>14696.47</v>
      </c>
      <c r="G609" s="8" t="n">
        <v>77.1775762058858</v>
      </c>
    </row>
    <row r="610" customFormat="false" ht="14.35" hidden="false" customHeight="false" outlineLevel="0" collapsed="false">
      <c r="A610" s="4" t="n">
        <v>26298</v>
      </c>
      <c r="B610" s="5" t="n">
        <v>1700</v>
      </c>
      <c r="C610" s="6" t="n">
        <v>1700</v>
      </c>
      <c r="D610" s="7" t="n">
        <v>800</v>
      </c>
      <c r="E610" s="6" t="n">
        <v>1978.71612015006</v>
      </c>
      <c r="F610" s="5" t="n">
        <v>5796.99299112482</v>
      </c>
      <c r="G610" s="8" t="n">
        <v>73.9474994573534</v>
      </c>
    </row>
    <row r="611" customFormat="false" ht="14.35" hidden="false" customHeight="false" outlineLevel="0" collapsed="false">
      <c r="A611" s="4" t="n">
        <v>26329</v>
      </c>
      <c r="B611" s="5" t="n">
        <v>1700</v>
      </c>
      <c r="C611" s="6" t="n">
        <v>1700</v>
      </c>
      <c r="D611" s="7" t="n">
        <v>800</v>
      </c>
      <c r="E611" s="6" t="n">
        <v>2137.01532719915</v>
      </c>
      <c r="F611" s="5" t="n">
        <v>10749.0446592124</v>
      </c>
      <c r="G611" s="8" t="n">
        <v>80.0194613383263</v>
      </c>
    </row>
    <row r="612" customFormat="false" ht="14.35" hidden="false" customHeight="false" outlineLevel="0" collapsed="false">
      <c r="A612" s="4" t="n">
        <v>26358</v>
      </c>
      <c r="B612" s="5" t="n">
        <v>1700</v>
      </c>
      <c r="C612" s="6" t="n">
        <v>1700</v>
      </c>
      <c r="D612" s="7" t="n">
        <v>800</v>
      </c>
      <c r="E612" s="6" t="n">
        <v>2386.52319866044</v>
      </c>
      <c r="F612" s="5" t="n">
        <v>15685.2954252794</v>
      </c>
      <c r="G612" s="8" t="n">
        <v>77.2767012695797</v>
      </c>
    </row>
    <row r="613" customFormat="false" ht="14.35" hidden="false" customHeight="false" outlineLevel="0" collapsed="false">
      <c r="A613" s="4" t="n">
        <v>26389</v>
      </c>
      <c r="B613" s="5" t="n">
        <v>1700</v>
      </c>
      <c r="C613" s="6" t="n">
        <v>1700</v>
      </c>
      <c r="D613" s="7" t="n">
        <v>800</v>
      </c>
      <c r="E613" s="6" t="n">
        <v>2805.89385134226</v>
      </c>
      <c r="F613" s="5" t="n">
        <v>24387.0550150249</v>
      </c>
      <c r="G613" s="8" t="n">
        <v>73.4808564709302</v>
      </c>
    </row>
    <row r="614" customFormat="false" ht="14.35" hidden="false" customHeight="false" outlineLevel="0" collapsed="false">
      <c r="A614" s="4" t="n">
        <v>26419</v>
      </c>
      <c r="B614" s="5" t="n">
        <v>1000</v>
      </c>
      <c r="C614" s="6" t="n">
        <v>1000</v>
      </c>
      <c r="D614" s="7" t="n">
        <v>700</v>
      </c>
      <c r="E614" s="6" t="n">
        <v>2966.52543183774</v>
      </c>
      <c r="F614" s="5" t="n">
        <v>15507.5231457684</v>
      </c>
      <c r="G614" s="8" t="n">
        <v>68.8536620824091</v>
      </c>
    </row>
    <row r="615" customFormat="false" ht="14.35" hidden="false" customHeight="false" outlineLevel="0" collapsed="false">
      <c r="A615" s="4" t="n">
        <v>26450</v>
      </c>
      <c r="B615" s="5" t="n">
        <v>1000</v>
      </c>
      <c r="C615" s="6" t="n">
        <v>1000</v>
      </c>
      <c r="D615" s="7" t="n">
        <v>700</v>
      </c>
      <c r="E615" s="6" t="n">
        <v>3047.58232156124</v>
      </c>
      <c r="F615" s="5" t="n">
        <v>10645.2555264706</v>
      </c>
      <c r="G615" s="8" t="n">
        <v>70.8071563991349</v>
      </c>
    </row>
    <row r="616" customFormat="false" ht="14.35" hidden="false" customHeight="false" outlineLevel="0" collapsed="false">
      <c r="A616" s="4" t="n">
        <v>26480</v>
      </c>
      <c r="B616" s="5" t="n">
        <v>2134.33587346783</v>
      </c>
      <c r="C616" s="6" t="n">
        <v>1000</v>
      </c>
      <c r="D616" s="7" t="n">
        <v>700</v>
      </c>
      <c r="E616" s="6" t="n">
        <v>2862.99739347016</v>
      </c>
      <c r="F616" s="5" t="n">
        <v>6010</v>
      </c>
      <c r="G616" s="8" t="n">
        <v>74.3312808683224</v>
      </c>
    </row>
    <row r="617" customFormat="false" ht="14.35" hidden="false" customHeight="false" outlineLevel="0" collapsed="false">
      <c r="A617" s="4" t="n">
        <v>26511</v>
      </c>
      <c r="B617" s="5" t="n">
        <v>9097.56445089087</v>
      </c>
      <c r="C617" s="6" t="n">
        <v>1000</v>
      </c>
      <c r="D617" s="7" t="n">
        <v>700</v>
      </c>
      <c r="E617" s="6" t="n">
        <v>2227.23405635428</v>
      </c>
      <c r="F617" s="5" t="n">
        <v>9425.14039127351</v>
      </c>
      <c r="G617" s="8" t="n">
        <v>79.8686594377877</v>
      </c>
    </row>
    <row r="618" customFormat="false" ht="14.35" hidden="false" customHeight="false" outlineLevel="0" collapsed="false">
      <c r="A618" s="4" t="n">
        <v>26542</v>
      </c>
      <c r="B618" s="5" t="n">
        <v>7286.25318413119</v>
      </c>
      <c r="C618" s="6" t="n">
        <v>1000</v>
      </c>
      <c r="D618" s="7" t="n">
        <v>700</v>
      </c>
      <c r="E618" s="6" t="n">
        <v>1758.41869747024</v>
      </c>
      <c r="F618" s="5" t="n">
        <v>4000</v>
      </c>
      <c r="G618" s="8" t="n">
        <v>78.2347664009585</v>
      </c>
    </row>
    <row r="619" customFormat="false" ht="14.35" hidden="false" customHeight="false" outlineLevel="0" collapsed="false">
      <c r="A619" s="4" t="n">
        <v>26572</v>
      </c>
      <c r="B619" s="5" t="n">
        <v>1910.26171942744</v>
      </c>
      <c r="C619" s="6" t="n">
        <v>1000</v>
      </c>
      <c r="D619" s="7" t="n">
        <v>773.3333333</v>
      </c>
      <c r="E619" s="6" t="n">
        <v>1644.70710908939</v>
      </c>
      <c r="F619" s="5" t="n">
        <v>3599.16571703537</v>
      </c>
      <c r="G619" s="8" t="n">
        <v>84.2689975792957</v>
      </c>
    </row>
    <row r="620" customFormat="false" ht="14.35" hidden="false" customHeight="false" outlineLevel="0" collapsed="false">
      <c r="A620" s="4" t="n">
        <v>26603</v>
      </c>
      <c r="B620" s="5" t="n">
        <v>1700</v>
      </c>
      <c r="C620" s="6" t="n">
        <v>1700</v>
      </c>
      <c r="D620" s="7" t="n">
        <v>800</v>
      </c>
      <c r="E620" s="6" t="n">
        <v>1548.01282184326</v>
      </c>
      <c r="F620" s="5" t="n">
        <v>4000</v>
      </c>
      <c r="G620" s="8" t="n">
        <v>87.0564148702656</v>
      </c>
    </row>
    <row r="621" customFormat="false" ht="14.35" hidden="false" customHeight="false" outlineLevel="0" collapsed="false">
      <c r="A621" s="4" t="n">
        <v>26633</v>
      </c>
      <c r="B621" s="5" t="n">
        <v>1700</v>
      </c>
      <c r="C621" s="6" t="n">
        <v>1700</v>
      </c>
      <c r="D621" s="7" t="n">
        <v>800</v>
      </c>
      <c r="E621" s="6" t="n">
        <v>1597.56398987968</v>
      </c>
      <c r="F621" s="5" t="n">
        <v>11380.1726256043</v>
      </c>
      <c r="G621" s="8" t="n">
        <v>87.1607339475345</v>
      </c>
    </row>
    <row r="622" customFormat="false" ht="14.35" hidden="false" customHeight="false" outlineLevel="0" collapsed="false">
      <c r="A622" s="4" t="n">
        <v>26664</v>
      </c>
      <c r="B622" s="5" t="n">
        <v>1700</v>
      </c>
      <c r="C622" s="6" t="n">
        <v>1700</v>
      </c>
      <c r="D622" s="7" t="n">
        <v>800</v>
      </c>
      <c r="E622" s="6" t="n">
        <v>1803.45511338466</v>
      </c>
      <c r="F622" s="5" t="n">
        <v>21736.2673254096</v>
      </c>
      <c r="G622" s="8" t="n">
        <v>79.1802613870361</v>
      </c>
    </row>
    <row r="623" customFormat="false" ht="14.35" hidden="false" customHeight="false" outlineLevel="0" collapsed="false">
      <c r="A623" s="4" t="n">
        <v>26695</v>
      </c>
      <c r="B623" s="5" t="n">
        <v>1700.00000000001</v>
      </c>
      <c r="C623" s="6" t="n">
        <v>1700</v>
      </c>
      <c r="D623" s="7" t="n">
        <v>800</v>
      </c>
      <c r="E623" s="6" t="n">
        <v>2410.03609400693</v>
      </c>
      <c r="F623" s="5" t="n">
        <v>79185.5585921152</v>
      </c>
      <c r="G623" s="8" t="n">
        <v>71.6039750212654</v>
      </c>
    </row>
    <row r="624" customFormat="false" ht="14.35" hidden="false" customHeight="false" outlineLevel="0" collapsed="false">
      <c r="A624" s="4" t="n">
        <v>26723</v>
      </c>
      <c r="B624" s="5" t="n">
        <v>3313.60147480953</v>
      </c>
      <c r="C624" s="6" t="n">
        <v>1700</v>
      </c>
      <c r="D624" s="7" t="n">
        <v>800</v>
      </c>
      <c r="E624" s="6" t="n">
        <v>2788</v>
      </c>
      <c r="F624" s="5" t="n">
        <v>85439.3623793559</v>
      </c>
      <c r="G624" s="8" t="n">
        <v>59.2106813824576</v>
      </c>
    </row>
    <row r="625" customFormat="false" ht="14.35" hidden="false" customHeight="false" outlineLevel="0" collapsed="false">
      <c r="A625" s="4" t="n">
        <v>26754</v>
      </c>
      <c r="B625" s="5" t="n">
        <v>6099.78910277783</v>
      </c>
      <c r="C625" s="6" t="n">
        <v>1700</v>
      </c>
      <c r="D625" s="7" t="n">
        <v>800</v>
      </c>
      <c r="E625" s="6" t="n">
        <v>2951</v>
      </c>
      <c r="F625" s="5" t="n">
        <v>57880.6695845637</v>
      </c>
      <c r="G625" s="8" t="n">
        <v>54.5654976814463</v>
      </c>
    </row>
    <row r="626" customFormat="false" ht="14.35" hidden="false" customHeight="false" outlineLevel="0" collapsed="false">
      <c r="A626" s="4" t="n">
        <v>26784</v>
      </c>
      <c r="B626" s="5" t="n">
        <v>1000</v>
      </c>
      <c r="C626" s="6" t="n">
        <v>1000</v>
      </c>
      <c r="D626" s="7" t="n">
        <v>700</v>
      </c>
      <c r="E626" s="6" t="n">
        <v>3293.08037766854</v>
      </c>
      <c r="F626" s="5" t="n">
        <v>21756.559313322</v>
      </c>
      <c r="G626" s="8" t="n">
        <v>56.0278530433348</v>
      </c>
    </row>
    <row r="627" customFormat="false" ht="14.35" hidden="false" customHeight="false" outlineLevel="0" collapsed="false">
      <c r="A627" s="4" t="n">
        <v>26815</v>
      </c>
      <c r="B627" s="5" t="n">
        <v>2591.87697597025</v>
      </c>
      <c r="C627" s="6" t="n">
        <v>1000</v>
      </c>
      <c r="D627" s="7" t="n">
        <v>700</v>
      </c>
      <c r="E627" s="6" t="n">
        <v>3538</v>
      </c>
      <c r="F627" s="5" t="n">
        <v>18496.8295542341</v>
      </c>
      <c r="G627" s="8" t="n">
        <v>64.0074629320917</v>
      </c>
    </row>
    <row r="628" customFormat="false" ht="14.35" hidden="false" customHeight="false" outlineLevel="0" collapsed="false">
      <c r="A628" s="4" t="n">
        <v>26845</v>
      </c>
      <c r="B628" s="5" t="n">
        <v>2666.04123716273</v>
      </c>
      <c r="C628" s="6" t="n">
        <v>1000</v>
      </c>
      <c r="D628" s="7" t="n">
        <v>700</v>
      </c>
      <c r="E628" s="6" t="n">
        <v>3366.35804887516</v>
      </c>
      <c r="F628" s="5" t="n">
        <v>9643.333</v>
      </c>
      <c r="G628" s="8" t="n">
        <v>67.8673790992045</v>
      </c>
    </row>
    <row r="629" customFormat="false" ht="14.35" hidden="false" customHeight="false" outlineLevel="0" collapsed="false">
      <c r="A629" s="4" t="n">
        <v>26876</v>
      </c>
      <c r="B629" s="5" t="n">
        <v>8082.10534752659</v>
      </c>
      <c r="C629" s="6" t="n">
        <v>1000</v>
      </c>
      <c r="D629" s="7" t="n">
        <v>700</v>
      </c>
      <c r="E629" s="6" t="n">
        <v>2784.33532415481</v>
      </c>
      <c r="F629" s="5" t="n">
        <v>8758.14928564495</v>
      </c>
      <c r="G629" s="8" t="n">
        <v>74.1253174255946</v>
      </c>
    </row>
    <row r="630" customFormat="false" ht="14.35" hidden="false" customHeight="false" outlineLevel="0" collapsed="false">
      <c r="A630" s="4" t="n">
        <v>26907</v>
      </c>
      <c r="B630" s="5" t="n">
        <v>6364.47113199876</v>
      </c>
      <c r="C630" s="6" t="n">
        <v>1000</v>
      </c>
      <c r="D630" s="7" t="n">
        <v>700</v>
      </c>
      <c r="E630" s="6" t="n">
        <v>2357.85982065322</v>
      </c>
      <c r="F630" s="5" t="n">
        <v>4000</v>
      </c>
      <c r="G630" s="8" t="n">
        <v>76.9147011872712</v>
      </c>
    </row>
    <row r="631" customFormat="false" ht="14.35" hidden="false" customHeight="false" outlineLevel="0" collapsed="false">
      <c r="A631" s="4" t="n">
        <v>26937</v>
      </c>
      <c r="B631" s="5" t="n">
        <v>7056.59533755135</v>
      </c>
      <c r="C631" s="6" t="n">
        <v>1000</v>
      </c>
      <c r="D631" s="7" t="n">
        <v>773.3333333</v>
      </c>
      <c r="E631" s="6" t="n">
        <v>1912.55971423279</v>
      </c>
      <c r="F631" s="5" t="n">
        <v>11718.75</v>
      </c>
      <c r="G631" s="8" t="n">
        <v>83.8362802022489</v>
      </c>
    </row>
    <row r="632" customFormat="false" ht="14.35" hidden="false" customHeight="false" outlineLevel="0" collapsed="false">
      <c r="A632" s="4" t="n">
        <v>26968</v>
      </c>
      <c r="B632" s="5" t="n">
        <v>3517.38544346735</v>
      </c>
      <c r="C632" s="6" t="n">
        <v>1700</v>
      </c>
      <c r="D632" s="7" t="n">
        <v>800</v>
      </c>
      <c r="E632" s="6" t="n">
        <v>1746.22340707832</v>
      </c>
      <c r="F632" s="5" t="n">
        <v>6093.75</v>
      </c>
      <c r="G632" s="8" t="n">
        <v>77.8657778922493</v>
      </c>
    </row>
    <row r="633" customFormat="false" ht="14.35" hidden="false" customHeight="false" outlineLevel="0" collapsed="false">
      <c r="A633" s="4" t="n">
        <v>26998</v>
      </c>
      <c r="B633" s="5" t="n">
        <v>1700</v>
      </c>
      <c r="C633" s="6" t="n">
        <v>1700</v>
      </c>
      <c r="D633" s="7" t="n">
        <v>800</v>
      </c>
      <c r="E633" s="6" t="n">
        <v>2425.53187850293</v>
      </c>
      <c r="F633" s="5" t="n">
        <v>49098.905915644</v>
      </c>
      <c r="G633" s="8" t="n">
        <v>80.9211882198772</v>
      </c>
    </row>
    <row r="634" customFormat="false" ht="14.35" hidden="false" customHeight="false" outlineLevel="0" collapsed="false">
      <c r="A634" s="4" t="n">
        <v>27029</v>
      </c>
      <c r="B634" s="5" t="n">
        <v>3288.59641578649</v>
      </c>
      <c r="C634" s="6" t="n">
        <v>1700</v>
      </c>
      <c r="D634" s="7" t="n">
        <v>800</v>
      </c>
      <c r="E634" s="6" t="n">
        <v>2800</v>
      </c>
      <c r="F634" s="5" t="n">
        <v>60307.9819040965</v>
      </c>
      <c r="G634" s="8" t="n">
        <v>65.9285479685264</v>
      </c>
    </row>
    <row r="635" customFormat="false" ht="14.35" hidden="false" customHeight="false" outlineLevel="0" collapsed="false">
      <c r="A635" s="4" t="n">
        <v>27060</v>
      </c>
      <c r="B635" s="5" t="n">
        <v>20186.784519593</v>
      </c>
      <c r="C635" s="6" t="n">
        <v>1700</v>
      </c>
      <c r="D635" s="7" t="n">
        <v>800</v>
      </c>
      <c r="E635" s="6" t="n">
        <v>2870</v>
      </c>
      <c r="F635" s="5" t="n">
        <v>132132.49792407</v>
      </c>
      <c r="G635" s="8" t="n">
        <v>59.4377628773917</v>
      </c>
    </row>
    <row r="636" customFormat="false" ht="14.35" hidden="false" customHeight="false" outlineLevel="0" collapsed="false">
      <c r="A636" s="4" t="n">
        <v>27088</v>
      </c>
      <c r="B636" s="5" t="n">
        <v>5792.21434317689</v>
      </c>
      <c r="C636" s="6" t="n">
        <v>1700</v>
      </c>
      <c r="D636" s="7" t="n">
        <v>800</v>
      </c>
      <c r="E636" s="6" t="n">
        <v>3009</v>
      </c>
      <c r="F636" s="5" t="n">
        <v>42470.2302464183</v>
      </c>
      <c r="G636" s="8" t="n">
        <v>51.297878432188</v>
      </c>
    </row>
    <row r="637" customFormat="false" ht="14.35" hidden="false" customHeight="false" outlineLevel="0" collapsed="false">
      <c r="A637" s="4" t="n">
        <v>27119</v>
      </c>
      <c r="B637" s="5" t="n">
        <v>26259.0075737387</v>
      </c>
      <c r="C637" s="6" t="n">
        <v>1700</v>
      </c>
      <c r="D637" s="7" t="n">
        <v>800</v>
      </c>
      <c r="E637" s="6" t="n">
        <v>2788</v>
      </c>
      <c r="F637" s="5" t="n">
        <v>110638.497625185</v>
      </c>
      <c r="G637" s="8" t="n">
        <v>57.3297510871333</v>
      </c>
    </row>
    <row r="638" customFormat="false" ht="14.35" hidden="false" customHeight="false" outlineLevel="0" collapsed="false">
      <c r="A638" s="4" t="n">
        <v>27149</v>
      </c>
      <c r="B638" s="5" t="n">
        <v>8450.17985282622</v>
      </c>
      <c r="C638" s="6" t="n">
        <v>1000</v>
      </c>
      <c r="D638" s="7" t="n">
        <v>700</v>
      </c>
      <c r="E638" s="6" t="n">
        <v>3292</v>
      </c>
      <c r="F638" s="5" t="n">
        <v>73500.0607687103</v>
      </c>
      <c r="G638" s="8" t="n">
        <v>51.9677467444101</v>
      </c>
    </row>
    <row r="639" customFormat="false" ht="14.35" hidden="false" customHeight="false" outlineLevel="0" collapsed="false">
      <c r="A639" s="4" t="n">
        <v>27180</v>
      </c>
      <c r="B639" s="5" t="n">
        <v>5777.79430618486</v>
      </c>
      <c r="C639" s="6" t="n">
        <v>1000</v>
      </c>
      <c r="D639" s="7" t="n">
        <v>700</v>
      </c>
      <c r="E639" s="6" t="n">
        <v>3538</v>
      </c>
      <c r="F639" s="5" t="n">
        <v>22073.9803945144</v>
      </c>
      <c r="G639" s="8" t="n">
        <v>53.3450495104298</v>
      </c>
    </row>
    <row r="640" customFormat="false" ht="14.35" hidden="false" customHeight="false" outlineLevel="0" collapsed="false">
      <c r="A640" s="4" t="n">
        <v>27210</v>
      </c>
      <c r="B640" s="5" t="n">
        <v>4360.85836182679</v>
      </c>
      <c r="C640" s="6" t="n">
        <v>1000</v>
      </c>
      <c r="D640" s="7" t="n">
        <v>700</v>
      </c>
      <c r="E640" s="6" t="n">
        <v>3538</v>
      </c>
      <c r="F640" s="5" t="n">
        <v>14995.2621202002</v>
      </c>
      <c r="G640" s="8" t="n">
        <v>63.0170137131259</v>
      </c>
    </row>
    <row r="641" customFormat="false" ht="14.35" hidden="false" customHeight="false" outlineLevel="0" collapsed="false">
      <c r="A641" s="4" t="n">
        <v>27241</v>
      </c>
      <c r="B641" s="5" t="n">
        <v>5319.33346915517</v>
      </c>
      <c r="C641" s="6" t="n">
        <v>1000</v>
      </c>
      <c r="D641" s="7" t="n">
        <v>700</v>
      </c>
      <c r="E641" s="6" t="n">
        <v>3325.37025456414</v>
      </c>
      <c r="F641" s="5" t="n">
        <v>8000</v>
      </c>
      <c r="G641" s="8" t="n">
        <v>69.1513879058601</v>
      </c>
    </row>
    <row r="642" customFormat="false" ht="14.35" hidden="false" customHeight="false" outlineLevel="0" collapsed="false">
      <c r="A642" s="4" t="n">
        <v>27272</v>
      </c>
      <c r="B642" s="5" t="n">
        <v>1000</v>
      </c>
      <c r="C642" s="6" t="n">
        <v>1000</v>
      </c>
      <c r="D642" s="7" t="n">
        <v>700</v>
      </c>
      <c r="E642" s="6" t="n">
        <v>3333.16804456287</v>
      </c>
      <c r="F642" s="5" t="n">
        <v>4238.73944484036</v>
      </c>
      <c r="G642" s="8" t="n">
        <v>75.9782866851332</v>
      </c>
    </row>
    <row r="643" customFormat="false" ht="14.35" hidden="false" customHeight="false" outlineLevel="0" collapsed="false">
      <c r="A643" s="4" t="n">
        <v>27302</v>
      </c>
      <c r="B643" s="5" t="n">
        <v>8991.57881212228</v>
      </c>
      <c r="C643" s="6" t="n">
        <v>1000</v>
      </c>
      <c r="D643" s="7" t="n">
        <v>773.3333333</v>
      </c>
      <c r="E643" s="6" t="n">
        <v>2831.69406476744</v>
      </c>
      <c r="F643" s="5" t="n">
        <v>19687.5</v>
      </c>
      <c r="G643" s="8" t="n">
        <v>83.0849542440416</v>
      </c>
    </row>
    <row r="644" customFormat="false" ht="14.35" hidden="false" customHeight="false" outlineLevel="0" collapsed="false">
      <c r="A644" s="4" t="n">
        <v>27333</v>
      </c>
      <c r="B644" s="5" t="n">
        <v>4000</v>
      </c>
      <c r="C644" s="6" t="n">
        <v>1700</v>
      </c>
      <c r="D644" s="7" t="n">
        <v>800</v>
      </c>
      <c r="E644" s="6" t="n">
        <v>2620.20374352581</v>
      </c>
      <c r="F644" s="5" t="n">
        <v>7812.5</v>
      </c>
      <c r="G644" s="8" t="n">
        <v>73.6427844206874</v>
      </c>
    </row>
    <row r="645" customFormat="false" ht="14.35" hidden="false" customHeight="false" outlineLevel="0" collapsed="false">
      <c r="A645" s="4" t="n">
        <v>27363</v>
      </c>
      <c r="B645" s="5" t="n">
        <v>2500</v>
      </c>
      <c r="C645" s="6" t="n">
        <v>1700</v>
      </c>
      <c r="D645" s="7" t="n">
        <v>800</v>
      </c>
      <c r="E645" s="6" t="n">
        <v>2564.92055381072</v>
      </c>
      <c r="F645" s="5" t="n">
        <v>14675.726</v>
      </c>
      <c r="G645" s="8" t="n">
        <v>77.6323606973862</v>
      </c>
    </row>
    <row r="646" customFormat="false" ht="14.35" hidden="false" customHeight="false" outlineLevel="0" collapsed="false">
      <c r="A646" s="4" t="n">
        <v>27394</v>
      </c>
      <c r="B646" s="5" t="n">
        <v>2121.80406717363</v>
      </c>
      <c r="C646" s="6" t="n">
        <v>1700</v>
      </c>
      <c r="D646" s="7" t="n">
        <v>800</v>
      </c>
      <c r="E646" s="6" t="n">
        <v>2535.29172773707</v>
      </c>
      <c r="F646" s="5" t="n">
        <v>5334.87479188253</v>
      </c>
      <c r="G646" s="8" t="n">
        <v>74.1074049891339</v>
      </c>
    </row>
    <row r="647" customFormat="false" ht="14.35" hidden="false" customHeight="false" outlineLevel="0" collapsed="false">
      <c r="A647" s="4" t="n">
        <v>27425</v>
      </c>
      <c r="B647" s="5" t="n">
        <v>1700</v>
      </c>
      <c r="C647" s="6" t="n">
        <v>1700</v>
      </c>
      <c r="D647" s="7" t="n">
        <v>800</v>
      </c>
      <c r="E647" s="6" t="n">
        <v>2571.10807525554</v>
      </c>
      <c r="F647" s="5" t="n">
        <v>9465.30437452025</v>
      </c>
      <c r="G647" s="8" t="n">
        <v>80.7086646764864</v>
      </c>
    </row>
    <row r="648" customFormat="false" ht="14.35" hidden="false" customHeight="false" outlineLevel="0" collapsed="false">
      <c r="A648" s="4" t="n">
        <v>27453</v>
      </c>
      <c r="B648" s="5" t="n">
        <v>2571.50328474648</v>
      </c>
      <c r="C648" s="6" t="n">
        <v>1700</v>
      </c>
      <c r="D648" s="7" t="n">
        <v>800</v>
      </c>
      <c r="E648" s="6" t="n">
        <v>2884</v>
      </c>
      <c r="F648" s="5" t="n">
        <v>52055.067983118</v>
      </c>
      <c r="G648" s="8" t="n">
        <v>78.4775248720526</v>
      </c>
    </row>
    <row r="649" customFormat="false" ht="14.35" hidden="false" customHeight="false" outlineLevel="0" collapsed="false">
      <c r="A649" s="4" t="n">
        <v>27484</v>
      </c>
      <c r="B649" s="5" t="n">
        <v>12899.8744070002</v>
      </c>
      <c r="C649" s="6" t="n">
        <v>1700</v>
      </c>
      <c r="D649" s="7" t="n">
        <v>800</v>
      </c>
      <c r="E649" s="6" t="n">
        <v>2833</v>
      </c>
      <c r="F649" s="5" t="n">
        <v>86714.336000994</v>
      </c>
      <c r="G649" s="8" t="n">
        <v>64.6793603854369</v>
      </c>
    </row>
    <row r="650" customFormat="false" ht="14.35" hidden="false" customHeight="false" outlineLevel="0" collapsed="false">
      <c r="A650" s="4" t="n">
        <v>27514</v>
      </c>
      <c r="B650" s="5" t="n">
        <v>1000</v>
      </c>
      <c r="C650" s="6" t="n">
        <v>1000</v>
      </c>
      <c r="D650" s="7" t="n">
        <v>700</v>
      </c>
      <c r="E650" s="6" t="n">
        <v>3276.55096340812</v>
      </c>
      <c r="F650" s="5" t="n">
        <v>29092.210576637</v>
      </c>
      <c r="G650" s="8" t="n">
        <v>56.2445898979181</v>
      </c>
    </row>
    <row r="651" customFormat="false" ht="14.35" hidden="false" customHeight="false" outlineLevel="0" collapsed="false">
      <c r="A651" s="4" t="n">
        <v>27545</v>
      </c>
      <c r="B651" s="5" t="n">
        <v>8359.85906422439</v>
      </c>
      <c r="C651" s="6" t="n">
        <v>1000</v>
      </c>
      <c r="D651" s="7" t="n">
        <v>700</v>
      </c>
      <c r="E651" s="6" t="n">
        <v>3538</v>
      </c>
      <c r="F651" s="5" t="n">
        <v>32393.6718791597</v>
      </c>
      <c r="G651" s="8" t="n">
        <v>61.8513174174368</v>
      </c>
    </row>
    <row r="652" customFormat="false" ht="14.35" hidden="false" customHeight="false" outlineLevel="0" collapsed="false">
      <c r="A652" s="4" t="n">
        <v>27575</v>
      </c>
      <c r="B652" s="5" t="n">
        <v>6123.09433234009</v>
      </c>
      <c r="C652" s="6" t="n">
        <v>1000</v>
      </c>
      <c r="D652" s="7" t="n">
        <v>700</v>
      </c>
      <c r="E652" s="6" t="n">
        <v>3538</v>
      </c>
      <c r="F652" s="5" t="n">
        <v>19992.3819415752</v>
      </c>
      <c r="G652" s="8" t="n">
        <v>62.8652396929664</v>
      </c>
    </row>
    <row r="653" customFormat="false" ht="14.35" hidden="false" customHeight="false" outlineLevel="0" collapsed="false">
      <c r="A653" s="4" t="n">
        <v>27606</v>
      </c>
      <c r="B653" s="5" t="n">
        <v>8058.09036574584</v>
      </c>
      <c r="C653" s="6" t="n">
        <v>1000</v>
      </c>
      <c r="D653" s="7" t="n">
        <v>700</v>
      </c>
      <c r="E653" s="6" t="n">
        <v>3073.04985254437</v>
      </c>
      <c r="F653" s="5" t="n">
        <v>8000</v>
      </c>
      <c r="G653" s="8" t="n">
        <v>66.8969664383442</v>
      </c>
    </row>
    <row r="654" customFormat="false" ht="14.35" hidden="false" customHeight="false" outlineLevel="0" collapsed="false">
      <c r="A654" s="4" t="n">
        <v>27637</v>
      </c>
      <c r="B654" s="5" t="n">
        <v>1280.1081004556</v>
      </c>
      <c r="C654" s="6" t="n">
        <v>1000</v>
      </c>
      <c r="D654" s="7" t="n">
        <v>700</v>
      </c>
      <c r="E654" s="6" t="n">
        <v>3053.49382300656</v>
      </c>
      <c r="F654" s="5" t="n">
        <v>4000</v>
      </c>
      <c r="G654" s="8" t="n">
        <v>75.2392873280814</v>
      </c>
    </row>
    <row r="655" customFormat="false" ht="14.35" hidden="false" customHeight="false" outlineLevel="0" collapsed="false">
      <c r="A655" s="4" t="n">
        <v>27667</v>
      </c>
      <c r="B655" s="5" t="n">
        <v>9274.94834278578</v>
      </c>
      <c r="C655" s="6" t="n">
        <v>1000</v>
      </c>
      <c r="D655" s="7" t="n">
        <v>773.3333333</v>
      </c>
      <c r="E655" s="6" t="n">
        <v>2540.55851914072</v>
      </c>
      <c r="F655" s="5" t="n">
        <v>19687.5</v>
      </c>
      <c r="G655" s="8" t="n">
        <v>83.2870795392066</v>
      </c>
    </row>
    <row r="656" customFormat="false" ht="14.35" hidden="false" customHeight="false" outlineLevel="0" collapsed="false">
      <c r="A656" s="4" t="n">
        <v>27698</v>
      </c>
      <c r="B656" s="5" t="n">
        <v>3719.76774703478</v>
      </c>
      <c r="C656" s="6" t="n">
        <v>1700</v>
      </c>
      <c r="D656" s="7" t="n">
        <v>800</v>
      </c>
      <c r="E656" s="6" t="n">
        <v>2386.33332470023</v>
      </c>
      <c r="F656" s="5" t="n">
        <v>8125</v>
      </c>
      <c r="G656" s="8" t="n">
        <v>73.7090410924425</v>
      </c>
    </row>
    <row r="657" customFormat="false" ht="14.35" hidden="false" customHeight="false" outlineLevel="0" collapsed="false">
      <c r="A657" s="4" t="n">
        <v>27728</v>
      </c>
      <c r="B657" s="5" t="n">
        <v>3113.67230942005</v>
      </c>
      <c r="C657" s="6" t="n">
        <v>1700</v>
      </c>
      <c r="D657" s="7" t="n">
        <v>800</v>
      </c>
      <c r="E657" s="6" t="n">
        <v>2340.43122508102</v>
      </c>
      <c r="F657" s="5" t="n">
        <v>15937.5</v>
      </c>
      <c r="G657" s="8" t="n">
        <v>77.3534411957641</v>
      </c>
    </row>
    <row r="658" customFormat="false" ht="14.35" hidden="false" customHeight="false" outlineLevel="0" collapsed="false">
      <c r="A658" s="4" t="n">
        <v>27759</v>
      </c>
      <c r="B658" s="5" t="n">
        <v>4759.7622661647</v>
      </c>
      <c r="C658" s="6" t="n">
        <v>1700</v>
      </c>
      <c r="D658" s="7" t="n">
        <v>800</v>
      </c>
      <c r="E658" s="6" t="n">
        <v>2210.98820932512</v>
      </c>
      <c r="F658" s="5" t="n">
        <v>4889.69233007401</v>
      </c>
      <c r="G658" s="8" t="n">
        <v>73.3837415331892</v>
      </c>
    </row>
    <row r="659" customFormat="false" ht="14.35" hidden="false" customHeight="false" outlineLevel="0" collapsed="false">
      <c r="A659" s="4" t="n">
        <v>27790</v>
      </c>
      <c r="B659" s="5" t="n">
        <v>1700</v>
      </c>
      <c r="C659" s="6" t="n">
        <v>1700</v>
      </c>
      <c r="D659" s="7" t="n">
        <v>800</v>
      </c>
      <c r="E659" s="6" t="n">
        <v>2281.24508216244</v>
      </c>
      <c r="F659" s="5" t="n">
        <v>6273.56287310723</v>
      </c>
      <c r="G659" s="8" t="n">
        <v>81.1393714128354</v>
      </c>
    </row>
    <row r="660" customFormat="false" ht="14.35" hidden="false" customHeight="false" outlineLevel="0" collapsed="false">
      <c r="A660" s="4" t="n">
        <v>27819</v>
      </c>
      <c r="B660" s="5" t="n">
        <v>1700</v>
      </c>
      <c r="C660" s="6" t="n">
        <v>1700</v>
      </c>
      <c r="D660" s="7" t="n">
        <v>800</v>
      </c>
      <c r="E660" s="6" t="n">
        <v>2410.50930693687</v>
      </c>
      <c r="F660" s="5" t="n">
        <v>8879.60048997391</v>
      </c>
      <c r="G660" s="8" t="n">
        <v>81.7713593516848</v>
      </c>
    </row>
    <row r="661" customFormat="false" ht="14.35" hidden="false" customHeight="false" outlineLevel="0" collapsed="false">
      <c r="A661" s="4" t="n">
        <v>27850</v>
      </c>
      <c r="B661" s="5" t="n">
        <v>1700</v>
      </c>
      <c r="C661" s="6" t="n">
        <v>1700</v>
      </c>
      <c r="D661" s="7" t="n">
        <v>800</v>
      </c>
      <c r="E661" s="6" t="n">
        <v>2520.6468142895</v>
      </c>
      <c r="F661" s="5" t="n">
        <v>9306.24652235782</v>
      </c>
      <c r="G661" s="8" t="n">
        <v>79.3155076179738</v>
      </c>
    </row>
    <row r="662" customFormat="false" ht="14.35" hidden="false" customHeight="false" outlineLevel="0" collapsed="false">
      <c r="A662" s="4" t="n">
        <v>27880</v>
      </c>
      <c r="B662" s="5" t="n">
        <v>1000</v>
      </c>
      <c r="C662" s="6" t="n">
        <v>1000</v>
      </c>
      <c r="D662" s="7" t="n">
        <v>700</v>
      </c>
      <c r="E662" s="6" t="n">
        <v>2444.33879749809</v>
      </c>
      <c r="F662" s="5" t="n">
        <v>9932.78425535871</v>
      </c>
      <c r="G662" s="8" t="n">
        <v>78.15075254016</v>
      </c>
    </row>
    <row r="663" customFormat="false" ht="14.35" hidden="false" customHeight="false" outlineLevel="0" collapsed="false">
      <c r="A663" s="4" t="n">
        <v>27911</v>
      </c>
      <c r="B663" s="5" t="n">
        <v>1203.58321230203</v>
      </c>
      <c r="C663" s="6" t="n">
        <v>1000</v>
      </c>
      <c r="D663" s="7" t="n">
        <v>700</v>
      </c>
      <c r="E663" s="6" t="n">
        <v>2326.44922781838</v>
      </c>
      <c r="F663" s="5" t="n">
        <v>4000</v>
      </c>
      <c r="G663" s="8" t="n">
        <v>77.2695134885689</v>
      </c>
    </row>
    <row r="664" customFormat="false" ht="14.35" hidden="false" customHeight="false" outlineLevel="0" collapsed="false">
      <c r="A664" s="4" t="n">
        <v>27941</v>
      </c>
      <c r="B664" s="5" t="n">
        <v>3152.62233543182</v>
      </c>
      <c r="C664" s="6" t="n">
        <v>1000</v>
      </c>
      <c r="D664" s="7" t="n">
        <v>700</v>
      </c>
      <c r="E664" s="6" t="n">
        <v>2015.44564398008</v>
      </c>
      <c r="F664" s="5" t="n">
        <v>4000</v>
      </c>
      <c r="G664" s="8" t="n">
        <v>83.9525876746144</v>
      </c>
    </row>
    <row r="665" customFormat="false" ht="14.35" hidden="false" customHeight="false" outlineLevel="0" collapsed="false">
      <c r="A665" s="4" t="n">
        <v>27972</v>
      </c>
      <c r="B665" s="5" t="n">
        <v>5907.34424006031</v>
      </c>
      <c r="C665" s="6" t="n">
        <v>1000</v>
      </c>
      <c r="D665" s="7" t="n">
        <v>700</v>
      </c>
      <c r="E665" s="6" t="n">
        <v>1539.3775683932</v>
      </c>
      <c r="F665" s="5" t="n">
        <v>4000</v>
      </c>
      <c r="G665" s="8" t="n">
        <v>86.1432993928</v>
      </c>
    </row>
    <row r="666" customFormat="false" ht="14.35" hidden="false" customHeight="false" outlineLevel="0" collapsed="false">
      <c r="A666" s="4" t="n">
        <v>28003</v>
      </c>
      <c r="B666" s="5" t="n">
        <v>999.999999999987</v>
      </c>
      <c r="C666" s="6" t="n">
        <v>1000</v>
      </c>
      <c r="D666" s="7" t="n">
        <v>700</v>
      </c>
      <c r="E666" s="6" t="n">
        <v>1400.93385696985</v>
      </c>
      <c r="F666" s="5" t="n">
        <v>3859.79403584455</v>
      </c>
      <c r="G666" s="8" t="n">
        <v>86.8614146940213</v>
      </c>
    </row>
    <row r="667" customFormat="false" ht="14.35" hidden="false" customHeight="false" outlineLevel="0" collapsed="false">
      <c r="A667" s="4" t="n">
        <v>28033</v>
      </c>
      <c r="B667" s="5" t="n">
        <v>999.999999999989</v>
      </c>
      <c r="C667" s="6" t="n">
        <v>1000</v>
      </c>
      <c r="D667" s="7" t="n">
        <v>773.3333333</v>
      </c>
      <c r="E667" s="6" t="n">
        <v>1388.4721355961</v>
      </c>
      <c r="F667" s="5" t="n">
        <v>3000</v>
      </c>
      <c r="G667" s="8" t="n">
        <v>87.3703148296245</v>
      </c>
    </row>
    <row r="668" customFormat="false" ht="14.35" hidden="false" customHeight="false" outlineLevel="0" collapsed="false">
      <c r="A668" s="4" t="n">
        <v>28064</v>
      </c>
      <c r="B668" s="5" t="n">
        <v>1367.92594896324</v>
      </c>
      <c r="C668" s="6" t="n">
        <v>1200</v>
      </c>
      <c r="D668" s="7" t="n">
        <v>800</v>
      </c>
      <c r="E668" s="6" t="n">
        <v>1243.02452566281</v>
      </c>
      <c r="F668" s="5" t="n">
        <v>4183.16539636806</v>
      </c>
      <c r="G668" s="8" t="n">
        <v>89.4687990553489</v>
      </c>
    </row>
    <row r="669" customFormat="false" ht="14.35" hidden="false" customHeight="false" outlineLevel="0" collapsed="false">
      <c r="A669" s="4" t="n">
        <v>28094</v>
      </c>
      <c r="B669" s="5" t="n">
        <v>1249.84070472306</v>
      </c>
      <c r="C669" s="6" t="n">
        <v>1200</v>
      </c>
      <c r="D669" s="7" t="n">
        <v>800</v>
      </c>
      <c r="E669" s="6" t="n">
        <v>1116.94475864936</v>
      </c>
      <c r="F669" s="5" t="n">
        <v>5355.30097265482</v>
      </c>
      <c r="G669" s="8" t="n">
        <v>87.6083084396155</v>
      </c>
    </row>
    <row r="670" customFormat="false" ht="14.35" hidden="false" customHeight="false" outlineLevel="0" collapsed="false">
      <c r="A670" s="4" t="n">
        <v>28125</v>
      </c>
      <c r="B670" s="5" t="n">
        <v>1200</v>
      </c>
      <c r="C670" s="6" t="n">
        <v>1200</v>
      </c>
      <c r="D670" s="7" t="n">
        <v>800</v>
      </c>
      <c r="E670" s="6" t="n">
        <v>994.031430809885</v>
      </c>
      <c r="F670" s="5" t="n">
        <v>3500.00000000001</v>
      </c>
      <c r="G670" s="8" t="n">
        <v>85.1049679611767</v>
      </c>
    </row>
    <row r="671" customFormat="false" ht="14.35" hidden="false" customHeight="false" outlineLevel="0" collapsed="false">
      <c r="A671" s="4" t="n">
        <v>28156</v>
      </c>
      <c r="B671" s="5" t="n">
        <v>1291.99925485868</v>
      </c>
      <c r="C671" s="6" t="n">
        <v>1200</v>
      </c>
      <c r="D671" s="7" t="n">
        <v>800</v>
      </c>
      <c r="E671" s="6" t="n">
        <v>938.007992351326</v>
      </c>
      <c r="F671" s="5" t="n">
        <v>10774.5045124332</v>
      </c>
      <c r="G671" s="8" t="n">
        <v>87.5446075148913</v>
      </c>
    </row>
    <row r="672" customFormat="false" ht="14.35" hidden="false" customHeight="false" outlineLevel="0" collapsed="false">
      <c r="A672" s="4" t="n">
        <v>28184</v>
      </c>
      <c r="B672" s="5" t="n">
        <v>1200</v>
      </c>
      <c r="C672" s="6" t="n">
        <v>1200</v>
      </c>
      <c r="D672" s="7" t="n">
        <v>800</v>
      </c>
      <c r="E672" s="6" t="n">
        <v>921.463337318888</v>
      </c>
      <c r="F672" s="5" t="n">
        <v>7387.5</v>
      </c>
      <c r="G672" s="8" t="n">
        <v>79.7253098682233</v>
      </c>
    </row>
    <row r="673" customFormat="false" ht="14.35" hidden="false" customHeight="false" outlineLevel="0" collapsed="false">
      <c r="A673" s="4" t="n">
        <v>28215</v>
      </c>
      <c r="B673" s="5" t="n">
        <v>1000</v>
      </c>
      <c r="C673" s="6" t="n">
        <v>1000</v>
      </c>
      <c r="D673" s="7" t="n">
        <v>800</v>
      </c>
      <c r="E673" s="6" t="n">
        <v>904.451762310602</v>
      </c>
      <c r="F673" s="5" t="n">
        <v>7238.7095</v>
      </c>
      <c r="G673" s="8" t="n">
        <v>80.0549758076572</v>
      </c>
    </row>
    <row r="674" customFormat="false" ht="14.35" hidden="false" customHeight="false" outlineLevel="0" collapsed="false">
      <c r="A674" s="4" t="n">
        <v>28245</v>
      </c>
      <c r="B674" s="5" t="n">
        <v>1238.07628238668</v>
      </c>
      <c r="C674" s="6" t="n">
        <v>750</v>
      </c>
      <c r="D674" s="7" t="n">
        <v>700</v>
      </c>
      <c r="E674" s="6" t="n">
        <v>776.644875639114</v>
      </c>
      <c r="F674" s="5" t="n">
        <v>7100</v>
      </c>
      <c r="G674" s="8" t="n">
        <v>80.3190018056901</v>
      </c>
    </row>
    <row r="675" customFormat="false" ht="14.35" hidden="false" customHeight="false" outlineLevel="0" collapsed="false">
      <c r="A675" s="4" t="n">
        <v>28276</v>
      </c>
      <c r="B675" s="5" t="n">
        <v>776.030854088971</v>
      </c>
      <c r="C675" s="6" t="n">
        <v>750</v>
      </c>
      <c r="D675" s="7" t="n">
        <v>700</v>
      </c>
      <c r="E675" s="6" t="n">
        <v>731.131931020728</v>
      </c>
      <c r="F675" s="5" t="n">
        <v>4000.00000000006</v>
      </c>
      <c r="G675" s="8" t="n">
        <v>80.5538589370136</v>
      </c>
    </row>
    <row r="676" customFormat="false" ht="14.35" hidden="false" customHeight="false" outlineLevel="0" collapsed="false">
      <c r="A676" s="4" t="n">
        <v>28306</v>
      </c>
      <c r="B676" s="5" t="n">
        <v>2204.45501119461</v>
      </c>
      <c r="C676" s="6" t="n">
        <v>750</v>
      </c>
      <c r="D676" s="7" t="n">
        <v>700</v>
      </c>
      <c r="E676" s="6" t="n">
        <v>533.255863351381</v>
      </c>
      <c r="F676" s="5" t="n">
        <v>4000</v>
      </c>
      <c r="G676" s="8" t="n">
        <v>85.0291961126144</v>
      </c>
    </row>
    <row r="677" customFormat="false" ht="14.35" hidden="false" customHeight="false" outlineLevel="0" collapsed="false">
      <c r="A677" s="4" t="n">
        <v>28337</v>
      </c>
      <c r="B677" s="5" t="n">
        <v>2263.03767867637</v>
      </c>
      <c r="C677" s="6" t="n">
        <v>750</v>
      </c>
      <c r="D677" s="7" t="n">
        <v>700</v>
      </c>
      <c r="E677" s="6" t="n">
        <v>323.824184127067</v>
      </c>
      <c r="F677" s="5" t="n">
        <v>4000</v>
      </c>
      <c r="G677" s="8" t="n">
        <v>86.4962116387765</v>
      </c>
    </row>
    <row r="678" customFormat="false" ht="14.35" hidden="false" customHeight="false" outlineLevel="0" collapsed="false">
      <c r="A678" s="4" t="n">
        <v>28368</v>
      </c>
      <c r="B678" s="5" t="n">
        <v>2664.65116612333</v>
      </c>
      <c r="C678" s="6" t="n">
        <v>750</v>
      </c>
      <c r="D678" s="7" t="n">
        <v>700</v>
      </c>
      <c r="E678" s="6" t="n">
        <v>171.810851945582</v>
      </c>
      <c r="F678" s="5" t="n">
        <v>4124.44400251198</v>
      </c>
      <c r="G678" s="8" t="n">
        <v>86.9770993282524</v>
      </c>
    </row>
    <row r="679" customFormat="false" ht="14.35" hidden="false" customHeight="false" outlineLevel="0" collapsed="false">
      <c r="A679" s="4" t="n">
        <v>28398</v>
      </c>
      <c r="B679" s="5" t="n">
        <v>1655.12469310436</v>
      </c>
      <c r="C679" s="6" t="n">
        <v>750</v>
      </c>
      <c r="D679" s="7" t="n">
        <v>773.3333333</v>
      </c>
      <c r="E679" s="6" t="n">
        <v>147.958471819792</v>
      </c>
      <c r="F679" s="5" t="n">
        <v>3000</v>
      </c>
      <c r="G679" s="8" t="n">
        <v>86.8998936455372</v>
      </c>
    </row>
    <row r="680" customFormat="false" ht="14.35" hidden="false" customHeight="false" outlineLevel="0" collapsed="false">
      <c r="A680" s="4" t="n">
        <v>28429</v>
      </c>
      <c r="B680" s="5" t="n">
        <v>2058.12596611901</v>
      </c>
      <c r="C680" s="6" t="n">
        <v>900</v>
      </c>
      <c r="D680" s="7" t="n">
        <v>800</v>
      </c>
      <c r="E680" s="6" t="n">
        <v>68.9658079403941</v>
      </c>
      <c r="F680" s="5" t="n">
        <v>3154.01335183129</v>
      </c>
      <c r="G680" s="8" t="n">
        <v>89.314594991205</v>
      </c>
    </row>
    <row r="681" customFormat="false" ht="14.35" hidden="false" customHeight="false" outlineLevel="0" collapsed="false">
      <c r="A681" s="4" t="n">
        <v>28459</v>
      </c>
      <c r="B681" s="5" t="n">
        <v>900</v>
      </c>
      <c r="C681" s="6" t="n">
        <v>900</v>
      </c>
      <c r="D681" s="7" t="n">
        <v>800</v>
      </c>
      <c r="E681" s="6" t="n">
        <v>93.135384248566</v>
      </c>
      <c r="F681" s="5" t="n">
        <v>4361.06336077091</v>
      </c>
      <c r="G681" s="8" t="n">
        <v>89.7223829779494</v>
      </c>
    </row>
    <row r="682" customFormat="false" ht="14.35" hidden="false" customHeight="false" outlineLevel="0" collapsed="false">
      <c r="A682" s="4" t="n">
        <v>28490</v>
      </c>
      <c r="B682" s="5" t="n">
        <v>900</v>
      </c>
      <c r="C682" s="6" t="n">
        <v>900</v>
      </c>
      <c r="D682" s="7" t="n">
        <v>800</v>
      </c>
      <c r="E682" s="6" t="n">
        <v>297.203971094863</v>
      </c>
      <c r="F682" s="5" t="n">
        <v>11077.0112247092</v>
      </c>
      <c r="G682" s="8" t="n">
        <v>87.3721913424341</v>
      </c>
    </row>
    <row r="683" customFormat="false" ht="14.35" hidden="false" customHeight="false" outlineLevel="0" collapsed="false">
      <c r="A683" s="4" t="n">
        <v>28521</v>
      </c>
      <c r="B683" s="5" t="n">
        <v>900</v>
      </c>
      <c r="C683" s="6" t="n">
        <v>900</v>
      </c>
      <c r="D683" s="7" t="n">
        <v>800</v>
      </c>
      <c r="E683" s="6" t="n">
        <v>1201.62922283328</v>
      </c>
      <c r="F683" s="5" t="n">
        <v>66179.6722317353</v>
      </c>
      <c r="G683" s="8" t="n">
        <v>79.4565455062273</v>
      </c>
    </row>
    <row r="684" customFormat="false" ht="14.35" hidden="false" customHeight="false" outlineLevel="0" collapsed="false">
      <c r="A684" s="4" t="n">
        <v>28549</v>
      </c>
      <c r="B684" s="5" t="n">
        <v>900</v>
      </c>
      <c r="C684" s="6" t="n">
        <v>900</v>
      </c>
      <c r="D684" s="7" t="n">
        <v>800</v>
      </c>
      <c r="E684" s="6" t="n">
        <v>1668.73656378767</v>
      </c>
      <c r="F684" s="5" t="n">
        <v>53579.006360523</v>
      </c>
      <c r="G684" s="8" t="n">
        <v>63.1600662169495</v>
      </c>
    </row>
    <row r="685" customFormat="false" ht="14.35" hidden="false" customHeight="false" outlineLevel="0" collapsed="false">
      <c r="A685" s="4" t="n">
        <v>28580</v>
      </c>
      <c r="B685" s="5" t="n">
        <v>799.999999999999</v>
      </c>
      <c r="C685" s="6" t="n">
        <v>750</v>
      </c>
      <c r="D685" s="7" t="n">
        <v>800</v>
      </c>
      <c r="E685" s="6" t="n">
        <v>2543.88307210869</v>
      </c>
      <c r="F685" s="5" t="n">
        <v>66725.633486294</v>
      </c>
      <c r="G685" s="8" t="n">
        <v>59.4371140412919</v>
      </c>
    </row>
    <row r="686" customFormat="false" ht="14.35" hidden="false" customHeight="false" outlineLevel="0" collapsed="false">
      <c r="A686" s="4" t="n">
        <v>28610</v>
      </c>
      <c r="B686" s="5" t="n">
        <v>1000</v>
      </c>
      <c r="C686" s="6" t="n">
        <v>1000</v>
      </c>
      <c r="D686" s="7" t="n">
        <v>700</v>
      </c>
      <c r="E686" s="6" t="n">
        <v>3061.25110287285</v>
      </c>
      <c r="F686" s="5" t="n">
        <v>45557.6435900053</v>
      </c>
      <c r="G686" s="8" t="n">
        <v>56.5347197284329</v>
      </c>
    </row>
    <row r="687" customFormat="false" ht="14.35" hidden="false" customHeight="false" outlineLevel="0" collapsed="false">
      <c r="A687" s="4" t="n">
        <v>28641</v>
      </c>
      <c r="B687" s="5" t="n">
        <v>1000</v>
      </c>
      <c r="C687" s="6" t="n">
        <v>1000</v>
      </c>
      <c r="D687" s="7" t="n">
        <v>700</v>
      </c>
      <c r="E687" s="6" t="n">
        <v>3378.48380714091</v>
      </c>
      <c r="F687" s="5" t="n">
        <v>25800.4883036002</v>
      </c>
      <c r="G687" s="8" t="n">
        <v>58.5084750173638</v>
      </c>
    </row>
    <row r="688" customFormat="false" ht="14.35" hidden="false" customHeight="false" outlineLevel="0" collapsed="false">
      <c r="A688" s="4" t="n">
        <v>28671</v>
      </c>
      <c r="B688" s="5" t="n">
        <v>1000</v>
      </c>
      <c r="C688" s="6" t="n">
        <v>1000</v>
      </c>
      <c r="D688" s="7" t="n">
        <v>700</v>
      </c>
      <c r="E688" s="6" t="n">
        <v>3413.64086941029</v>
      </c>
      <c r="F688" s="5" t="n">
        <v>11247.9230837755</v>
      </c>
      <c r="G688" s="8" t="n">
        <v>63.5138452245882</v>
      </c>
    </row>
    <row r="689" customFormat="false" ht="14.35" hidden="false" customHeight="false" outlineLevel="0" collapsed="false">
      <c r="A689" s="4" t="n">
        <v>28702</v>
      </c>
      <c r="B689" s="5" t="n">
        <v>6978.52883994546</v>
      </c>
      <c r="C689" s="6" t="n">
        <v>1000</v>
      </c>
      <c r="D689" s="7" t="n">
        <v>700</v>
      </c>
      <c r="E689" s="6" t="n">
        <v>2912.89311683292</v>
      </c>
      <c r="F689" s="5" t="n">
        <v>8000</v>
      </c>
      <c r="G689" s="8" t="n">
        <v>71.5184117012632</v>
      </c>
    </row>
    <row r="690" customFormat="false" ht="14.35" hidden="false" customHeight="false" outlineLevel="0" collapsed="false">
      <c r="A690" s="4" t="n">
        <v>28733</v>
      </c>
      <c r="B690" s="5" t="n">
        <v>5757.19542893887</v>
      </c>
      <c r="C690" s="6" t="n">
        <v>1000</v>
      </c>
      <c r="D690" s="7" t="n">
        <v>700</v>
      </c>
      <c r="E690" s="6" t="n">
        <v>2579.18916375899</v>
      </c>
      <c r="F690" s="5" t="n">
        <v>4000</v>
      </c>
      <c r="G690" s="8" t="n">
        <v>76.7541970852663</v>
      </c>
    </row>
    <row r="691" customFormat="false" ht="14.35" hidden="false" customHeight="false" outlineLevel="0" collapsed="false">
      <c r="A691" s="4" t="n">
        <v>28763</v>
      </c>
      <c r="B691" s="5" t="n">
        <v>7342.19119825728</v>
      </c>
      <c r="C691" s="6" t="n">
        <v>1000</v>
      </c>
      <c r="D691" s="7" t="n">
        <v>773.3333333</v>
      </c>
      <c r="E691" s="6" t="n">
        <v>2227.44405008608</v>
      </c>
      <c r="F691" s="5" t="n">
        <v>11562.5</v>
      </c>
      <c r="G691" s="8" t="n">
        <v>83.7836669576118</v>
      </c>
    </row>
    <row r="692" customFormat="false" ht="14.35" hidden="false" customHeight="false" outlineLevel="0" collapsed="false">
      <c r="A692" s="4" t="n">
        <v>28794</v>
      </c>
      <c r="B692" s="5" t="n">
        <v>4000</v>
      </c>
      <c r="C692" s="6" t="n">
        <v>1200</v>
      </c>
      <c r="D692" s="7" t="n">
        <v>800</v>
      </c>
      <c r="E692" s="6" t="n">
        <v>1983.09955656879</v>
      </c>
      <c r="F692" s="5" t="n">
        <v>5937.5</v>
      </c>
      <c r="G692" s="8" t="n">
        <v>77.951422716269</v>
      </c>
    </row>
    <row r="693" customFormat="false" ht="14.35" hidden="false" customHeight="false" outlineLevel="0" collapsed="false">
      <c r="A693" s="4" t="n">
        <v>28824</v>
      </c>
      <c r="B693" s="5" t="n">
        <v>2500</v>
      </c>
      <c r="C693" s="6" t="n">
        <v>1200</v>
      </c>
      <c r="D693" s="7" t="n">
        <v>800</v>
      </c>
      <c r="E693" s="6" t="n">
        <v>1843.83036847996</v>
      </c>
      <c r="F693" s="5" t="n">
        <v>10625</v>
      </c>
      <c r="G693" s="8" t="n">
        <v>81.1483724269219</v>
      </c>
    </row>
    <row r="694" customFormat="false" ht="14.35" hidden="false" customHeight="false" outlineLevel="0" collapsed="false">
      <c r="A694" s="4" t="n">
        <v>28855</v>
      </c>
      <c r="B694" s="5" t="n">
        <v>5293.98104121409</v>
      </c>
      <c r="C694" s="6" t="n">
        <v>1200</v>
      </c>
      <c r="D694" s="7" t="n">
        <v>800</v>
      </c>
      <c r="E694" s="6" t="n">
        <v>1558.90056650427</v>
      </c>
      <c r="F694" s="5" t="n">
        <v>4792.65039735509</v>
      </c>
      <c r="G694" s="8" t="n">
        <v>77.7357307130955</v>
      </c>
    </row>
    <row r="695" customFormat="false" ht="14.35" hidden="false" customHeight="false" outlineLevel="0" collapsed="false">
      <c r="A695" s="4" t="n">
        <v>28886</v>
      </c>
      <c r="B695" s="5" t="n">
        <v>1200</v>
      </c>
      <c r="C695" s="6" t="n">
        <v>1200</v>
      </c>
      <c r="D695" s="7" t="n">
        <v>800</v>
      </c>
      <c r="E695" s="6" t="n">
        <v>1737.28683425988</v>
      </c>
      <c r="F695" s="5" t="n">
        <v>21046.3846684006</v>
      </c>
      <c r="G695" s="8" t="n">
        <v>82.7196105352057</v>
      </c>
    </row>
    <row r="696" customFormat="false" ht="14.35" hidden="false" customHeight="false" outlineLevel="0" collapsed="false">
      <c r="A696" s="4" t="n">
        <v>28914</v>
      </c>
      <c r="B696" s="5" t="n">
        <v>1200</v>
      </c>
      <c r="C696" s="6" t="n">
        <v>1200</v>
      </c>
      <c r="D696" s="7" t="n">
        <v>800</v>
      </c>
      <c r="E696" s="6" t="n">
        <v>2052.59314067932</v>
      </c>
      <c r="F696" s="5" t="n">
        <v>37188.8453532578</v>
      </c>
      <c r="G696" s="8" t="n">
        <v>73.0114053911935</v>
      </c>
    </row>
    <row r="697" customFormat="false" ht="14.35" hidden="false" customHeight="false" outlineLevel="0" collapsed="false">
      <c r="A697" s="4" t="n">
        <v>28945</v>
      </c>
      <c r="B697" s="5" t="n">
        <v>1000</v>
      </c>
      <c r="C697" s="6" t="n">
        <v>1000</v>
      </c>
      <c r="D697" s="7" t="n">
        <v>800</v>
      </c>
      <c r="E697" s="6" t="n">
        <v>2420.60678337734</v>
      </c>
      <c r="F697" s="5" t="n">
        <v>28639.8576503324</v>
      </c>
      <c r="G697" s="8" t="n">
        <v>65.4653546292029</v>
      </c>
    </row>
    <row r="698" customFormat="false" ht="14.35" hidden="false" customHeight="false" outlineLevel="0" collapsed="false">
      <c r="A698" s="4" t="n">
        <v>28975</v>
      </c>
      <c r="B698" s="5" t="n">
        <v>1000</v>
      </c>
      <c r="C698" s="6" t="n">
        <v>1000</v>
      </c>
      <c r="D698" s="7" t="n">
        <v>700</v>
      </c>
      <c r="E698" s="6" t="n">
        <v>2646.03218698872</v>
      </c>
      <c r="F698" s="5" t="n">
        <v>22664.0247691882</v>
      </c>
      <c r="G698" s="8" t="n">
        <v>64.9940076557777</v>
      </c>
    </row>
    <row r="699" customFormat="false" ht="14.35" hidden="false" customHeight="false" outlineLevel="0" collapsed="false">
      <c r="A699" s="4" t="n">
        <v>29006</v>
      </c>
      <c r="B699" s="5" t="n">
        <v>1000.00000000003</v>
      </c>
      <c r="C699" s="6" t="n">
        <v>1000</v>
      </c>
      <c r="D699" s="7" t="n">
        <v>700</v>
      </c>
      <c r="E699" s="6" t="n">
        <v>2930.96931200908</v>
      </c>
      <c r="F699" s="5" t="n">
        <v>18400.8782135664</v>
      </c>
      <c r="G699" s="8" t="n">
        <v>66.6333370215718</v>
      </c>
    </row>
    <row r="700" customFormat="false" ht="14.35" hidden="false" customHeight="false" outlineLevel="0" collapsed="false">
      <c r="A700" s="4" t="n">
        <v>29036</v>
      </c>
      <c r="B700" s="5" t="n">
        <v>3632.37381824171</v>
      </c>
      <c r="C700" s="6" t="n">
        <v>1000</v>
      </c>
      <c r="D700" s="7" t="n">
        <v>700</v>
      </c>
      <c r="E700" s="6" t="n">
        <v>2698.47064730529</v>
      </c>
      <c r="F700" s="5" t="n">
        <v>8596.667</v>
      </c>
      <c r="G700" s="8" t="n">
        <v>68.7680074513082</v>
      </c>
    </row>
    <row r="701" customFormat="false" ht="14.35" hidden="false" customHeight="false" outlineLevel="0" collapsed="false">
      <c r="A701" s="4" t="n">
        <v>29067</v>
      </c>
      <c r="B701" s="5" t="n">
        <v>8677.36313536867</v>
      </c>
      <c r="C701" s="6" t="n">
        <v>1000</v>
      </c>
      <c r="D701" s="7" t="n">
        <v>700</v>
      </c>
      <c r="E701" s="6" t="n">
        <v>2129.22384694643</v>
      </c>
      <c r="F701" s="5" t="n">
        <v>6500</v>
      </c>
      <c r="G701" s="8" t="n">
        <v>75.3012265023865</v>
      </c>
    </row>
    <row r="702" customFormat="false" ht="14.35" hidden="false" customHeight="false" outlineLevel="0" collapsed="false">
      <c r="A702" s="4" t="n">
        <v>29098</v>
      </c>
      <c r="B702" s="5" t="n">
        <v>7037.51489497846</v>
      </c>
      <c r="C702" s="6" t="n">
        <v>1000</v>
      </c>
      <c r="D702" s="7" t="n">
        <v>700</v>
      </c>
      <c r="E702" s="6" t="n">
        <v>1692.61003371892</v>
      </c>
      <c r="F702" s="5" t="n">
        <v>4000.00000000008</v>
      </c>
      <c r="G702" s="8" t="n">
        <v>79.5858213027359</v>
      </c>
    </row>
    <row r="703" customFormat="false" ht="14.35" hidden="false" customHeight="false" outlineLevel="0" collapsed="false">
      <c r="A703" s="4" t="n">
        <v>29128</v>
      </c>
      <c r="B703" s="5" t="n">
        <v>2184.91945940823</v>
      </c>
      <c r="C703" s="6" t="n">
        <v>1000</v>
      </c>
      <c r="D703" s="7" t="n">
        <v>773.3333333</v>
      </c>
      <c r="E703" s="6" t="n">
        <v>1542.86370446567</v>
      </c>
      <c r="F703" s="5" t="n">
        <v>3252.64285556211</v>
      </c>
      <c r="G703" s="8" t="n">
        <v>84.7118733760981</v>
      </c>
    </row>
    <row r="704" customFormat="false" ht="14.35" hidden="false" customHeight="false" outlineLevel="0" collapsed="false">
      <c r="A704" s="4" t="n">
        <v>29159</v>
      </c>
      <c r="B704" s="5" t="n">
        <v>2177.33142635328</v>
      </c>
      <c r="C704" s="6" t="n">
        <v>1700</v>
      </c>
      <c r="D704" s="7" t="n">
        <v>800</v>
      </c>
      <c r="E704" s="6" t="n">
        <v>1534.4174965135</v>
      </c>
      <c r="F704" s="5" t="n">
        <v>4000</v>
      </c>
      <c r="G704" s="8" t="n">
        <v>87.9775799892543</v>
      </c>
    </row>
    <row r="705" customFormat="false" ht="14.35" hidden="false" customHeight="false" outlineLevel="0" collapsed="false">
      <c r="A705" s="4" t="n">
        <v>29189</v>
      </c>
      <c r="B705" s="5" t="n">
        <v>1700</v>
      </c>
      <c r="C705" s="6" t="n">
        <v>1700</v>
      </c>
      <c r="D705" s="7" t="n">
        <v>800</v>
      </c>
      <c r="E705" s="6" t="n">
        <v>1479.82067350304</v>
      </c>
      <c r="F705" s="5" t="n">
        <v>8367.69757123757</v>
      </c>
      <c r="G705" s="8" t="n">
        <v>87.4626918735391</v>
      </c>
    </row>
    <row r="706" customFormat="false" ht="14.35" hidden="false" customHeight="false" outlineLevel="0" collapsed="false">
      <c r="A706" s="4" t="n">
        <v>29220</v>
      </c>
      <c r="B706" s="5" t="n">
        <v>1700</v>
      </c>
      <c r="C706" s="6" t="n">
        <v>1700</v>
      </c>
      <c r="D706" s="7" t="n">
        <v>800</v>
      </c>
      <c r="E706" s="6" t="n">
        <v>1530.64140000061</v>
      </c>
      <c r="F706" s="5" t="n">
        <v>11701.4282038901</v>
      </c>
      <c r="G706" s="8" t="n">
        <v>81.6362749310897</v>
      </c>
    </row>
    <row r="707" customFormat="false" ht="14.35" hidden="false" customHeight="false" outlineLevel="0" collapsed="false">
      <c r="A707" s="4" t="n">
        <v>29251</v>
      </c>
      <c r="B707" s="5" t="n">
        <v>1700</v>
      </c>
      <c r="C707" s="6" t="n">
        <v>1700</v>
      </c>
      <c r="D707" s="7" t="n">
        <v>800</v>
      </c>
      <c r="E707" s="6" t="n">
        <v>2623.70658741448</v>
      </c>
      <c r="F707" s="5" t="n">
        <v>98434.88970585</v>
      </c>
      <c r="G707" s="8" t="n">
        <v>77.1559548267168</v>
      </c>
    </row>
    <row r="708" customFormat="false" ht="14.35" hidden="false" customHeight="false" outlineLevel="0" collapsed="false">
      <c r="A708" s="4" t="n">
        <v>29280</v>
      </c>
      <c r="B708" s="5" t="n">
        <v>14849.7358783277</v>
      </c>
      <c r="C708" s="6" t="n">
        <v>1700</v>
      </c>
      <c r="D708" s="7" t="n">
        <v>800</v>
      </c>
      <c r="E708" s="6" t="n">
        <v>2788</v>
      </c>
      <c r="F708" s="5" t="n">
        <v>127498.079635509</v>
      </c>
      <c r="G708" s="8" t="n">
        <v>59.3626411006489</v>
      </c>
    </row>
    <row r="709" customFormat="false" ht="14.35" hidden="false" customHeight="false" outlineLevel="0" collapsed="false">
      <c r="A709" s="4" t="n">
        <v>29311</v>
      </c>
      <c r="B709" s="5" t="n">
        <v>5309.54123567003</v>
      </c>
      <c r="C709" s="6" t="n">
        <v>1700</v>
      </c>
      <c r="D709" s="7" t="n">
        <v>800</v>
      </c>
      <c r="E709" s="6" t="n">
        <v>3028</v>
      </c>
      <c r="F709" s="5" t="n">
        <v>65830.8323322271</v>
      </c>
      <c r="G709" s="8" t="n">
        <v>51.5469344447492</v>
      </c>
    </row>
    <row r="710" customFormat="false" ht="14.35" hidden="false" customHeight="false" outlineLevel="0" collapsed="false">
      <c r="A710" s="4" t="n">
        <v>29341</v>
      </c>
      <c r="B710" s="5" t="n">
        <v>1000</v>
      </c>
      <c r="C710" s="6" t="n">
        <v>1000</v>
      </c>
      <c r="D710" s="7" t="n">
        <v>700</v>
      </c>
      <c r="E710" s="6" t="n">
        <v>3295.21934561336</v>
      </c>
      <c r="F710" s="5" t="n">
        <v>23979.1292019071</v>
      </c>
      <c r="G710" s="8" t="n">
        <v>54.0518071517992</v>
      </c>
    </row>
    <row r="711" customFormat="false" ht="14.35" hidden="false" customHeight="false" outlineLevel="0" collapsed="false">
      <c r="A711" s="4" t="n">
        <v>29372</v>
      </c>
      <c r="B711" s="5" t="n">
        <v>1000</v>
      </c>
      <c r="C711" s="6" t="n">
        <v>1000</v>
      </c>
      <c r="D711" s="7" t="n">
        <v>700</v>
      </c>
      <c r="E711" s="6" t="n">
        <v>3492.93635924273</v>
      </c>
      <c r="F711" s="5" t="n">
        <v>18307.205073788</v>
      </c>
      <c r="G711" s="8" t="n">
        <v>62.6141227381506</v>
      </c>
    </row>
    <row r="712" customFormat="false" ht="14.35" hidden="false" customHeight="false" outlineLevel="0" collapsed="false">
      <c r="A712" s="4" t="n">
        <v>29402</v>
      </c>
      <c r="B712" s="5" t="n">
        <v>1000</v>
      </c>
      <c r="C712" s="6" t="n">
        <v>1000</v>
      </c>
      <c r="D712" s="7" t="n">
        <v>700</v>
      </c>
      <c r="E712" s="6" t="n">
        <v>3465.58063557925</v>
      </c>
      <c r="F712" s="5" t="n">
        <v>10424.1305446073</v>
      </c>
      <c r="G712" s="8" t="n">
        <v>67.4896303137404</v>
      </c>
    </row>
    <row r="713" customFormat="false" ht="14.35" hidden="false" customHeight="false" outlineLevel="0" collapsed="false">
      <c r="A713" s="4" t="n">
        <v>29433</v>
      </c>
      <c r="B713" s="5" t="n">
        <v>5633.88979887802</v>
      </c>
      <c r="C713" s="6" t="n">
        <v>1000</v>
      </c>
      <c r="D713" s="7" t="n">
        <v>700</v>
      </c>
      <c r="E713" s="6" t="n">
        <v>3110.13978606726</v>
      </c>
      <c r="F713" s="5" t="n">
        <v>8000</v>
      </c>
      <c r="G713" s="8" t="n">
        <v>73.404697613618</v>
      </c>
    </row>
    <row r="714" customFormat="false" ht="14.35" hidden="false" customHeight="false" outlineLevel="0" collapsed="false">
      <c r="A714" s="4" t="n">
        <v>29464</v>
      </c>
      <c r="B714" s="5" t="n">
        <v>4483.55392437415</v>
      </c>
      <c r="C714" s="6" t="n">
        <v>1000</v>
      </c>
      <c r="D714" s="7" t="n">
        <v>700</v>
      </c>
      <c r="E714" s="6" t="n">
        <v>2814.09651015241</v>
      </c>
      <c r="F714" s="5" t="n">
        <v>3999.99999999999</v>
      </c>
      <c r="G714" s="8" t="n">
        <v>77.3725216073362</v>
      </c>
    </row>
    <row r="715" customFormat="false" ht="14.35" hidden="false" customHeight="false" outlineLevel="0" collapsed="false">
      <c r="A715" s="4" t="n">
        <v>29494</v>
      </c>
      <c r="B715" s="5" t="n">
        <v>7357.39784167077</v>
      </c>
      <c r="C715" s="6" t="n">
        <v>1000</v>
      </c>
      <c r="D715" s="7" t="n">
        <v>773.3333333</v>
      </c>
      <c r="E715" s="6" t="n">
        <v>2382.83038877982</v>
      </c>
      <c r="F715" s="5" t="n">
        <v>11718.75</v>
      </c>
      <c r="G715" s="8" t="n">
        <v>83.9863537359463</v>
      </c>
    </row>
    <row r="716" customFormat="false" ht="14.35" hidden="false" customHeight="false" outlineLevel="0" collapsed="false">
      <c r="A716" s="4" t="n">
        <v>29525</v>
      </c>
      <c r="B716" s="5" t="n">
        <v>4000</v>
      </c>
      <c r="C716" s="6" t="n">
        <v>1700</v>
      </c>
      <c r="D716" s="7" t="n">
        <v>800</v>
      </c>
      <c r="E716" s="6" t="n">
        <v>2131.64357480255</v>
      </c>
      <c r="F716" s="5" t="n">
        <v>6093.75</v>
      </c>
      <c r="G716" s="8" t="n">
        <v>77.9149719965953</v>
      </c>
    </row>
    <row r="717" customFormat="false" ht="14.35" hidden="false" customHeight="false" outlineLevel="0" collapsed="false">
      <c r="A717" s="4" t="n">
        <v>29555</v>
      </c>
      <c r="B717" s="5" t="n">
        <v>2500</v>
      </c>
      <c r="C717" s="6" t="n">
        <v>1700</v>
      </c>
      <c r="D717" s="7" t="n">
        <v>800</v>
      </c>
      <c r="E717" s="6" t="n">
        <v>1980.77745352489</v>
      </c>
      <c r="F717" s="5" t="n">
        <v>10312.5</v>
      </c>
      <c r="G717" s="8" t="n">
        <v>80.9373140472819</v>
      </c>
    </row>
    <row r="718" customFormat="false" ht="14.35" hidden="false" customHeight="false" outlineLevel="0" collapsed="false">
      <c r="A718" s="4" t="n">
        <v>29586</v>
      </c>
      <c r="B718" s="5" t="n">
        <v>4010.71532810796</v>
      </c>
      <c r="C718" s="6" t="n">
        <v>1700</v>
      </c>
      <c r="D718" s="7" t="n">
        <v>800</v>
      </c>
      <c r="E718" s="6" t="n">
        <v>1886.4127211047</v>
      </c>
      <c r="F718" s="5" t="n">
        <v>5152.40340086579</v>
      </c>
      <c r="G718" s="8" t="n">
        <v>77.8953776232006</v>
      </c>
    </row>
    <row r="719" customFormat="false" ht="14.35" hidden="false" customHeight="false" outlineLevel="0" collapsed="false">
      <c r="A719" s="4" t="n">
        <v>29617</v>
      </c>
      <c r="B719" s="5" t="n">
        <v>1829.38043666408</v>
      </c>
      <c r="C719" s="6" t="n">
        <v>1700</v>
      </c>
      <c r="D719" s="7" t="n">
        <v>800</v>
      </c>
      <c r="E719" s="6" t="n">
        <v>2012.22585698868</v>
      </c>
      <c r="F719" s="5" t="n">
        <v>18953.1414405581</v>
      </c>
      <c r="G719" s="8" t="n">
        <v>82.2171307873628</v>
      </c>
    </row>
    <row r="720" customFormat="false" ht="14.35" hidden="false" customHeight="false" outlineLevel="0" collapsed="false">
      <c r="A720" s="4" t="n">
        <v>29645</v>
      </c>
      <c r="B720" s="5" t="n">
        <v>1700</v>
      </c>
      <c r="C720" s="6" t="n">
        <v>1700</v>
      </c>
      <c r="D720" s="7" t="n">
        <v>800</v>
      </c>
      <c r="E720" s="6" t="n">
        <v>2251.38718674086</v>
      </c>
      <c r="F720" s="5" t="n">
        <v>23111.8270538628</v>
      </c>
      <c r="G720" s="8" t="n">
        <v>73.6497022284921</v>
      </c>
    </row>
    <row r="721" customFormat="false" ht="14.35" hidden="false" customHeight="false" outlineLevel="0" collapsed="false">
      <c r="A721" s="4" t="n">
        <v>29676</v>
      </c>
      <c r="B721" s="5" t="n">
        <v>1700</v>
      </c>
      <c r="C721" s="6" t="n">
        <v>1700</v>
      </c>
      <c r="D721" s="7" t="n">
        <v>800</v>
      </c>
      <c r="E721" s="6" t="n">
        <v>2523.90291528304</v>
      </c>
      <c r="F721" s="5" t="n">
        <v>19771.391536073</v>
      </c>
      <c r="G721" s="8" t="n">
        <v>69.3206973658605</v>
      </c>
    </row>
    <row r="722" customFormat="false" ht="14.35" hidden="false" customHeight="false" outlineLevel="0" collapsed="false">
      <c r="A722" s="4" t="n">
        <v>29706</v>
      </c>
      <c r="B722" s="5" t="n">
        <v>1000</v>
      </c>
      <c r="C722" s="6" t="n">
        <v>1000</v>
      </c>
      <c r="D722" s="7" t="n">
        <v>700</v>
      </c>
      <c r="E722" s="6" t="n">
        <v>2689.147960164</v>
      </c>
      <c r="F722" s="5" t="n">
        <v>16402.4312382479</v>
      </c>
      <c r="G722" s="8" t="n">
        <v>69.0982673706107</v>
      </c>
    </row>
    <row r="723" customFormat="false" ht="14.35" hidden="false" customHeight="false" outlineLevel="0" collapsed="false">
      <c r="A723" s="4" t="n">
        <v>29737</v>
      </c>
      <c r="B723" s="5" t="n">
        <v>1000</v>
      </c>
      <c r="C723" s="6" t="n">
        <v>1000</v>
      </c>
      <c r="D723" s="7" t="n">
        <v>700</v>
      </c>
      <c r="E723" s="6" t="n">
        <v>2675.25435961492</v>
      </c>
      <c r="F723" s="5" t="n">
        <v>8280.74316715863</v>
      </c>
      <c r="G723" s="8" t="n">
        <v>70.4572818587586</v>
      </c>
    </row>
    <row r="724" customFormat="false" ht="14.35" hidden="false" customHeight="false" outlineLevel="0" collapsed="false">
      <c r="A724" s="4" t="n">
        <v>29767</v>
      </c>
      <c r="B724" s="5" t="n">
        <v>5618.479783638</v>
      </c>
      <c r="C724" s="6" t="n">
        <v>1000</v>
      </c>
      <c r="D724" s="7" t="n">
        <v>700</v>
      </c>
      <c r="E724" s="6" t="n">
        <v>2290.46934625274</v>
      </c>
      <c r="F724" s="5" t="n">
        <v>7100</v>
      </c>
      <c r="G724" s="8" t="n">
        <v>76.1419735850613</v>
      </c>
    </row>
    <row r="725" customFormat="false" ht="14.35" hidden="false" customHeight="false" outlineLevel="0" collapsed="false">
      <c r="A725" s="4" t="n">
        <v>29798</v>
      </c>
      <c r="B725" s="5" t="n">
        <v>10000</v>
      </c>
      <c r="C725" s="6" t="n">
        <v>1000</v>
      </c>
      <c r="D725" s="7" t="n">
        <v>700</v>
      </c>
      <c r="E725" s="6" t="n">
        <v>1576.41186329423</v>
      </c>
      <c r="F725" s="5" t="n">
        <v>5000</v>
      </c>
      <c r="G725" s="8" t="n">
        <v>79.1846290862914</v>
      </c>
    </row>
    <row r="726" customFormat="false" ht="14.35" hidden="false" customHeight="false" outlineLevel="0" collapsed="false">
      <c r="A726" s="4" t="n">
        <v>29829</v>
      </c>
      <c r="B726" s="5" t="n">
        <v>1077.63224228786</v>
      </c>
      <c r="C726" s="6" t="n">
        <v>1000</v>
      </c>
      <c r="D726" s="7" t="n">
        <v>700</v>
      </c>
      <c r="E726" s="6" t="n">
        <v>1491.61447767815</v>
      </c>
      <c r="F726" s="5" t="n">
        <v>3500</v>
      </c>
      <c r="G726" s="8" t="n">
        <v>82.8699008379556</v>
      </c>
    </row>
    <row r="727" customFormat="false" ht="14.35" hidden="false" customHeight="false" outlineLevel="0" collapsed="false">
      <c r="A727" s="4" t="n">
        <v>29859</v>
      </c>
      <c r="B727" s="5" t="n">
        <v>1000</v>
      </c>
      <c r="C727" s="6" t="n">
        <v>1000</v>
      </c>
      <c r="D727" s="7" t="n">
        <v>773.3333333</v>
      </c>
      <c r="E727" s="6" t="n">
        <v>1436.75751613114</v>
      </c>
      <c r="F727" s="5" t="n">
        <v>3000</v>
      </c>
      <c r="G727" s="8" t="n">
        <v>86.8119525118995</v>
      </c>
    </row>
    <row r="728" customFormat="false" ht="14.35" hidden="false" customHeight="false" outlineLevel="0" collapsed="false">
      <c r="A728" s="4" t="n">
        <v>29890</v>
      </c>
      <c r="B728" s="5" t="n">
        <v>1200</v>
      </c>
      <c r="C728" s="6" t="n">
        <v>1200</v>
      </c>
      <c r="D728" s="7" t="n">
        <v>800</v>
      </c>
      <c r="E728" s="6" t="n">
        <v>1435.46860327786</v>
      </c>
      <c r="F728" s="5" t="n">
        <v>4036.85842073562</v>
      </c>
      <c r="G728" s="8" t="n">
        <v>89.2857678875986</v>
      </c>
    </row>
    <row r="729" customFormat="false" ht="14.35" hidden="false" customHeight="false" outlineLevel="0" collapsed="false">
      <c r="A729" s="4" t="n">
        <v>29920</v>
      </c>
      <c r="B729" s="5" t="n">
        <v>1200</v>
      </c>
      <c r="C729" s="6" t="n">
        <v>1200</v>
      </c>
      <c r="D729" s="7" t="n">
        <v>800</v>
      </c>
      <c r="E729" s="6" t="n">
        <v>2239.33736458331</v>
      </c>
      <c r="F729" s="5" t="n">
        <v>29419.259558046</v>
      </c>
      <c r="G729" s="8" t="n">
        <v>87.8212066163431</v>
      </c>
    </row>
    <row r="730" customFormat="false" ht="14.35" hidden="false" customHeight="false" outlineLevel="0" collapsed="false">
      <c r="A730" s="4" t="n">
        <v>29951</v>
      </c>
      <c r="B730" s="5" t="n">
        <v>9113.69479926021</v>
      </c>
      <c r="C730" s="6" t="n">
        <v>1200</v>
      </c>
      <c r="D730" s="7" t="n">
        <v>800</v>
      </c>
      <c r="E730" s="6" t="n">
        <v>2788</v>
      </c>
      <c r="F730" s="5" t="n">
        <v>84945.2935534779</v>
      </c>
      <c r="G730" s="8" t="n">
        <v>72.1164413542071</v>
      </c>
    </row>
    <row r="731" customFormat="false" ht="14.35" hidden="false" customHeight="false" outlineLevel="0" collapsed="false">
      <c r="A731" s="4" t="n">
        <v>29982</v>
      </c>
      <c r="B731" s="5" t="n">
        <v>8090.10588077446</v>
      </c>
      <c r="C731" s="6" t="n">
        <v>1200</v>
      </c>
      <c r="D731" s="7" t="n">
        <v>800</v>
      </c>
      <c r="E731" s="6" t="n">
        <v>2943</v>
      </c>
      <c r="F731" s="5" t="n">
        <v>77117.0074677915</v>
      </c>
      <c r="G731" s="8" t="n">
        <v>58.840460451129</v>
      </c>
    </row>
    <row r="732" customFormat="false" ht="14.35" hidden="false" customHeight="false" outlineLevel="0" collapsed="false">
      <c r="A732" s="4" t="n">
        <v>30010</v>
      </c>
      <c r="B732" s="5" t="n">
        <v>17980.5798680485</v>
      </c>
      <c r="C732" s="6" t="n">
        <v>1200</v>
      </c>
      <c r="D732" s="7" t="n">
        <v>800</v>
      </c>
      <c r="E732" s="6" t="n">
        <v>2987</v>
      </c>
      <c r="F732" s="5" t="n">
        <v>103546.360607781</v>
      </c>
      <c r="G732" s="8" t="n">
        <v>55.2297024638591</v>
      </c>
    </row>
    <row r="733" customFormat="false" ht="14.35" hidden="false" customHeight="false" outlineLevel="0" collapsed="false">
      <c r="A733" s="4" t="n">
        <v>30041</v>
      </c>
      <c r="B733" s="5" t="n">
        <v>13394.440787873</v>
      </c>
      <c r="C733" s="6" t="n">
        <v>1000</v>
      </c>
      <c r="D733" s="7" t="n">
        <v>800</v>
      </c>
      <c r="E733" s="6" t="n">
        <v>2936</v>
      </c>
      <c r="F733" s="5" t="n">
        <v>84283.6567409825</v>
      </c>
      <c r="G733" s="8" t="n">
        <v>51.7871665567075</v>
      </c>
    </row>
    <row r="734" customFormat="false" ht="14.35" hidden="false" customHeight="false" outlineLevel="0" collapsed="false">
      <c r="A734" s="4" t="n">
        <v>30071</v>
      </c>
      <c r="B734" s="5" t="n">
        <v>18990.8409014977</v>
      </c>
      <c r="C734" s="6" t="n">
        <v>1000</v>
      </c>
      <c r="D734" s="7" t="n">
        <v>700</v>
      </c>
      <c r="E734" s="6" t="n">
        <v>3303</v>
      </c>
      <c r="F734" s="5" t="n">
        <v>142779.622056661</v>
      </c>
      <c r="G734" s="8" t="n">
        <v>52.2364627221184</v>
      </c>
    </row>
    <row r="735" customFormat="false" ht="14.35" hidden="false" customHeight="false" outlineLevel="0" collapsed="false">
      <c r="A735" s="4" t="n">
        <v>30102</v>
      </c>
      <c r="B735" s="5" t="n">
        <v>8015.05337152372</v>
      </c>
      <c r="C735" s="6" t="n">
        <v>1000</v>
      </c>
      <c r="D735" s="7" t="n">
        <v>700</v>
      </c>
      <c r="E735" s="6" t="n">
        <v>3538</v>
      </c>
      <c r="F735" s="5" t="n">
        <v>44169.9266240626</v>
      </c>
      <c r="G735" s="8" t="n">
        <v>48.3432535555928</v>
      </c>
    </row>
    <row r="736" customFormat="false" ht="14.35" hidden="false" customHeight="false" outlineLevel="0" collapsed="false">
      <c r="A736" s="4" t="n">
        <v>30132</v>
      </c>
      <c r="B736" s="5" t="n">
        <v>3732.96722420608</v>
      </c>
      <c r="C736" s="6" t="n">
        <v>1000</v>
      </c>
      <c r="D736" s="7" t="n">
        <v>700</v>
      </c>
      <c r="E736" s="6" t="n">
        <v>3538</v>
      </c>
      <c r="F736" s="5" t="n">
        <v>19598.7560612151</v>
      </c>
      <c r="G736" s="8" t="n">
        <v>56.060432652343</v>
      </c>
    </row>
    <row r="737" customFormat="false" ht="14.35" hidden="false" customHeight="false" outlineLevel="0" collapsed="false">
      <c r="A737" s="4" t="n">
        <v>30163</v>
      </c>
      <c r="B737" s="5" t="n">
        <v>4126.93857638748</v>
      </c>
      <c r="C737" s="6" t="n">
        <v>1000</v>
      </c>
      <c r="D737" s="7" t="n">
        <v>700</v>
      </c>
      <c r="E737" s="6" t="n">
        <v>3337.33316180916</v>
      </c>
      <c r="F737" s="5" t="n">
        <v>8000</v>
      </c>
      <c r="G737" s="8" t="n">
        <v>64.8187766672402</v>
      </c>
    </row>
    <row r="738" customFormat="false" ht="14.35" hidden="false" customHeight="false" outlineLevel="0" collapsed="false">
      <c r="A738" s="4" t="n">
        <v>30194</v>
      </c>
      <c r="B738" s="5" t="n">
        <v>1000</v>
      </c>
      <c r="C738" s="6" t="n">
        <v>1000</v>
      </c>
      <c r="D738" s="7" t="n">
        <v>700</v>
      </c>
      <c r="E738" s="6" t="n">
        <v>3318.55776752993</v>
      </c>
      <c r="F738" s="5" t="n">
        <v>4854.48516593224</v>
      </c>
      <c r="G738" s="8" t="n">
        <v>74.5580567211136</v>
      </c>
    </row>
    <row r="739" customFormat="false" ht="14.35" hidden="false" customHeight="false" outlineLevel="0" collapsed="false">
      <c r="A739" s="4" t="n">
        <v>30224</v>
      </c>
      <c r="B739" s="5" t="n">
        <v>5331.54040655778</v>
      </c>
      <c r="C739" s="6" t="n">
        <v>1000</v>
      </c>
      <c r="D739" s="7" t="n">
        <v>773.3333333</v>
      </c>
      <c r="E739" s="6" t="n">
        <v>3096.46588336268</v>
      </c>
      <c r="F739" s="5" t="n">
        <v>18437.5</v>
      </c>
      <c r="G739" s="8" t="n">
        <v>81.5797038956126</v>
      </c>
    </row>
    <row r="740" customFormat="false" ht="14.35" hidden="false" customHeight="false" outlineLevel="0" collapsed="false">
      <c r="A740" s="4" t="n">
        <v>30255</v>
      </c>
      <c r="B740" s="5" t="n">
        <v>1700</v>
      </c>
      <c r="C740" s="6" t="n">
        <v>1700</v>
      </c>
      <c r="D740" s="7" t="n">
        <v>800</v>
      </c>
      <c r="E740" s="6" t="n">
        <v>3136.45035984258</v>
      </c>
      <c r="F740" s="5" t="n">
        <v>13767.1892989351</v>
      </c>
      <c r="G740" s="8" t="n">
        <v>73.6521860488443</v>
      </c>
    </row>
    <row r="741" customFormat="false" ht="14.35" hidden="false" customHeight="false" outlineLevel="0" collapsed="false">
      <c r="A741" s="4" t="n">
        <v>30285</v>
      </c>
      <c r="B741" s="5" t="n">
        <v>6969.51352854932</v>
      </c>
      <c r="C741" s="6" t="n">
        <v>1700</v>
      </c>
      <c r="D741" s="7" t="n">
        <v>800</v>
      </c>
      <c r="E741" s="6" t="n">
        <v>2981</v>
      </c>
      <c r="F741" s="5" t="n">
        <v>38453.4252184241</v>
      </c>
      <c r="G741" s="8" t="n">
        <v>73.2925673240859</v>
      </c>
    </row>
    <row r="742" customFormat="false" ht="14.35" hidden="false" customHeight="false" outlineLevel="0" collapsed="false">
      <c r="A742" s="4" t="n">
        <v>30316</v>
      </c>
      <c r="B742" s="5" t="n">
        <v>9719.04835874137</v>
      </c>
      <c r="C742" s="6" t="n">
        <v>1700</v>
      </c>
      <c r="D742" s="7" t="n">
        <v>800</v>
      </c>
      <c r="E742" s="6" t="n">
        <v>2930</v>
      </c>
      <c r="F742" s="5" t="n">
        <v>79119.034984466</v>
      </c>
      <c r="G742" s="8" t="n">
        <v>65.3012002820861</v>
      </c>
    </row>
    <row r="743" customFormat="false" ht="14.35" hidden="false" customHeight="false" outlineLevel="0" collapsed="false">
      <c r="A743" s="4" t="n">
        <v>30347</v>
      </c>
      <c r="B743" s="5" t="n">
        <v>12500.5550875491</v>
      </c>
      <c r="C743" s="6" t="n">
        <v>1700</v>
      </c>
      <c r="D743" s="7" t="n">
        <v>800</v>
      </c>
      <c r="E743" s="6" t="n">
        <v>2854</v>
      </c>
      <c r="F743" s="5" t="n">
        <v>102680.640857499</v>
      </c>
      <c r="G743" s="8" t="n">
        <v>57.1510741284989</v>
      </c>
    </row>
    <row r="744" customFormat="false" ht="14.35" hidden="false" customHeight="false" outlineLevel="0" collapsed="false">
      <c r="A744" s="4" t="n">
        <v>30375</v>
      </c>
      <c r="B744" s="5" t="n">
        <v>21721.9502015946</v>
      </c>
      <c r="C744" s="6" t="n">
        <v>1700</v>
      </c>
      <c r="D744" s="7" t="n">
        <v>800</v>
      </c>
      <c r="E744" s="6" t="n">
        <v>2788</v>
      </c>
      <c r="F744" s="5" t="n">
        <v>184909.624180217</v>
      </c>
      <c r="G744" s="8" t="n">
        <v>52.481348828999</v>
      </c>
    </row>
    <row r="745" customFormat="false" ht="14.35" hidden="false" customHeight="false" outlineLevel="0" collapsed="false">
      <c r="A745" s="4" t="n">
        <v>30406</v>
      </c>
      <c r="B745" s="5" t="n">
        <v>31802.5429033528</v>
      </c>
      <c r="C745" s="6" t="n">
        <v>1700</v>
      </c>
      <c r="D745" s="7" t="n">
        <v>800</v>
      </c>
      <c r="E745" s="6" t="n">
        <v>2788</v>
      </c>
      <c r="F745" s="5" t="n">
        <v>263952.416788118</v>
      </c>
      <c r="G745" s="8" t="n">
        <v>46.4415506902239</v>
      </c>
    </row>
    <row r="746" customFormat="false" ht="14.35" hidden="false" customHeight="false" outlineLevel="0" collapsed="false">
      <c r="A746" s="4" t="n">
        <v>30436</v>
      </c>
      <c r="B746" s="5" t="n">
        <v>8770.90130426694</v>
      </c>
      <c r="C746" s="6" t="n">
        <v>1000</v>
      </c>
      <c r="D746" s="7" t="n">
        <v>700</v>
      </c>
      <c r="E746" s="6" t="n">
        <v>3208</v>
      </c>
      <c r="F746" s="5" t="n">
        <v>92776.1892777453</v>
      </c>
      <c r="G746" s="8" t="n">
        <v>41.733612720466</v>
      </c>
    </row>
    <row r="747" customFormat="false" ht="14.35" hidden="false" customHeight="false" outlineLevel="0" collapsed="false">
      <c r="A747" s="4" t="n">
        <v>30467</v>
      </c>
      <c r="B747" s="5" t="n">
        <v>11889.1501902224</v>
      </c>
      <c r="C747" s="6" t="n">
        <v>1000</v>
      </c>
      <c r="D747" s="7" t="n">
        <v>700</v>
      </c>
      <c r="E747" s="6" t="n">
        <v>3538</v>
      </c>
      <c r="F747" s="5" t="n">
        <v>74036.7107901213</v>
      </c>
      <c r="G747" s="8" t="n">
        <v>48.2050234920425</v>
      </c>
    </row>
    <row r="748" customFormat="false" ht="14.35" hidden="false" customHeight="false" outlineLevel="0" collapsed="false">
      <c r="A748" s="4" t="n">
        <v>30497</v>
      </c>
      <c r="B748" s="5" t="n">
        <v>11717.6722459041</v>
      </c>
      <c r="C748" s="6" t="n">
        <v>1000</v>
      </c>
      <c r="D748" s="7" t="n">
        <v>700</v>
      </c>
      <c r="E748" s="6" t="n">
        <v>3538</v>
      </c>
      <c r="F748" s="5" t="n">
        <v>67706.5338559397</v>
      </c>
      <c r="G748" s="8" t="n">
        <v>52.055865099402</v>
      </c>
    </row>
    <row r="749" customFormat="false" ht="14.35" hidden="false" customHeight="false" outlineLevel="0" collapsed="false">
      <c r="A749" s="4" t="n">
        <v>30528</v>
      </c>
      <c r="B749" s="5" t="n">
        <v>2876.72591614348</v>
      </c>
      <c r="C749" s="6" t="n">
        <v>1000</v>
      </c>
      <c r="D749" s="7" t="n">
        <v>700</v>
      </c>
      <c r="E749" s="6" t="n">
        <v>3538</v>
      </c>
      <c r="F749" s="5" t="n">
        <v>35916.3202319375</v>
      </c>
      <c r="G749" s="8" t="n">
        <v>54.0032828205172</v>
      </c>
    </row>
    <row r="750" customFormat="false" ht="14.35" hidden="false" customHeight="false" outlineLevel="0" collapsed="false">
      <c r="A750" s="4" t="n">
        <v>30559</v>
      </c>
      <c r="B750" s="5" t="n">
        <v>1463.4423237628</v>
      </c>
      <c r="C750" s="6" t="n">
        <v>1000</v>
      </c>
      <c r="D750" s="7" t="n">
        <v>700</v>
      </c>
      <c r="E750" s="6" t="n">
        <v>3538</v>
      </c>
      <c r="F750" s="5" t="n">
        <v>16018.8420260497</v>
      </c>
      <c r="G750" s="8" t="n">
        <v>59.501375219065</v>
      </c>
    </row>
    <row r="751" customFormat="false" ht="14.35" hidden="false" customHeight="false" outlineLevel="0" collapsed="false">
      <c r="A751" s="4" t="n">
        <v>30589</v>
      </c>
      <c r="B751" s="5" t="n">
        <v>5047.22406485996</v>
      </c>
      <c r="C751" s="6" t="n">
        <v>1000</v>
      </c>
      <c r="D751" s="7" t="n">
        <v>773.3333333</v>
      </c>
      <c r="E751" s="6" t="n">
        <v>3351</v>
      </c>
      <c r="F751" s="5" t="n">
        <v>19753.2258068882</v>
      </c>
      <c r="G751" s="8" t="n">
        <v>67.4928115553251</v>
      </c>
    </row>
    <row r="752" customFormat="false" ht="14.35" hidden="false" customHeight="false" outlineLevel="0" collapsed="false">
      <c r="A752" s="4" t="n">
        <v>30620</v>
      </c>
      <c r="B752" s="5" t="n">
        <v>3785.58819223038</v>
      </c>
      <c r="C752" s="6" t="n">
        <v>1700</v>
      </c>
      <c r="D752" s="7" t="n">
        <v>800</v>
      </c>
      <c r="E752" s="6" t="n">
        <v>3163</v>
      </c>
      <c r="F752" s="5" t="n">
        <v>10935.4488457876</v>
      </c>
      <c r="G752" s="8" t="n">
        <v>68.5061324273864</v>
      </c>
    </row>
    <row r="753" customFormat="false" ht="14.35" hidden="false" customHeight="false" outlineLevel="0" collapsed="false">
      <c r="A753" s="4" t="n">
        <v>30650</v>
      </c>
      <c r="B753" s="5" t="n">
        <v>13178.3945889625</v>
      </c>
      <c r="C753" s="6" t="n">
        <v>1700</v>
      </c>
      <c r="D753" s="7" t="n">
        <v>800</v>
      </c>
      <c r="E753" s="6" t="n">
        <v>2950</v>
      </c>
      <c r="F753" s="5" t="n">
        <v>74445.1257544038</v>
      </c>
      <c r="G753" s="8" t="n">
        <v>73.370843983752</v>
      </c>
    </row>
    <row r="754" customFormat="false" ht="14.35" hidden="false" customHeight="false" outlineLevel="0" collapsed="false">
      <c r="A754" s="4" t="n">
        <v>30681</v>
      </c>
      <c r="B754" s="5" t="n">
        <v>23709.4151307641</v>
      </c>
      <c r="C754" s="6" t="n">
        <v>1700</v>
      </c>
      <c r="D754" s="7" t="n">
        <v>800</v>
      </c>
      <c r="E754" s="6" t="n">
        <v>2788</v>
      </c>
      <c r="F754" s="5" t="n">
        <v>155944.344353747</v>
      </c>
      <c r="G754" s="8" t="n">
        <v>60.2630525299019</v>
      </c>
    </row>
    <row r="755" customFormat="false" ht="14.35" hidden="false" customHeight="false" outlineLevel="0" collapsed="false">
      <c r="A755" s="4" t="n">
        <v>30712</v>
      </c>
      <c r="B755" s="5" t="n">
        <v>4877.69298791035</v>
      </c>
      <c r="C755" s="6" t="n">
        <v>1700</v>
      </c>
      <c r="D755" s="7" t="n">
        <v>800</v>
      </c>
      <c r="E755" s="6" t="n">
        <v>3091</v>
      </c>
      <c r="F755" s="5" t="n">
        <v>64705.3625777286</v>
      </c>
      <c r="G755" s="8" t="n">
        <v>50.2983146712399</v>
      </c>
    </row>
    <row r="756" customFormat="false" ht="14.35" hidden="false" customHeight="false" outlineLevel="0" collapsed="false">
      <c r="A756" s="4" t="n">
        <v>30741</v>
      </c>
      <c r="B756" s="5" t="n">
        <v>8595.16006310825</v>
      </c>
      <c r="C756" s="6" t="n">
        <v>1700</v>
      </c>
      <c r="D756" s="7" t="n">
        <v>800</v>
      </c>
      <c r="E756" s="6" t="n">
        <v>3078</v>
      </c>
      <c r="F756" s="5" t="n">
        <v>39783.1181774874</v>
      </c>
      <c r="G756" s="8" t="n">
        <v>53.7746916932534</v>
      </c>
    </row>
    <row r="757" customFormat="false" ht="14.35" hidden="false" customHeight="false" outlineLevel="0" collapsed="false">
      <c r="A757" s="4" t="n">
        <v>30772</v>
      </c>
      <c r="B757" s="5" t="n">
        <v>9025.41744050267</v>
      </c>
      <c r="C757" s="6" t="n">
        <v>1700</v>
      </c>
      <c r="D757" s="7" t="n">
        <v>800</v>
      </c>
      <c r="E757" s="6" t="n">
        <v>3120</v>
      </c>
      <c r="F757" s="5" t="n">
        <v>36972.6965475433</v>
      </c>
      <c r="G757" s="8" t="n">
        <v>58.6426597663525</v>
      </c>
    </row>
    <row r="758" customFormat="false" ht="14.35" hidden="false" customHeight="false" outlineLevel="0" collapsed="false">
      <c r="A758" s="4" t="n">
        <v>30802</v>
      </c>
      <c r="B758" s="5" t="n">
        <v>1000</v>
      </c>
      <c r="C758" s="6" t="n">
        <v>1000</v>
      </c>
      <c r="D758" s="7" t="n">
        <v>700</v>
      </c>
      <c r="E758" s="6" t="n">
        <v>3355.99818240235</v>
      </c>
      <c r="F758" s="5" t="n">
        <v>19593.4763770566</v>
      </c>
      <c r="G758" s="8" t="n">
        <v>60.7999619915527</v>
      </c>
    </row>
    <row r="759" customFormat="false" ht="14.35" hidden="false" customHeight="false" outlineLevel="0" collapsed="false">
      <c r="A759" s="4" t="n">
        <v>30833</v>
      </c>
      <c r="B759" s="5" t="n">
        <v>1000</v>
      </c>
      <c r="C759" s="6" t="n">
        <v>1000</v>
      </c>
      <c r="D759" s="7" t="n">
        <v>700</v>
      </c>
      <c r="E759" s="6" t="n">
        <v>3504.7621397244</v>
      </c>
      <c r="F759" s="5" t="n">
        <v>12979.2630116332</v>
      </c>
      <c r="G759" s="8" t="n">
        <v>66.3744596076667</v>
      </c>
    </row>
    <row r="760" customFormat="false" ht="14.35" hidden="false" customHeight="false" outlineLevel="0" collapsed="false">
      <c r="A760" s="4" t="n">
        <v>30863</v>
      </c>
      <c r="B760" s="5" t="n">
        <v>3430.15076798107</v>
      </c>
      <c r="C760" s="6" t="n">
        <v>1000</v>
      </c>
      <c r="D760" s="7" t="n">
        <v>700</v>
      </c>
      <c r="E760" s="6" t="n">
        <v>3373.04650444227</v>
      </c>
      <c r="F760" s="5" t="n">
        <v>7700</v>
      </c>
      <c r="G760" s="8" t="n">
        <v>71.3586847758833</v>
      </c>
    </row>
    <row r="761" customFormat="false" ht="14.35" hidden="false" customHeight="false" outlineLevel="0" collapsed="false">
      <c r="A761" s="4" t="n">
        <v>30894</v>
      </c>
      <c r="B761" s="5" t="n">
        <v>9481.85632877321</v>
      </c>
      <c r="C761" s="6" t="n">
        <v>1000</v>
      </c>
      <c r="D761" s="7" t="n">
        <v>700</v>
      </c>
      <c r="E761" s="6" t="n">
        <v>2806.43831683453</v>
      </c>
      <c r="F761" s="5" t="n">
        <v>11016.2042362667</v>
      </c>
      <c r="G761" s="8" t="n">
        <v>76.9948155702403</v>
      </c>
    </row>
    <row r="762" customFormat="false" ht="14.35" hidden="false" customHeight="false" outlineLevel="0" collapsed="false">
      <c r="A762" s="4" t="n">
        <v>30925</v>
      </c>
      <c r="B762" s="5" t="n">
        <v>6663.70112452111</v>
      </c>
      <c r="C762" s="6" t="n">
        <v>1000</v>
      </c>
      <c r="D762" s="7" t="n">
        <v>700</v>
      </c>
      <c r="E762" s="6" t="n">
        <v>2413.41294965963</v>
      </c>
      <c r="F762" s="5" t="n">
        <v>4000</v>
      </c>
      <c r="G762" s="8" t="n">
        <v>76.0970361149418</v>
      </c>
    </row>
    <row r="763" customFormat="false" ht="14.35" hidden="false" customHeight="false" outlineLevel="0" collapsed="false">
      <c r="A763" s="4" t="n">
        <v>30955</v>
      </c>
      <c r="B763" s="5" t="n">
        <v>8954.27974258437</v>
      </c>
      <c r="C763" s="6" t="n">
        <v>1000</v>
      </c>
      <c r="D763" s="7" t="n">
        <v>773.3333333</v>
      </c>
      <c r="E763" s="6" t="n">
        <v>1917.6714562435</v>
      </c>
      <c r="F763" s="5" t="n">
        <v>19062.5</v>
      </c>
      <c r="G763" s="8" t="n">
        <v>83.5682495915394</v>
      </c>
    </row>
    <row r="764" customFormat="false" ht="14.35" hidden="false" customHeight="false" outlineLevel="0" collapsed="false">
      <c r="A764" s="4" t="n">
        <v>30986</v>
      </c>
      <c r="B764" s="5" t="n">
        <v>4000</v>
      </c>
      <c r="C764" s="6" t="n">
        <v>1700</v>
      </c>
      <c r="D764" s="7" t="n">
        <v>800</v>
      </c>
      <c r="E764" s="6" t="n">
        <v>1748.55907390906</v>
      </c>
      <c r="F764" s="5" t="n">
        <v>8281.25</v>
      </c>
      <c r="G764" s="8" t="n">
        <v>74.0484977455129</v>
      </c>
    </row>
    <row r="765" customFormat="false" ht="14.35" hidden="false" customHeight="false" outlineLevel="0" collapsed="false">
      <c r="A765" s="4" t="n">
        <v>31016</v>
      </c>
      <c r="B765" s="5" t="n">
        <v>1700</v>
      </c>
      <c r="C765" s="6" t="n">
        <v>1700</v>
      </c>
      <c r="D765" s="7" t="n">
        <v>800</v>
      </c>
      <c r="E765" s="6" t="n">
        <v>1868.21789931223</v>
      </c>
      <c r="F765" s="5" t="n">
        <v>15968.4181851102</v>
      </c>
      <c r="G765" s="8" t="n">
        <v>77.3187050033408</v>
      </c>
    </row>
    <row r="766" customFormat="false" ht="14.35" hidden="false" customHeight="false" outlineLevel="0" collapsed="false">
      <c r="A766" s="4" t="n">
        <v>31047</v>
      </c>
      <c r="B766" s="5" t="n">
        <v>1700</v>
      </c>
      <c r="C766" s="6" t="n">
        <v>1700</v>
      </c>
      <c r="D766" s="7" t="n">
        <v>800</v>
      </c>
      <c r="E766" s="6" t="n">
        <v>1949.14187369607</v>
      </c>
      <c r="F766" s="5" t="n">
        <v>13141.3064418016</v>
      </c>
      <c r="G766" s="8" t="n">
        <v>73.3574990090497</v>
      </c>
    </row>
    <row r="767" customFormat="false" ht="14.35" hidden="false" customHeight="false" outlineLevel="0" collapsed="false">
      <c r="A767" s="4" t="n">
        <v>31078</v>
      </c>
      <c r="B767" s="5" t="n">
        <v>1700</v>
      </c>
      <c r="C767" s="6" t="n">
        <v>1700</v>
      </c>
      <c r="D767" s="7" t="n">
        <v>800</v>
      </c>
      <c r="E767" s="6" t="n">
        <v>1999.93373580001</v>
      </c>
      <c r="F767" s="5" t="n">
        <v>8636.68096500426</v>
      </c>
      <c r="G767" s="8" t="n">
        <v>73.5526178962111</v>
      </c>
    </row>
    <row r="768" customFormat="false" ht="14.35" hidden="false" customHeight="false" outlineLevel="0" collapsed="false">
      <c r="A768" s="4" t="n">
        <v>31106</v>
      </c>
      <c r="B768" s="5" t="n">
        <v>1700</v>
      </c>
      <c r="C768" s="6" t="n">
        <v>1700</v>
      </c>
      <c r="D768" s="7" t="n">
        <v>800</v>
      </c>
      <c r="E768" s="6" t="n">
        <v>2189.4973032226</v>
      </c>
      <c r="F768" s="5" t="n">
        <v>14065.8548228918</v>
      </c>
      <c r="G768" s="8" t="n">
        <v>76.8340257627924</v>
      </c>
    </row>
    <row r="769" customFormat="false" ht="14.35" hidden="false" customHeight="false" outlineLevel="0" collapsed="false">
      <c r="A769" s="4" t="n">
        <v>31137</v>
      </c>
      <c r="B769" s="5" t="n">
        <v>1700</v>
      </c>
      <c r="C769" s="6" t="n">
        <v>1700</v>
      </c>
      <c r="D769" s="7" t="n">
        <v>800</v>
      </c>
      <c r="E769" s="6" t="n">
        <v>2422.45024549212</v>
      </c>
      <c r="F769" s="5" t="n">
        <v>11983.291465159</v>
      </c>
      <c r="G769" s="8" t="n">
        <v>74.1710614392199</v>
      </c>
    </row>
    <row r="770" customFormat="false" ht="14.35" hidden="false" customHeight="false" outlineLevel="0" collapsed="false">
      <c r="A770" s="4" t="n">
        <v>31167</v>
      </c>
      <c r="B770" s="5" t="n">
        <v>1000</v>
      </c>
      <c r="C770" s="6" t="n">
        <v>1000</v>
      </c>
      <c r="D770" s="7" t="n">
        <v>700</v>
      </c>
      <c r="E770" s="6" t="n">
        <v>2673.10251340539</v>
      </c>
      <c r="F770" s="5" t="n">
        <v>14426.1955156193</v>
      </c>
      <c r="G770" s="8" t="n">
        <v>74.5264053753678</v>
      </c>
    </row>
    <row r="771" customFormat="false" ht="14.35" hidden="false" customHeight="false" outlineLevel="0" collapsed="false">
      <c r="A771" s="4" t="n">
        <v>31198</v>
      </c>
      <c r="B771" s="5" t="n">
        <v>2831.96097299527</v>
      </c>
      <c r="C771" s="6" t="n">
        <v>1000</v>
      </c>
      <c r="D771" s="7" t="n">
        <v>700</v>
      </c>
      <c r="E771" s="6" t="n">
        <v>2569.08903807209</v>
      </c>
      <c r="F771" s="5" t="n">
        <v>9154.68179130656</v>
      </c>
      <c r="G771" s="8" t="n">
        <v>73.2207261683253</v>
      </c>
    </row>
    <row r="772" customFormat="false" ht="14.35" hidden="false" customHeight="false" outlineLevel="0" collapsed="false">
      <c r="A772" s="4" t="n">
        <v>31228</v>
      </c>
      <c r="B772" s="5" t="n">
        <v>4804.4273916485</v>
      </c>
      <c r="C772" s="6" t="n">
        <v>1000</v>
      </c>
      <c r="D772" s="7" t="n">
        <v>700</v>
      </c>
      <c r="E772" s="6" t="n">
        <v>2203.22247892329</v>
      </c>
      <c r="F772" s="5" t="n">
        <v>7100</v>
      </c>
      <c r="G772" s="8" t="n">
        <v>76.278750618899</v>
      </c>
    </row>
    <row r="773" customFormat="false" ht="14.35" hidden="false" customHeight="false" outlineLevel="0" collapsed="false">
      <c r="A773" s="4" t="n">
        <v>31259</v>
      </c>
      <c r="B773" s="5" t="n">
        <v>9863.00281473059</v>
      </c>
      <c r="C773" s="6" t="n">
        <v>1000</v>
      </c>
      <c r="D773" s="7" t="n">
        <v>700</v>
      </c>
      <c r="E773" s="6" t="n">
        <v>1555.24374058777</v>
      </c>
      <c r="F773" s="5" t="n">
        <v>5000</v>
      </c>
      <c r="G773" s="8" t="n">
        <v>79.2294645979834</v>
      </c>
    </row>
    <row r="774" customFormat="false" ht="14.35" hidden="false" customHeight="false" outlineLevel="0" collapsed="false">
      <c r="A774" s="4" t="n">
        <v>31290</v>
      </c>
      <c r="B774" s="5" t="n">
        <v>1087.89767670174</v>
      </c>
      <c r="C774" s="6" t="n">
        <v>1000</v>
      </c>
      <c r="D774" s="7" t="n">
        <v>700</v>
      </c>
      <c r="E774" s="6" t="n">
        <v>1473.33664764666</v>
      </c>
      <c r="F774" s="5" t="n">
        <v>3502.5302261685</v>
      </c>
      <c r="G774" s="8" t="n">
        <v>82.8845979186882</v>
      </c>
    </row>
    <row r="775" customFormat="false" ht="14.35" hidden="false" customHeight="false" outlineLevel="0" collapsed="false">
      <c r="A775" s="4" t="n">
        <v>31320</v>
      </c>
      <c r="B775" s="5" t="n">
        <v>1000</v>
      </c>
      <c r="C775" s="6" t="n">
        <v>1000</v>
      </c>
      <c r="D775" s="7" t="n">
        <v>773.3333333</v>
      </c>
      <c r="E775" s="6" t="n">
        <v>1431.933544063</v>
      </c>
      <c r="F775" s="5" t="n">
        <v>3056.04727974629</v>
      </c>
      <c r="G775" s="8" t="n">
        <v>86.8112308065474</v>
      </c>
    </row>
    <row r="776" customFormat="false" ht="14.35" hidden="false" customHeight="false" outlineLevel="0" collapsed="false">
      <c r="A776" s="4" t="n">
        <v>31351</v>
      </c>
      <c r="B776" s="5" t="n">
        <v>1700</v>
      </c>
      <c r="C776" s="6" t="n">
        <v>1700</v>
      </c>
      <c r="D776" s="7" t="n">
        <v>800</v>
      </c>
      <c r="E776" s="6" t="n">
        <v>1320.30989312327</v>
      </c>
      <c r="F776" s="5" t="n">
        <v>4000</v>
      </c>
      <c r="G776" s="8" t="n">
        <v>89.1436462427561</v>
      </c>
    </row>
    <row r="777" customFormat="false" ht="14.35" hidden="false" customHeight="false" outlineLevel="0" collapsed="false">
      <c r="A777" s="4" t="n">
        <v>31381</v>
      </c>
      <c r="B777" s="5" t="n">
        <v>1700</v>
      </c>
      <c r="C777" s="6" t="n">
        <v>1700</v>
      </c>
      <c r="D777" s="7" t="n">
        <v>800</v>
      </c>
      <c r="E777" s="6" t="n">
        <v>1193.31572147987</v>
      </c>
      <c r="F777" s="5" t="n">
        <v>4500</v>
      </c>
      <c r="G777" s="8" t="n">
        <v>87.8449283914369</v>
      </c>
    </row>
    <row r="778" customFormat="false" ht="14.35" hidden="false" customHeight="false" outlineLevel="0" collapsed="false">
      <c r="A778" s="4" t="n">
        <v>31412</v>
      </c>
      <c r="B778" s="5" t="n">
        <v>1700</v>
      </c>
      <c r="C778" s="6" t="n">
        <v>1700</v>
      </c>
      <c r="D778" s="7" t="n">
        <v>800</v>
      </c>
      <c r="E778" s="6" t="n">
        <v>1185.67806212514</v>
      </c>
      <c r="F778" s="5" t="n">
        <v>10449.7725846158</v>
      </c>
      <c r="G778" s="8" t="n">
        <v>86.5163666585782</v>
      </c>
    </row>
    <row r="779" customFormat="false" ht="14.35" hidden="false" customHeight="false" outlineLevel="0" collapsed="false">
      <c r="A779" s="4" t="n">
        <v>31443</v>
      </c>
      <c r="B779" s="5" t="n">
        <v>1700</v>
      </c>
      <c r="C779" s="6" t="n">
        <v>1700</v>
      </c>
      <c r="D779" s="7" t="n">
        <v>800</v>
      </c>
      <c r="E779" s="6" t="n">
        <v>1490.71478965584</v>
      </c>
      <c r="F779" s="5" t="n">
        <v>21330.2221583028</v>
      </c>
      <c r="G779" s="8" t="n">
        <v>79.622829280135</v>
      </c>
    </row>
    <row r="780" customFormat="false" ht="14.35" hidden="false" customHeight="false" outlineLevel="0" collapsed="false">
      <c r="A780" s="4" t="n">
        <v>31471</v>
      </c>
      <c r="B780" s="5" t="n">
        <v>18705.957146343</v>
      </c>
      <c r="C780" s="6" t="n">
        <v>1700</v>
      </c>
      <c r="D780" s="7" t="n">
        <v>800</v>
      </c>
      <c r="E780" s="6" t="n">
        <v>2788</v>
      </c>
      <c r="F780" s="5" t="n">
        <v>220307.85230459</v>
      </c>
      <c r="G780" s="8" t="n">
        <v>71.893595003404</v>
      </c>
    </row>
    <row r="781" customFormat="false" ht="14.35" hidden="false" customHeight="false" outlineLevel="0" collapsed="false">
      <c r="A781" s="4" t="n">
        <v>31502</v>
      </c>
      <c r="B781" s="5" t="n">
        <v>21845.3441148425</v>
      </c>
      <c r="C781" s="6" t="n">
        <v>1700</v>
      </c>
      <c r="D781" s="7" t="n">
        <v>800</v>
      </c>
      <c r="E781" s="6" t="n">
        <v>2788</v>
      </c>
      <c r="F781" s="5" t="n">
        <v>141331.824790665</v>
      </c>
      <c r="G781" s="8" t="n">
        <v>51.4622413527934</v>
      </c>
    </row>
    <row r="782" customFormat="false" ht="14.35" hidden="false" customHeight="false" outlineLevel="0" collapsed="false">
      <c r="A782" s="4" t="n">
        <v>31532</v>
      </c>
      <c r="B782" s="5" t="n">
        <v>1000</v>
      </c>
      <c r="C782" s="6" t="n">
        <v>1000</v>
      </c>
      <c r="D782" s="7" t="n">
        <v>700</v>
      </c>
      <c r="E782" s="6" t="n">
        <v>3142.15385482598</v>
      </c>
      <c r="F782" s="5" t="n">
        <v>29943.4633694534</v>
      </c>
      <c r="G782" s="8" t="n">
        <v>48.1675873095337</v>
      </c>
    </row>
    <row r="783" customFormat="false" ht="14.35" hidden="false" customHeight="false" outlineLevel="0" collapsed="false">
      <c r="A783" s="4" t="n">
        <v>31563</v>
      </c>
      <c r="B783" s="5" t="n">
        <v>1000.00000000003</v>
      </c>
      <c r="C783" s="6" t="n">
        <v>1000</v>
      </c>
      <c r="D783" s="7" t="n">
        <v>700</v>
      </c>
      <c r="E783" s="6" t="n">
        <v>3231.6536889687</v>
      </c>
      <c r="F783" s="5" t="n">
        <v>17823.2375945932</v>
      </c>
      <c r="G783" s="8" t="n">
        <v>58.9826042731725</v>
      </c>
    </row>
    <row r="784" customFormat="false" ht="14.35" hidden="false" customHeight="false" outlineLevel="0" collapsed="false">
      <c r="A784" s="4" t="n">
        <v>31593</v>
      </c>
      <c r="B784" s="5" t="n">
        <v>1122.16326529055</v>
      </c>
      <c r="C784" s="6" t="n">
        <v>1000</v>
      </c>
      <c r="D784" s="7" t="n">
        <v>700</v>
      </c>
      <c r="E784" s="6" t="n">
        <v>3208.36260218575</v>
      </c>
      <c r="F784" s="5" t="n">
        <v>8115.83745095091</v>
      </c>
      <c r="G784" s="8" t="n">
        <v>66.5045842517369</v>
      </c>
    </row>
    <row r="785" customFormat="false" ht="14.35" hidden="false" customHeight="false" outlineLevel="0" collapsed="false">
      <c r="A785" s="4" t="n">
        <v>31624</v>
      </c>
      <c r="B785" s="5" t="n">
        <v>8471.81559376521</v>
      </c>
      <c r="C785" s="6" t="n">
        <v>1000</v>
      </c>
      <c r="D785" s="7" t="n">
        <v>700</v>
      </c>
      <c r="E785" s="6" t="n">
        <v>2667.83372318451</v>
      </c>
      <c r="F785" s="5" t="n">
        <v>8420.76840187796</v>
      </c>
      <c r="G785" s="8" t="n">
        <v>75.0004692644612</v>
      </c>
    </row>
    <row r="786" customFormat="false" ht="14.35" hidden="false" customHeight="false" outlineLevel="0" collapsed="false">
      <c r="A786" s="4" t="n">
        <v>31655</v>
      </c>
      <c r="B786" s="5" t="n">
        <v>6929.7733419762</v>
      </c>
      <c r="C786" s="6" t="n">
        <v>1000</v>
      </c>
      <c r="D786" s="7" t="n">
        <v>700</v>
      </c>
      <c r="E786" s="6" t="n">
        <v>2247.44373584596</v>
      </c>
      <c r="F786" s="5" t="n">
        <v>4000.00000000008</v>
      </c>
      <c r="G786" s="8" t="n">
        <v>77.5026959134451</v>
      </c>
    </row>
    <row r="787" customFormat="false" ht="14.35" hidden="false" customHeight="false" outlineLevel="0" collapsed="false">
      <c r="A787" s="4" t="n">
        <v>31685</v>
      </c>
      <c r="B787" s="5" t="n">
        <v>9964.96113633378</v>
      </c>
      <c r="C787" s="6" t="n">
        <v>1000</v>
      </c>
      <c r="D787" s="7" t="n">
        <v>773.3333333</v>
      </c>
      <c r="E787" s="6" t="n">
        <v>1784.86343669647</v>
      </c>
      <c r="F787" s="5" t="n">
        <v>18750</v>
      </c>
      <c r="G787" s="8" t="n">
        <v>84.0290248734886</v>
      </c>
    </row>
    <row r="788" customFormat="false" ht="14.35" hidden="false" customHeight="false" outlineLevel="0" collapsed="false">
      <c r="A788" s="4" t="n">
        <v>31716</v>
      </c>
      <c r="B788" s="5" t="n">
        <v>4000</v>
      </c>
      <c r="C788" s="6" t="n">
        <v>1700</v>
      </c>
      <c r="D788" s="7" t="n">
        <v>800</v>
      </c>
      <c r="E788" s="6" t="n">
        <v>1579.95804361131</v>
      </c>
      <c r="F788" s="5" t="n">
        <v>8125</v>
      </c>
      <c r="G788" s="8" t="n">
        <v>74.3262419016046</v>
      </c>
    </row>
    <row r="789" customFormat="false" ht="14.35" hidden="false" customHeight="false" outlineLevel="0" collapsed="false">
      <c r="A789" s="4" t="n">
        <v>31746</v>
      </c>
      <c r="B789" s="5" t="n">
        <v>1898.27511006391</v>
      </c>
      <c r="C789" s="6" t="n">
        <v>1700</v>
      </c>
      <c r="D789" s="7" t="n">
        <v>800</v>
      </c>
      <c r="E789" s="6" t="n">
        <v>1551.38800538259</v>
      </c>
      <c r="F789" s="5" t="n">
        <v>13114.291</v>
      </c>
      <c r="G789" s="8" t="n">
        <v>77.5557596210074</v>
      </c>
    </row>
    <row r="790" customFormat="false" ht="14.35" hidden="false" customHeight="false" outlineLevel="0" collapsed="false">
      <c r="A790" s="4" t="n">
        <v>31777</v>
      </c>
      <c r="B790" s="5" t="n">
        <v>1700</v>
      </c>
      <c r="C790" s="6" t="n">
        <v>1700</v>
      </c>
      <c r="D790" s="7" t="n">
        <v>800</v>
      </c>
      <c r="E790" s="6" t="n">
        <v>1475.37397090685</v>
      </c>
      <c r="F790" s="5" t="n">
        <v>4500</v>
      </c>
      <c r="G790" s="8" t="n">
        <v>74.9445819973175</v>
      </c>
    </row>
    <row r="791" customFormat="false" ht="14.35" hidden="false" customHeight="false" outlineLevel="0" collapsed="false">
      <c r="A791" s="4" t="n">
        <v>31808</v>
      </c>
      <c r="B791" s="5" t="n">
        <v>1700</v>
      </c>
      <c r="C791" s="6" t="n">
        <v>1700</v>
      </c>
      <c r="D791" s="7" t="n">
        <v>800</v>
      </c>
      <c r="E791" s="6" t="n">
        <v>1457.17729642521</v>
      </c>
      <c r="F791" s="5" t="n">
        <v>9368.39707247614</v>
      </c>
      <c r="G791" s="8" t="n">
        <v>82.2876331105859</v>
      </c>
    </row>
    <row r="792" customFormat="false" ht="14.35" hidden="false" customHeight="false" outlineLevel="0" collapsed="false">
      <c r="A792" s="4" t="n">
        <v>31836</v>
      </c>
      <c r="B792" s="5" t="n">
        <v>1700</v>
      </c>
      <c r="C792" s="6" t="n">
        <v>1700</v>
      </c>
      <c r="D792" s="7" t="n">
        <v>800</v>
      </c>
      <c r="E792" s="6" t="n">
        <v>1576.91994972607</v>
      </c>
      <c r="F792" s="5" t="n">
        <v>18322.7234135073</v>
      </c>
      <c r="G792" s="8" t="n">
        <v>79.0739937704459</v>
      </c>
    </row>
    <row r="793" customFormat="false" ht="14.35" hidden="false" customHeight="false" outlineLevel="0" collapsed="false">
      <c r="A793" s="4" t="n">
        <v>31867</v>
      </c>
      <c r="B793" s="5" t="n">
        <v>1700</v>
      </c>
      <c r="C793" s="6" t="n">
        <v>1700</v>
      </c>
      <c r="D793" s="7" t="n">
        <v>800</v>
      </c>
      <c r="E793" s="6" t="n">
        <v>1900.45290987505</v>
      </c>
      <c r="F793" s="5" t="n">
        <v>20445.1742487138</v>
      </c>
      <c r="G793" s="8" t="n">
        <v>72.8786812015644</v>
      </c>
    </row>
    <row r="794" customFormat="false" ht="14.35" hidden="false" customHeight="false" outlineLevel="0" collapsed="false">
      <c r="A794" s="4" t="n">
        <v>31897</v>
      </c>
      <c r="B794" s="5" t="n">
        <v>1007.36400107859</v>
      </c>
      <c r="C794" s="6" t="n">
        <v>1000</v>
      </c>
      <c r="D794" s="7" t="n">
        <v>700</v>
      </c>
      <c r="E794" s="6" t="n">
        <v>1922.35459167751</v>
      </c>
      <c r="F794" s="5" t="n">
        <v>9956.25</v>
      </c>
      <c r="G794" s="8" t="n">
        <v>70.0077037905126</v>
      </c>
    </row>
    <row r="795" customFormat="false" ht="14.35" hidden="false" customHeight="false" outlineLevel="0" collapsed="false">
      <c r="A795" s="4" t="n">
        <v>31928</v>
      </c>
      <c r="B795" s="5" t="n">
        <v>2062.76044628969</v>
      </c>
      <c r="C795" s="6" t="n">
        <v>1000</v>
      </c>
      <c r="D795" s="7" t="n">
        <v>700</v>
      </c>
      <c r="E795" s="6" t="n">
        <v>1738.92976924582</v>
      </c>
      <c r="F795" s="5" t="n">
        <v>7532.09149391463</v>
      </c>
      <c r="G795" s="8" t="n">
        <v>74.5821345535171</v>
      </c>
    </row>
    <row r="796" customFormat="false" ht="14.35" hidden="false" customHeight="false" outlineLevel="0" collapsed="false">
      <c r="A796" s="4" t="n">
        <v>31958</v>
      </c>
      <c r="B796" s="5" t="n">
        <v>3326.6042881311</v>
      </c>
      <c r="C796" s="6" t="n">
        <v>1000</v>
      </c>
      <c r="D796" s="7" t="n">
        <v>700</v>
      </c>
      <c r="E796" s="6" t="n">
        <v>1453.01571740777</v>
      </c>
      <c r="F796" s="5" t="n">
        <v>7100</v>
      </c>
      <c r="G796" s="8" t="n">
        <v>78.2204635988472</v>
      </c>
    </row>
    <row r="797" customFormat="false" ht="14.35" hidden="false" customHeight="false" outlineLevel="0" collapsed="false">
      <c r="A797" s="4" t="n">
        <v>31989</v>
      </c>
      <c r="B797" s="5" t="n">
        <v>2539.76010294564</v>
      </c>
      <c r="C797" s="6" t="n">
        <v>1000</v>
      </c>
      <c r="D797" s="7" t="n">
        <v>700</v>
      </c>
      <c r="E797" s="6" t="n">
        <v>1165.26991570603</v>
      </c>
      <c r="F797" s="5" t="n">
        <v>5000</v>
      </c>
      <c r="G797" s="8" t="n">
        <v>79.8659581128104</v>
      </c>
    </row>
    <row r="798" customFormat="false" ht="14.35" hidden="false" customHeight="false" outlineLevel="0" collapsed="false">
      <c r="A798" s="4" t="n">
        <v>32020</v>
      </c>
      <c r="B798" s="5" t="n">
        <v>1237.85588946828</v>
      </c>
      <c r="C798" s="6" t="n">
        <v>1000</v>
      </c>
      <c r="D798" s="7" t="n">
        <v>700</v>
      </c>
      <c r="E798" s="6" t="n">
        <v>997.817646432974</v>
      </c>
      <c r="F798" s="5" t="n">
        <v>3634.41734849054</v>
      </c>
      <c r="G798" s="8" t="n">
        <v>83.0932404928485</v>
      </c>
    </row>
    <row r="799" customFormat="false" ht="14.35" hidden="false" customHeight="false" outlineLevel="0" collapsed="false">
      <c r="A799" s="4" t="n">
        <v>32050</v>
      </c>
      <c r="B799" s="5" t="n">
        <v>1224.56313216294</v>
      </c>
      <c r="C799" s="6" t="n">
        <v>1000</v>
      </c>
      <c r="D799" s="7" t="n">
        <v>773.3333333</v>
      </c>
      <c r="E799" s="6" t="n">
        <v>917.666725927489</v>
      </c>
      <c r="F799" s="5" t="n">
        <v>3000</v>
      </c>
      <c r="G799" s="8" t="n">
        <v>86.5962900688294</v>
      </c>
    </row>
    <row r="800" customFormat="false" ht="14.35" hidden="false" customHeight="false" outlineLevel="0" collapsed="false">
      <c r="A800" s="4" t="n">
        <v>32081</v>
      </c>
      <c r="B800" s="5" t="n">
        <v>1200</v>
      </c>
      <c r="C800" s="6" t="n">
        <v>1200</v>
      </c>
      <c r="D800" s="7" t="n">
        <v>800</v>
      </c>
      <c r="E800" s="6" t="n">
        <v>884.464507295215</v>
      </c>
      <c r="F800" s="5" t="n">
        <v>4000.00000000001</v>
      </c>
      <c r="G800" s="8" t="n">
        <v>89.2150737387602</v>
      </c>
    </row>
    <row r="801" customFormat="false" ht="14.35" hidden="false" customHeight="false" outlineLevel="0" collapsed="false">
      <c r="A801" s="4" t="n">
        <v>32111</v>
      </c>
      <c r="B801" s="5" t="n">
        <v>1200</v>
      </c>
      <c r="C801" s="6" t="n">
        <v>1200</v>
      </c>
      <c r="D801" s="7" t="n">
        <v>800</v>
      </c>
      <c r="E801" s="6" t="n">
        <v>914.342933452995</v>
      </c>
      <c r="F801" s="5" t="n">
        <v>4500</v>
      </c>
      <c r="G801" s="8" t="n">
        <v>87.8683423246271</v>
      </c>
    </row>
    <row r="802" customFormat="false" ht="14.35" hidden="false" customHeight="false" outlineLevel="0" collapsed="false">
      <c r="A802" s="4" t="n">
        <v>32142</v>
      </c>
      <c r="B802" s="5" t="n">
        <v>1200</v>
      </c>
      <c r="C802" s="6" t="n">
        <v>1200</v>
      </c>
      <c r="D802" s="7" t="n">
        <v>800</v>
      </c>
      <c r="E802" s="6" t="n">
        <v>1184.17087702869</v>
      </c>
      <c r="F802" s="5" t="n">
        <v>13195.0856723294</v>
      </c>
      <c r="G802" s="8" t="n">
        <v>86.5240417458779</v>
      </c>
    </row>
    <row r="803" customFormat="false" ht="14.35" hidden="false" customHeight="false" outlineLevel="0" collapsed="false">
      <c r="A803" s="4" t="n">
        <v>32173</v>
      </c>
      <c r="B803" s="5" t="n">
        <v>1200</v>
      </c>
      <c r="C803" s="6" t="n">
        <v>1200</v>
      </c>
      <c r="D803" s="7" t="n">
        <v>800</v>
      </c>
      <c r="E803" s="6" t="n">
        <v>1405.02312808428</v>
      </c>
      <c r="F803" s="5" t="n">
        <v>23872.0705490106</v>
      </c>
      <c r="G803" s="8" t="n">
        <v>77.8373053013983</v>
      </c>
    </row>
    <row r="804" customFormat="false" ht="14.35" hidden="false" customHeight="false" outlineLevel="0" collapsed="false">
      <c r="A804" s="4" t="n">
        <v>32202</v>
      </c>
      <c r="B804" s="5" t="n">
        <v>1200</v>
      </c>
      <c r="C804" s="6" t="n">
        <v>1200</v>
      </c>
      <c r="D804" s="7" t="n">
        <v>800</v>
      </c>
      <c r="E804" s="6" t="n">
        <v>1476.09153093079</v>
      </c>
      <c r="F804" s="5" t="n">
        <v>8963.56037899592</v>
      </c>
      <c r="G804" s="8" t="n">
        <v>70.4453086023103</v>
      </c>
    </row>
    <row r="805" customFormat="false" ht="14.35" hidden="false" customHeight="false" outlineLevel="0" collapsed="false">
      <c r="A805" s="4" t="n">
        <v>32233</v>
      </c>
      <c r="B805" s="5" t="n">
        <v>1446.2770795421</v>
      </c>
      <c r="C805" s="6" t="n">
        <v>1000</v>
      </c>
      <c r="D805" s="7" t="n">
        <v>800</v>
      </c>
      <c r="E805" s="6" t="n">
        <v>1549.32383907386</v>
      </c>
      <c r="F805" s="5" t="n">
        <v>8447.581</v>
      </c>
      <c r="G805" s="8" t="n">
        <v>75.530690483081</v>
      </c>
    </row>
    <row r="806" customFormat="false" ht="14.35" hidden="false" customHeight="false" outlineLevel="0" collapsed="false">
      <c r="A806" s="4" t="n">
        <v>32263</v>
      </c>
      <c r="B806" s="5" t="n">
        <v>750</v>
      </c>
      <c r="C806" s="6" t="n">
        <v>750</v>
      </c>
      <c r="D806" s="7" t="n">
        <v>700</v>
      </c>
      <c r="E806" s="6" t="n">
        <v>1545.84101035976</v>
      </c>
      <c r="F806" s="5" t="n">
        <v>10540.9175339726</v>
      </c>
      <c r="G806" s="8" t="n">
        <v>77.6521341030718</v>
      </c>
    </row>
    <row r="807" customFormat="false" ht="14.35" hidden="false" customHeight="false" outlineLevel="0" collapsed="false">
      <c r="A807" s="4" t="n">
        <v>32294</v>
      </c>
      <c r="B807" s="5" t="n">
        <v>916.969080519994</v>
      </c>
      <c r="C807" s="6" t="n">
        <v>750</v>
      </c>
      <c r="D807" s="7" t="n">
        <v>700</v>
      </c>
      <c r="E807" s="6" t="n">
        <v>1563.52518656185</v>
      </c>
      <c r="F807" s="5" t="n">
        <v>6250</v>
      </c>
      <c r="G807" s="8" t="n">
        <v>76.6505655222863</v>
      </c>
    </row>
    <row r="808" customFormat="false" ht="14.35" hidden="false" customHeight="false" outlineLevel="0" collapsed="false">
      <c r="A808" s="4" t="n">
        <v>32324</v>
      </c>
      <c r="B808" s="5" t="n">
        <v>4046.69550925254</v>
      </c>
      <c r="C808" s="6" t="n">
        <v>750</v>
      </c>
      <c r="D808" s="7" t="n">
        <v>700</v>
      </c>
      <c r="E808" s="6" t="n">
        <v>1341.26069594832</v>
      </c>
      <c r="F808" s="5" t="n">
        <v>7100</v>
      </c>
      <c r="G808" s="8" t="n">
        <v>80.3287730720825</v>
      </c>
    </row>
    <row r="809" customFormat="false" ht="14.35" hidden="false" customHeight="false" outlineLevel="0" collapsed="false">
      <c r="A809" s="4" t="n">
        <v>32355</v>
      </c>
      <c r="B809" s="5" t="n">
        <v>4324.37096298222</v>
      </c>
      <c r="C809" s="6" t="n">
        <v>750</v>
      </c>
      <c r="D809" s="7" t="n">
        <v>700</v>
      </c>
      <c r="E809" s="6" t="n">
        <v>1040.80494221862</v>
      </c>
      <c r="F809" s="5" t="n">
        <v>4000</v>
      </c>
      <c r="G809" s="8" t="n">
        <v>80.557061958137</v>
      </c>
    </row>
    <row r="810" customFormat="false" ht="14.35" hidden="false" customHeight="false" outlineLevel="0" collapsed="false">
      <c r="A810" s="4" t="n">
        <v>32386</v>
      </c>
      <c r="B810" s="5" t="n">
        <v>2301.11341771453</v>
      </c>
      <c r="C810" s="6" t="n">
        <v>750</v>
      </c>
      <c r="D810" s="7" t="n">
        <v>700</v>
      </c>
      <c r="E810" s="6" t="n">
        <v>890.314108076739</v>
      </c>
      <c r="F810" s="5" t="n">
        <v>3132.23649201331</v>
      </c>
      <c r="G810" s="8" t="n">
        <v>85.0302460629388</v>
      </c>
    </row>
    <row r="811" customFormat="false" ht="14.35" hidden="false" customHeight="false" outlineLevel="0" collapsed="false">
      <c r="A811" s="4" t="n">
        <v>32416</v>
      </c>
      <c r="B811" s="5" t="n">
        <v>1580.15606363373</v>
      </c>
      <c r="C811" s="6" t="n">
        <v>750</v>
      </c>
      <c r="D811" s="7" t="n">
        <v>773.3333333</v>
      </c>
      <c r="E811" s="6" t="n">
        <v>820.542087354622</v>
      </c>
      <c r="F811" s="5" t="n">
        <v>3000</v>
      </c>
      <c r="G811" s="8" t="n">
        <v>88.3710819403864</v>
      </c>
    </row>
    <row r="812" customFormat="false" ht="14.35" hidden="false" customHeight="false" outlineLevel="0" collapsed="false">
      <c r="A812" s="4" t="n">
        <v>32447</v>
      </c>
      <c r="B812" s="5" t="n">
        <v>1511.38113456112</v>
      </c>
      <c r="C812" s="6" t="n">
        <v>900</v>
      </c>
      <c r="D812" s="7" t="n">
        <v>800</v>
      </c>
      <c r="E812" s="6" t="n">
        <v>827.618713592394</v>
      </c>
      <c r="F812" s="5" t="n">
        <v>3381.27036236945</v>
      </c>
      <c r="G812" s="8" t="n">
        <v>89.7968505142566</v>
      </c>
    </row>
    <row r="813" customFormat="false" ht="14.35" hidden="false" customHeight="false" outlineLevel="0" collapsed="false">
      <c r="A813" s="4" t="n">
        <v>32477</v>
      </c>
      <c r="B813" s="5" t="n">
        <v>900.000000000004</v>
      </c>
      <c r="C813" s="6" t="n">
        <v>900</v>
      </c>
      <c r="D813" s="7" t="n">
        <v>800</v>
      </c>
      <c r="E813" s="6" t="n">
        <v>906.179283791618</v>
      </c>
      <c r="F813" s="5" t="n">
        <v>4976.26569798873</v>
      </c>
      <c r="G813" s="8" t="n">
        <v>89.3471474019437</v>
      </c>
    </row>
    <row r="814" customFormat="false" ht="14.35" hidden="false" customHeight="false" outlineLevel="0" collapsed="false">
      <c r="A814" s="4" t="n">
        <v>32508</v>
      </c>
      <c r="B814" s="5" t="n">
        <v>900</v>
      </c>
      <c r="C814" s="6" t="n">
        <v>900</v>
      </c>
      <c r="D814" s="7" t="n">
        <v>800</v>
      </c>
      <c r="E814" s="6" t="n">
        <v>920.912286377465</v>
      </c>
      <c r="F814" s="5" t="n">
        <v>4739.45655203692</v>
      </c>
      <c r="G814" s="8" t="n">
        <v>86.2376470736338</v>
      </c>
    </row>
    <row r="815" customFormat="false" ht="14.35" hidden="false" customHeight="false" outlineLevel="0" collapsed="false">
      <c r="A815" s="4" t="n">
        <v>32539</v>
      </c>
      <c r="B815" s="5" t="n">
        <v>900</v>
      </c>
      <c r="C815" s="6" t="n">
        <v>900</v>
      </c>
      <c r="D815" s="7" t="n">
        <v>800</v>
      </c>
      <c r="E815" s="6" t="n">
        <v>945.948816093143</v>
      </c>
      <c r="F815" s="5" t="n">
        <v>7741.66422780965</v>
      </c>
      <c r="G815" s="8" t="n">
        <v>85.5920918682043</v>
      </c>
    </row>
    <row r="816" customFormat="false" ht="14.35" hidden="false" customHeight="false" outlineLevel="0" collapsed="false">
      <c r="A816" s="4" t="n">
        <v>32567</v>
      </c>
      <c r="B816" s="5" t="n">
        <v>900</v>
      </c>
      <c r="C816" s="6" t="n">
        <v>900</v>
      </c>
      <c r="D816" s="7" t="n">
        <v>800</v>
      </c>
      <c r="E816" s="6" t="n">
        <v>1085.54359161792</v>
      </c>
      <c r="F816" s="5" t="n">
        <v>8635.714</v>
      </c>
      <c r="G816" s="8" t="n">
        <v>81.619161769949</v>
      </c>
    </row>
    <row r="817" customFormat="false" ht="14.35" hidden="false" customHeight="false" outlineLevel="0" collapsed="false">
      <c r="A817" s="4" t="n">
        <v>32598</v>
      </c>
      <c r="B817" s="5" t="n">
        <v>800</v>
      </c>
      <c r="C817" s="6" t="n">
        <v>750</v>
      </c>
      <c r="D817" s="7" t="n">
        <v>800</v>
      </c>
      <c r="E817" s="6" t="n">
        <v>2236.34668204374</v>
      </c>
      <c r="F817" s="5" t="n">
        <v>45959.1282686507</v>
      </c>
      <c r="G817" s="8" t="n">
        <v>79.4790971013254</v>
      </c>
    </row>
    <row r="818" customFormat="false" ht="14.35" hidden="false" customHeight="false" outlineLevel="0" collapsed="false">
      <c r="A818" s="4" t="n">
        <v>32628</v>
      </c>
      <c r="B818" s="5" t="n">
        <v>750.000000000001</v>
      </c>
      <c r="C818" s="6" t="n">
        <v>750</v>
      </c>
      <c r="D818" s="7" t="n">
        <v>700</v>
      </c>
      <c r="E818" s="6" t="n">
        <v>2621.59558148701</v>
      </c>
      <c r="F818" s="5" t="n">
        <v>23600.4147352434</v>
      </c>
      <c r="G818" s="8" t="n">
        <v>65.9623860669454</v>
      </c>
    </row>
    <row r="819" customFormat="false" ht="14.35" hidden="false" customHeight="false" outlineLevel="0" collapsed="false">
      <c r="A819" s="4" t="n">
        <v>32659</v>
      </c>
      <c r="B819" s="5" t="n">
        <v>1678.40307023663</v>
      </c>
      <c r="C819" s="6" t="n">
        <v>750</v>
      </c>
      <c r="D819" s="7" t="n">
        <v>700</v>
      </c>
      <c r="E819" s="6" t="n">
        <v>2558.01373575693</v>
      </c>
      <c r="F819" s="5" t="n">
        <v>10108.064</v>
      </c>
      <c r="G819" s="8" t="n">
        <v>66.6404385951895</v>
      </c>
    </row>
    <row r="820" customFormat="false" ht="14.35" hidden="false" customHeight="false" outlineLevel="0" collapsed="false">
      <c r="A820" s="4" t="n">
        <v>32689</v>
      </c>
      <c r="B820" s="5" t="n">
        <v>3289.0929079766</v>
      </c>
      <c r="C820" s="6" t="n">
        <v>750</v>
      </c>
      <c r="D820" s="7" t="n">
        <v>700</v>
      </c>
      <c r="E820" s="6" t="n">
        <v>2305.59741607444</v>
      </c>
      <c r="F820" s="5" t="n">
        <v>5937.5</v>
      </c>
      <c r="G820" s="8" t="n">
        <v>73.3623458710915</v>
      </c>
    </row>
    <row r="821" customFormat="false" ht="14.35" hidden="false" customHeight="false" outlineLevel="0" collapsed="false">
      <c r="A821" s="4" t="n">
        <v>32720</v>
      </c>
      <c r="B821" s="5" t="n">
        <v>9522.47253485737</v>
      </c>
      <c r="C821" s="6" t="n">
        <v>750</v>
      </c>
      <c r="D821" s="7" t="n">
        <v>700</v>
      </c>
      <c r="E821" s="6" t="n">
        <v>1633.28321843558</v>
      </c>
      <c r="F821" s="5" t="n">
        <v>5000</v>
      </c>
      <c r="G821" s="8" t="n">
        <v>79.6440730370727</v>
      </c>
    </row>
    <row r="822" customFormat="false" ht="14.35" hidden="false" customHeight="false" outlineLevel="0" collapsed="false">
      <c r="A822" s="4" t="n">
        <v>32751</v>
      </c>
      <c r="B822" s="5" t="n">
        <v>2114.93925950655</v>
      </c>
      <c r="C822" s="6" t="n">
        <v>750</v>
      </c>
      <c r="D822" s="7" t="n">
        <v>700</v>
      </c>
      <c r="E822" s="6" t="n">
        <v>1506.03931488758</v>
      </c>
      <c r="F822" s="5" t="n">
        <v>3753.94431113254</v>
      </c>
      <c r="G822" s="8" t="n">
        <v>83.0205065650217</v>
      </c>
    </row>
    <row r="823" customFormat="false" ht="14.35" hidden="false" customHeight="false" outlineLevel="0" collapsed="false">
      <c r="A823" s="4" t="n">
        <v>32781</v>
      </c>
      <c r="B823" s="5" t="n">
        <v>773.3333333</v>
      </c>
      <c r="C823" s="6" t="n">
        <v>750</v>
      </c>
      <c r="D823" s="7" t="n">
        <v>773.3333333</v>
      </c>
      <c r="E823" s="6" t="n">
        <v>1515.44934455904</v>
      </c>
      <c r="F823" s="5" t="n">
        <v>3000</v>
      </c>
      <c r="G823" s="8" t="n">
        <v>86.3244119287942</v>
      </c>
    </row>
    <row r="824" customFormat="false" ht="14.35" hidden="false" customHeight="false" outlineLevel="0" collapsed="false">
      <c r="A824" s="4" t="n">
        <v>32812</v>
      </c>
      <c r="B824" s="5" t="n">
        <v>900.000000000011</v>
      </c>
      <c r="C824" s="6" t="n">
        <v>900</v>
      </c>
      <c r="D824" s="7" t="n">
        <v>800</v>
      </c>
      <c r="E824" s="6" t="n">
        <v>1538.3523550883</v>
      </c>
      <c r="F824" s="5" t="n">
        <v>4154.1909661035</v>
      </c>
      <c r="G824" s="8" t="n">
        <v>89.1259520844567</v>
      </c>
    </row>
    <row r="825" customFormat="false" ht="14.35" hidden="false" customHeight="false" outlineLevel="0" collapsed="false">
      <c r="A825" s="4" t="n">
        <v>32842</v>
      </c>
      <c r="B825" s="5" t="n">
        <v>899.999999999999</v>
      </c>
      <c r="C825" s="6" t="n">
        <v>900</v>
      </c>
      <c r="D825" s="7" t="n">
        <v>800</v>
      </c>
      <c r="E825" s="6" t="n">
        <v>1528.94898768059</v>
      </c>
      <c r="F825" s="5" t="n">
        <v>4500.00000000001</v>
      </c>
      <c r="G825" s="8" t="n">
        <v>87.5492011279331</v>
      </c>
    </row>
    <row r="826" customFormat="false" ht="14.35" hidden="false" customHeight="false" outlineLevel="0" collapsed="false">
      <c r="A826" s="4" t="n">
        <v>32873</v>
      </c>
      <c r="B826" s="5" t="n">
        <v>900</v>
      </c>
      <c r="C826" s="6" t="n">
        <v>900</v>
      </c>
      <c r="D826" s="7" t="n">
        <v>800</v>
      </c>
      <c r="E826" s="6" t="n">
        <v>1540.76097862196</v>
      </c>
      <c r="F826" s="5" t="n">
        <v>5016.03567374263</v>
      </c>
      <c r="G826" s="8" t="n">
        <v>86.4194272616016</v>
      </c>
    </row>
    <row r="827" customFormat="false" ht="14.35" hidden="false" customHeight="false" outlineLevel="0" collapsed="false">
      <c r="A827" s="4" t="n">
        <v>32904</v>
      </c>
      <c r="B827" s="5" t="n">
        <v>900</v>
      </c>
      <c r="C827" s="6" t="n">
        <v>900</v>
      </c>
      <c r="D827" s="7" t="n">
        <v>800</v>
      </c>
      <c r="E827" s="6" t="n">
        <v>1615.51816696943</v>
      </c>
      <c r="F827" s="5" t="n">
        <v>14248.6724225922</v>
      </c>
      <c r="G827" s="8" t="n">
        <v>85.2169233749558</v>
      </c>
    </row>
    <row r="828" customFormat="false" ht="14.35" hidden="false" customHeight="false" outlineLevel="0" collapsed="false">
      <c r="A828" s="4" t="n">
        <v>32932</v>
      </c>
      <c r="B828" s="5" t="n">
        <v>900</v>
      </c>
      <c r="C828" s="6" t="n">
        <v>900</v>
      </c>
      <c r="D828" s="7" t="n">
        <v>800</v>
      </c>
      <c r="E828" s="6" t="n">
        <v>1699.43223292223</v>
      </c>
      <c r="F828" s="5" t="n">
        <v>12285.8681395319</v>
      </c>
      <c r="G828" s="8" t="n">
        <v>76.8199892845231</v>
      </c>
    </row>
    <row r="829" customFormat="false" ht="14.35" hidden="false" customHeight="false" outlineLevel="0" collapsed="false">
      <c r="A829" s="4" t="n">
        <v>32963</v>
      </c>
      <c r="B829" s="5" t="n">
        <v>800</v>
      </c>
      <c r="C829" s="6" t="n">
        <v>750</v>
      </c>
      <c r="D829" s="7" t="n">
        <v>800</v>
      </c>
      <c r="E829" s="6" t="n">
        <v>1962.93989910963</v>
      </c>
      <c r="F829" s="5" t="n">
        <v>7843.53799221584</v>
      </c>
      <c r="G829" s="8" t="n">
        <v>75.2035792374622</v>
      </c>
    </row>
    <row r="830" customFormat="false" ht="14.35" hidden="false" customHeight="false" outlineLevel="0" collapsed="false">
      <c r="A830" s="4" t="n">
        <v>32993</v>
      </c>
      <c r="B830" s="5" t="n">
        <v>750</v>
      </c>
      <c r="C830" s="6" t="n">
        <v>750</v>
      </c>
      <c r="D830" s="7" t="n">
        <v>700</v>
      </c>
      <c r="E830" s="6" t="n">
        <v>1968.07985408958</v>
      </c>
      <c r="F830" s="5" t="n">
        <v>9526.667</v>
      </c>
      <c r="G830" s="8" t="n">
        <v>78.1135963944618</v>
      </c>
    </row>
    <row r="831" customFormat="false" ht="14.35" hidden="false" customHeight="false" outlineLevel="0" collapsed="false">
      <c r="A831" s="4" t="n">
        <v>33024</v>
      </c>
      <c r="B831" s="5" t="n">
        <v>836.00313440947</v>
      </c>
      <c r="C831" s="6" t="n">
        <v>750</v>
      </c>
      <c r="D831" s="7" t="n">
        <v>700</v>
      </c>
      <c r="E831" s="6" t="n">
        <v>1985.18038166168</v>
      </c>
      <c r="F831" s="5" t="n">
        <v>6703.34861905003</v>
      </c>
      <c r="G831" s="8" t="n">
        <v>77.5773285140718</v>
      </c>
    </row>
    <row r="832" customFormat="false" ht="14.35" hidden="false" customHeight="false" outlineLevel="0" collapsed="false">
      <c r="A832" s="4" t="n">
        <v>33054</v>
      </c>
      <c r="B832" s="5" t="n">
        <v>3381.76947926255</v>
      </c>
      <c r="C832" s="6" t="n">
        <v>750</v>
      </c>
      <c r="D832" s="7" t="n">
        <v>700</v>
      </c>
      <c r="E832" s="6" t="n">
        <v>1760.54472060941</v>
      </c>
      <c r="F832" s="5" t="n">
        <v>4000</v>
      </c>
      <c r="G832" s="8" t="n">
        <v>80.0957979074032</v>
      </c>
    </row>
    <row r="833" customFormat="false" ht="14.35" hidden="false" customHeight="false" outlineLevel="0" collapsed="false">
      <c r="A833" s="4" t="n">
        <v>33085</v>
      </c>
      <c r="B833" s="5" t="n">
        <v>3369.67292871947</v>
      </c>
      <c r="C833" s="6" t="n">
        <v>750</v>
      </c>
      <c r="D833" s="7" t="n">
        <v>700</v>
      </c>
      <c r="E833" s="6" t="n">
        <v>1507.89597856354</v>
      </c>
      <c r="F833" s="5" t="n">
        <v>4000</v>
      </c>
      <c r="G833" s="8" t="n">
        <v>84.8790437071082</v>
      </c>
    </row>
    <row r="834" customFormat="false" ht="14.35" hidden="false" customHeight="false" outlineLevel="0" collapsed="false">
      <c r="A834" s="4" t="n">
        <v>33116</v>
      </c>
      <c r="B834" s="5" t="n">
        <v>1362.43346940486</v>
      </c>
      <c r="C834" s="6" t="n">
        <v>750</v>
      </c>
      <c r="D834" s="7" t="n">
        <v>700</v>
      </c>
      <c r="E834" s="6" t="n">
        <v>1388.91929003484</v>
      </c>
      <c r="F834" s="5" t="n">
        <v>3000</v>
      </c>
      <c r="G834" s="8" t="n">
        <v>86.4469916802515</v>
      </c>
    </row>
    <row r="835" customFormat="false" ht="14.35" hidden="false" customHeight="false" outlineLevel="0" collapsed="false">
      <c r="A835" s="4" t="n">
        <v>33146</v>
      </c>
      <c r="B835" s="5" t="n">
        <v>1005.85421230821</v>
      </c>
      <c r="C835" s="6" t="n">
        <v>750</v>
      </c>
      <c r="D835" s="7" t="n">
        <v>773.3333333</v>
      </c>
      <c r="E835" s="6" t="n">
        <v>1318.67950080938</v>
      </c>
      <c r="F835" s="5" t="n">
        <v>3000</v>
      </c>
      <c r="G835" s="8" t="n">
        <v>89.1661337269844</v>
      </c>
    </row>
    <row r="836" customFormat="false" ht="14.35" hidden="false" customHeight="false" outlineLevel="0" collapsed="false">
      <c r="A836" s="4" t="n">
        <v>33177</v>
      </c>
      <c r="B836" s="5" t="n">
        <v>931.298008103222</v>
      </c>
      <c r="C836" s="6" t="n">
        <v>900</v>
      </c>
      <c r="D836" s="7" t="n">
        <v>800</v>
      </c>
      <c r="E836" s="6" t="n">
        <v>1238.92277850658</v>
      </c>
      <c r="F836" s="5" t="n">
        <v>4249.28263139855</v>
      </c>
      <c r="G836" s="8" t="n">
        <v>90.0574684899035</v>
      </c>
    </row>
    <row r="837" customFormat="false" ht="14.35" hidden="false" customHeight="false" outlineLevel="0" collapsed="false">
      <c r="A837" s="4" t="n">
        <v>33207</v>
      </c>
      <c r="B837" s="5" t="n">
        <v>899.999999999993</v>
      </c>
      <c r="C837" s="6" t="n">
        <v>900</v>
      </c>
      <c r="D837" s="7" t="n">
        <v>800</v>
      </c>
      <c r="E837" s="6" t="n">
        <v>1152.32985372695</v>
      </c>
      <c r="F837" s="5" t="n">
        <v>3500</v>
      </c>
      <c r="G837" s="8" t="n">
        <v>87.6810675104159</v>
      </c>
    </row>
    <row r="838" customFormat="false" ht="14.35" hidden="false" customHeight="false" outlineLevel="0" collapsed="false">
      <c r="A838" s="4" t="n">
        <v>33238</v>
      </c>
      <c r="B838" s="5" t="n">
        <v>1374.54254092619</v>
      </c>
      <c r="C838" s="6" t="n">
        <v>900</v>
      </c>
      <c r="D838" s="7" t="n">
        <v>800</v>
      </c>
      <c r="E838" s="6" t="n">
        <v>1081.01428809277</v>
      </c>
      <c r="F838" s="5" t="n">
        <v>5039.6603055032</v>
      </c>
      <c r="G838" s="8" t="n">
        <v>88.389052947132</v>
      </c>
    </row>
    <row r="839" customFormat="false" ht="14.35" hidden="false" customHeight="false" outlineLevel="0" collapsed="false">
      <c r="A839" s="4" t="n">
        <v>33269</v>
      </c>
      <c r="B839" s="5" t="n">
        <v>900</v>
      </c>
      <c r="C839" s="6" t="n">
        <v>900</v>
      </c>
      <c r="D839" s="7" t="n">
        <v>800</v>
      </c>
      <c r="E839" s="6" t="n">
        <v>1028.60224416046</v>
      </c>
      <c r="F839" s="5" t="n">
        <v>5747.127703771</v>
      </c>
      <c r="G839" s="8" t="n">
        <v>85.8265492439902</v>
      </c>
    </row>
    <row r="840" customFormat="false" ht="14.35" hidden="false" customHeight="false" outlineLevel="0" collapsed="false">
      <c r="A840" s="4" t="n">
        <v>33297</v>
      </c>
      <c r="B840" s="5" t="n">
        <v>899.999999999983</v>
      </c>
      <c r="C840" s="6" t="n">
        <v>900</v>
      </c>
      <c r="D840" s="7" t="n">
        <v>800</v>
      </c>
      <c r="E840" s="6" t="n">
        <v>1043.20456184259</v>
      </c>
      <c r="F840" s="5" t="n">
        <v>7407.143</v>
      </c>
      <c r="G840" s="8" t="n">
        <v>83.979635384506</v>
      </c>
    </row>
    <row r="841" customFormat="false" ht="14.35" hidden="false" customHeight="false" outlineLevel="0" collapsed="false">
      <c r="A841" s="4" t="n">
        <v>33328</v>
      </c>
      <c r="B841" s="5" t="n">
        <v>800</v>
      </c>
      <c r="C841" s="6" t="n">
        <v>750</v>
      </c>
      <c r="D841" s="7" t="n">
        <v>800</v>
      </c>
      <c r="E841" s="6" t="n">
        <v>1428.23653175279</v>
      </c>
      <c r="F841" s="5" t="n">
        <v>30573.232569923</v>
      </c>
      <c r="G841" s="8" t="n">
        <v>81.4291891106594</v>
      </c>
    </row>
    <row r="842" customFormat="false" ht="14.35" hidden="false" customHeight="false" outlineLevel="0" collapsed="false">
      <c r="A842" s="4" t="n">
        <v>33358</v>
      </c>
      <c r="B842" s="5" t="n">
        <v>750</v>
      </c>
      <c r="C842" s="6" t="n">
        <v>750</v>
      </c>
      <c r="D842" s="7" t="n">
        <v>700</v>
      </c>
      <c r="E842" s="6" t="n">
        <v>1588.05811572796</v>
      </c>
      <c r="F842" s="5" t="n">
        <v>13402.5794378165</v>
      </c>
      <c r="G842" s="8" t="n">
        <v>69.7262131866382</v>
      </c>
    </row>
    <row r="843" customFormat="false" ht="14.35" hidden="false" customHeight="false" outlineLevel="0" collapsed="false">
      <c r="A843" s="4" t="n">
        <v>33389</v>
      </c>
      <c r="B843" s="5" t="n">
        <v>750</v>
      </c>
      <c r="C843" s="6" t="n">
        <v>750</v>
      </c>
      <c r="D843" s="7" t="n">
        <v>700</v>
      </c>
      <c r="E843" s="6" t="n">
        <v>1720.90317232228</v>
      </c>
      <c r="F843" s="5" t="n">
        <v>6179.18037649281</v>
      </c>
      <c r="G843" s="8" t="n">
        <v>72.2113775992219</v>
      </c>
    </row>
    <row r="844" customFormat="false" ht="14.35" hidden="false" customHeight="false" outlineLevel="0" collapsed="false">
      <c r="A844" s="4" t="n">
        <v>33419</v>
      </c>
      <c r="B844" s="5" t="n">
        <v>3076.91190296584</v>
      </c>
      <c r="C844" s="6" t="n">
        <v>750</v>
      </c>
      <c r="D844" s="7" t="n">
        <v>700</v>
      </c>
      <c r="E844" s="6" t="n">
        <v>1563.38420173482</v>
      </c>
      <c r="F844" s="5" t="n">
        <v>4000.01324390338</v>
      </c>
      <c r="G844" s="8" t="n">
        <v>78.9609596704716</v>
      </c>
    </row>
    <row r="845" customFormat="false" ht="14.35" hidden="false" customHeight="false" outlineLevel="0" collapsed="false">
      <c r="A845" s="4" t="n">
        <v>33450</v>
      </c>
      <c r="B845" s="5" t="n">
        <v>3528.06761543792</v>
      </c>
      <c r="C845" s="6" t="n">
        <v>750</v>
      </c>
      <c r="D845" s="7" t="n">
        <v>700</v>
      </c>
      <c r="E845" s="6" t="n">
        <v>1395.10362847426</v>
      </c>
      <c r="F845" s="5" t="n">
        <v>4000.00000000002</v>
      </c>
      <c r="G845" s="8" t="n">
        <v>84.5070183534689</v>
      </c>
    </row>
    <row r="846" customFormat="false" ht="14.35" hidden="false" customHeight="false" outlineLevel="0" collapsed="false">
      <c r="A846" s="4" t="n">
        <v>33481</v>
      </c>
      <c r="B846" s="5" t="n">
        <v>2311.60554714952</v>
      </c>
      <c r="C846" s="6" t="n">
        <v>750</v>
      </c>
      <c r="D846" s="7" t="n">
        <v>700</v>
      </c>
      <c r="E846" s="6" t="n">
        <v>1269.52491406135</v>
      </c>
      <c r="F846" s="5" t="n">
        <v>3846.49893216461</v>
      </c>
      <c r="G846" s="8" t="n">
        <v>86.3250417693285</v>
      </c>
    </row>
    <row r="847" customFormat="false" ht="14.35" hidden="false" customHeight="false" outlineLevel="0" collapsed="false">
      <c r="A847" s="4" t="n">
        <v>33511</v>
      </c>
      <c r="B847" s="5" t="n">
        <v>1199.35670192735</v>
      </c>
      <c r="C847" s="6" t="n">
        <v>750</v>
      </c>
      <c r="D847" s="7" t="n">
        <v>773.3333333</v>
      </c>
      <c r="E847" s="6" t="n">
        <v>1257.6772653139</v>
      </c>
      <c r="F847" s="5" t="n">
        <v>3000</v>
      </c>
      <c r="G847" s="8" t="n">
        <v>87.2209405659095</v>
      </c>
    </row>
    <row r="848" customFormat="false" ht="14.35" hidden="false" customHeight="false" outlineLevel="0" collapsed="false">
      <c r="A848" s="4" t="n">
        <v>33542</v>
      </c>
      <c r="B848" s="5" t="n">
        <v>900.000000000012</v>
      </c>
      <c r="C848" s="6" t="n">
        <v>900</v>
      </c>
      <c r="D848" s="7" t="n">
        <v>800</v>
      </c>
      <c r="E848" s="6" t="n">
        <v>1166.88863065577</v>
      </c>
      <c r="F848" s="5" t="n">
        <v>3964.00448195056</v>
      </c>
      <c r="G848" s="8" t="n">
        <v>89.4198341717031</v>
      </c>
    </row>
    <row r="849" customFormat="false" ht="14.35" hidden="false" customHeight="false" outlineLevel="0" collapsed="false">
      <c r="A849" s="4" t="n">
        <v>33572</v>
      </c>
      <c r="B849" s="5" t="n">
        <v>900</v>
      </c>
      <c r="C849" s="6" t="n">
        <v>900</v>
      </c>
      <c r="D849" s="7" t="n">
        <v>800</v>
      </c>
      <c r="E849" s="6" t="n">
        <v>1064.70384672925</v>
      </c>
      <c r="F849" s="5" t="n">
        <v>3500</v>
      </c>
      <c r="G849" s="8" t="n">
        <v>88.0047541260124</v>
      </c>
    </row>
    <row r="850" customFormat="false" ht="14.35" hidden="false" customHeight="false" outlineLevel="0" collapsed="false">
      <c r="A850" s="4" t="n">
        <v>33603</v>
      </c>
      <c r="B850" s="5" t="n">
        <v>900</v>
      </c>
      <c r="C850" s="6" t="n">
        <v>900</v>
      </c>
      <c r="D850" s="7" t="n">
        <v>800</v>
      </c>
      <c r="E850" s="6" t="n">
        <v>1012.36159821345</v>
      </c>
      <c r="F850" s="5" t="n">
        <v>4116.22196752867</v>
      </c>
      <c r="G850" s="8" t="n">
        <v>88.4951574197245</v>
      </c>
    </row>
    <row r="851" customFormat="false" ht="14.35" hidden="false" customHeight="false" outlineLevel="0" collapsed="false">
      <c r="A851" s="4" t="n">
        <v>33634</v>
      </c>
      <c r="B851" s="5" t="n">
        <v>900</v>
      </c>
      <c r="C851" s="6" t="n">
        <v>900</v>
      </c>
      <c r="D851" s="7" t="n">
        <v>800</v>
      </c>
      <c r="E851" s="6" t="n">
        <v>1017.6683217446</v>
      </c>
      <c r="F851" s="5" t="n">
        <v>7880.91209859157</v>
      </c>
      <c r="G851" s="8" t="n">
        <v>87.412809027889</v>
      </c>
    </row>
    <row r="852" customFormat="false" ht="14.35" hidden="false" customHeight="false" outlineLevel="0" collapsed="false">
      <c r="A852" s="4" t="n">
        <v>33663</v>
      </c>
      <c r="B852" s="5" t="n">
        <v>900</v>
      </c>
      <c r="C852" s="6" t="n">
        <v>900</v>
      </c>
      <c r="D852" s="7" t="n">
        <v>800</v>
      </c>
      <c r="E852" s="6" t="n">
        <v>1276.70457863924</v>
      </c>
      <c r="F852" s="5" t="n">
        <v>33162.3323421386</v>
      </c>
      <c r="G852" s="8" t="n">
        <v>82.0793438648959</v>
      </c>
    </row>
    <row r="853" customFormat="false" ht="14.35" hidden="false" customHeight="false" outlineLevel="0" collapsed="false">
      <c r="A853" s="4" t="n">
        <v>33694</v>
      </c>
      <c r="B853" s="5" t="n">
        <v>800</v>
      </c>
      <c r="C853" s="6" t="n">
        <v>750</v>
      </c>
      <c r="D853" s="7" t="n">
        <v>800</v>
      </c>
      <c r="E853" s="6" t="n">
        <v>1516.79747839732</v>
      </c>
      <c r="F853" s="5" t="n">
        <v>15805.9939715524</v>
      </c>
      <c r="G853" s="8" t="n">
        <v>69.3162234802619</v>
      </c>
    </row>
    <row r="854" customFormat="false" ht="14.35" hidden="false" customHeight="false" outlineLevel="0" collapsed="false">
      <c r="A854" s="4" t="n">
        <v>33724</v>
      </c>
      <c r="B854" s="5" t="n">
        <v>750</v>
      </c>
      <c r="C854" s="6" t="n">
        <v>750</v>
      </c>
      <c r="D854" s="7" t="n">
        <v>700</v>
      </c>
      <c r="E854" s="6" t="n">
        <v>1617.40526824619</v>
      </c>
      <c r="F854" s="5" t="n">
        <v>11676.9050982739</v>
      </c>
      <c r="G854" s="8" t="n">
        <v>70.8126530756974</v>
      </c>
    </row>
    <row r="855" customFormat="false" ht="14.35" hidden="false" customHeight="false" outlineLevel="0" collapsed="false">
      <c r="A855" s="4" t="n">
        <v>33755</v>
      </c>
      <c r="B855" s="5" t="n">
        <v>2452.72605434747</v>
      </c>
      <c r="C855" s="6" t="n">
        <v>750</v>
      </c>
      <c r="D855" s="7" t="n">
        <v>700</v>
      </c>
      <c r="E855" s="6" t="n">
        <v>1452.84675506739</v>
      </c>
      <c r="F855" s="5" t="n">
        <v>5812.5</v>
      </c>
      <c r="G855" s="8" t="n">
        <v>73.6240528804696</v>
      </c>
    </row>
    <row r="856" customFormat="false" ht="14.35" hidden="false" customHeight="false" outlineLevel="0" collapsed="false">
      <c r="A856" s="4" t="n">
        <v>33785</v>
      </c>
      <c r="B856" s="5" t="n">
        <v>3984.75809554355</v>
      </c>
      <c r="C856" s="6" t="n">
        <v>750</v>
      </c>
      <c r="D856" s="7" t="n">
        <v>700</v>
      </c>
      <c r="E856" s="6" t="n">
        <v>1113.68768453721</v>
      </c>
      <c r="F856" s="5" t="n">
        <v>7100</v>
      </c>
      <c r="G856" s="8" t="n">
        <v>79.8929581861181</v>
      </c>
    </row>
    <row r="857" customFormat="false" ht="14.35" hidden="false" customHeight="false" outlineLevel="0" collapsed="false">
      <c r="A857" s="4" t="n">
        <v>33816</v>
      </c>
      <c r="B857" s="5" t="n">
        <v>3726.35880402642</v>
      </c>
      <c r="C857" s="6" t="n">
        <v>750</v>
      </c>
      <c r="D857" s="7" t="n">
        <v>700</v>
      </c>
      <c r="E857" s="6" t="n">
        <v>782.309096700061</v>
      </c>
      <c r="F857" s="5" t="n">
        <v>4000</v>
      </c>
      <c r="G857" s="8" t="n">
        <v>80.4142018385178</v>
      </c>
    </row>
    <row r="858" customFormat="false" ht="14.35" hidden="false" customHeight="false" outlineLevel="0" collapsed="false">
      <c r="A858" s="4" t="n">
        <v>33847</v>
      </c>
      <c r="B858" s="5" t="n">
        <v>2004.11627634785</v>
      </c>
      <c r="C858" s="6" t="n">
        <v>750</v>
      </c>
      <c r="D858" s="7" t="n">
        <v>700</v>
      </c>
      <c r="E858" s="6" t="n">
        <v>597.289430832702</v>
      </c>
      <c r="F858" s="5" t="n">
        <v>3000</v>
      </c>
      <c r="G858" s="8" t="n">
        <v>84.9834165157276</v>
      </c>
    </row>
    <row r="859" customFormat="false" ht="14.35" hidden="false" customHeight="false" outlineLevel="0" collapsed="false">
      <c r="A859" s="4" t="n">
        <v>33877</v>
      </c>
      <c r="B859" s="5" t="n">
        <v>2109.27754408336</v>
      </c>
      <c r="C859" s="6" t="n">
        <v>750</v>
      </c>
      <c r="D859" s="7" t="n">
        <v>773.3333333</v>
      </c>
      <c r="E859" s="6" t="n">
        <v>461.900432345303</v>
      </c>
      <c r="F859" s="5" t="n">
        <v>3000</v>
      </c>
      <c r="G859" s="8" t="n">
        <v>88.6863737880535</v>
      </c>
    </row>
    <row r="860" customFormat="false" ht="14.35" hidden="false" customHeight="false" outlineLevel="0" collapsed="false">
      <c r="A860" s="4" t="n">
        <v>33908</v>
      </c>
      <c r="B860" s="5" t="n">
        <v>2145.82730696136</v>
      </c>
      <c r="C860" s="6" t="n">
        <v>900</v>
      </c>
      <c r="D860" s="7" t="n">
        <v>800</v>
      </c>
      <c r="E860" s="6" t="n">
        <v>434.415996621941</v>
      </c>
      <c r="F860" s="5" t="n">
        <v>5573.54802882257</v>
      </c>
      <c r="G860" s="8" t="n">
        <v>89.9002031819219</v>
      </c>
    </row>
    <row r="861" customFormat="false" ht="14.35" hidden="false" customHeight="false" outlineLevel="0" collapsed="false">
      <c r="A861" s="4" t="n">
        <v>33938</v>
      </c>
      <c r="B861" s="5" t="n">
        <v>900</v>
      </c>
      <c r="C861" s="6" t="n">
        <v>900</v>
      </c>
      <c r="D861" s="7" t="n">
        <v>800</v>
      </c>
      <c r="E861" s="6" t="n">
        <v>463.744077934295</v>
      </c>
      <c r="F861" s="5" t="n">
        <v>3500</v>
      </c>
      <c r="G861" s="8" t="n">
        <v>85.5500612522902</v>
      </c>
    </row>
    <row r="862" customFormat="false" ht="14.35" hidden="false" customHeight="false" outlineLevel="0" collapsed="false">
      <c r="A862" s="4" t="n">
        <v>33969</v>
      </c>
      <c r="B862" s="5" t="n">
        <v>900</v>
      </c>
      <c r="C862" s="6" t="n">
        <v>900</v>
      </c>
      <c r="D862" s="7" t="n">
        <v>800</v>
      </c>
      <c r="E862" s="6" t="n">
        <v>625.682319452868</v>
      </c>
      <c r="F862" s="5" t="n">
        <v>8502.58018281218</v>
      </c>
      <c r="G862" s="8" t="n">
        <v>87.6905090957184</v>
      </c>
    </row>
    <row r="863" customFormat="false" ht="14.35" hidden="false" customHeight="false" outlineLevel="0" collapsed="false">
      <c r="A863" s="4" t="n">
        <v>34000</v>
      </c>
      <c r="B863" s="5" t="n">
        <v>900</v>
      </c>
      <c r="C863" s="6" t="n">
        <v>900</v>
      </c>
      <c r="D863" s="7" t="n">
        <v>800</v>
      </c>
      <c r="E863" s="6" t="n">
        <v>1200.37254433338</v>
      </c>
      <c r="F863" s="5" t="n">
        <v>65756.1298338954</v>
      </c>
      <c r="G863" s="8" t="n">
        <v>81.5883783876669</v>
      </c>
    </row>
    <row r="864" customFormat="false" ht="14.35" hidden="false" customHeight="false" outlineLevel="0" collapsed="false">
      <c r="A864" s="4" t="n">
        <v>34028</v>
      </c>
      <c r="B864" s="5" t="n">
        <v>900</v>
      </c>
      <c r="C864" s="6" t="n">
        <v>900</v>
      </c>
      <c r="D864" s="7" t="n">
        <v>800</v>
      </c>
      <c r="E864" s="6" t="n">
        <v>1669.9356199517</v>
      </c>
      <c r="F864" s="5" t="n">
        <v>58144.5038940984</v>
      </c>
      <c r="G864" s="8" t="n">
        <v>63.9080957236867</v>
      </c>
    </row>
    <row r="865" customFormat="false" ht="14.35" hidden="false" customHeight="false" outlineLevel="0" collapsed="false">
      <c r="A865" s="4" t="n">
        <v>34059</v>
      </c>
      <c r="B865" s="5" t="n">
        <v>800</v>
      </c>
      <c r="C865" s="6" t="n">
        <v>750</v>
      </c>
      <c r="D865" s="7" t="n">
        <v>800</v>
      </c>
      <c r="E865" s="6" t="n">
        <v>2847.33348592309</v>
      </c>
      <c r="F865" s="5" t="n">
        <v>37198.9678099458</v>
      </c>
      <c r="G865" s="8" t="n">
        <v>59.0554957643115</v>
      </c>
    </row>
    <row r="866" customFormat="false" ht="14.35" hidden="false" customHeight="false" outlineLevel="0" collapsed="false">
      <c r="A866" s="4" t="n">
        <v>34089</v>
      </c>
      <c r="B866" s="5" t="n">
        <v>1614.14263036315</v>
      </c>
      <c r="C866" s="6" t="n">
        <v>1000</v>
      </c>
      <c r="D866" s="7" t="n">
        <v>700</v>
      </c>
      <c r="E866" s="6" t="n">
        <v>3456</v>
      </c>
      <c r="F866" s="5" t="n">
        <v>42456.7540826831</v>
      </c>
      <c r="G866" s="8" t="n">
        <v>60.8885213149302</v>
      </c>
    </row>
    <row r="867" customFormat="false" ht="14.35" hidden="false" customHeight="false" outlineLevel="0" collapsed="false">
      <c r="A867" s="4" t="n">
        <v>34120</v>
      </c>
      <c r="B867" s="5" t="n">
        <v>7748.61489686635</v>
      </c>
      <c r="C867" s="6" t="n">
        <v>1000</v>
      </c>
      <c r="D867" s="7" t="n">
        <v>700</v>
      </c>
      <c r="E867" s="6" t="n">
        <v>3538</v>
      </c>
      <c r="F867" s="5" t="n">
        <v>31825.1635642656</v>
      </c>
      <c r="G867" s="8" t="n">
        <v>60.475996473914</v>
      </c>
    </row>
    <row r="868" customFormat="false" ht="14.35" hidden="false" customHeight="false" outlineLevel="0" collapsed="false">
      <c r="A868" s="4" t="n">
        <v>34150</v>
      </c>
      <c r="B868" s="5" t="n">
        <v>4438.61382529986</v>
      </c>
      <c r="C868" s="6" t="n">
        <v>1000</v>
      </c>
      <c r="D868" s="7" t="n">
        <v>700</v>
      </c>
      <c r="E868" s="6" t="n">
        <v>3538</v>
      </c>
      <c r="F868" s="5" t="n">
        <v>23647.0796994679</v>
      </c>
      <c r="G868" s="8" t="n">
        <v>62.5501297709823</v>
      </c>
    </row>
    <row r="869" customFormat="false" ht="14.35" hidden="false" customHeight="false" outlineLevel="0" collapsed="false">
      <c r="A869" s="4" t="n">
        <v>34181</v>
      </c>
      <c r="B869" s="5" t="n">
        <v>8708.00302169375</v>
      </c>
      <c r="C869" s="6" t="n">
        <v>1000</v>
      </c>
      <c r="D869" s="7" t="n">
        <v>700</v>
      </c>
      <c r="E869" s="6" t="n">
        <v>3032.63669525723</v>
      </c>
      <c r="F869" s="5" t="n">
        <v>8000</v>
      </c>
      <c r="G869" s="8" t="n">
        <v>65.5067593972898</v>
      </c>
    </row>
    <row r="870" customFormat="false" ht="14.35" hidden="false" customHeight="false" outlineLevel="0" collapsed="false">
      <c r="A870" s="4" t="n">
        <v>34212</v>
      </c>
      <c r="B870" s="5" t="n">
        <v>7818.4249832596</v>
      </c>
      <c r="C870" s="6" t="n">
        <v>1000</v>
      </c>
      <c r="D870" s="7" t="n">
        <v>700</v>
      </c>
      <c r="E870" s="6" t="n">
        <v>2578.22605306487</v>
      </c>
      <c r="F870" s="5" t="n">
        <v>4000</v>
      </c>
      <c r="G870" s="8" t="n">
        <v>74.7835774600238</v>
      </c>
    </row>
    <row r="871" customFormat="false" ht="14.35" hidden="false" customHeight="false" outlineLevel="0" collapsed="false">
      <c r="A871" s="4" t="n">
        <v>34242</v>
      </c>
      <c r="B871" s="5" t="n">
        <v>7947.76447635057</v>
      </c>
      <c r="C871" s="6" t="n">
        <v>1000</v>
      </c>
      <c r="D871" s="7" t="n">
        <v>773.3333333</v>
      </c>
      <c r="E871" s="6" t="n">
        <v>2109.84221944917</v>
      </c>
      <c r="F871" s="5" t="n">
        <v>12500</v>
      </c>
      <c r="G871" s="8" t="n">
        <v>83.1376978444573</v>
      </c>
    </row>
    <row r="872" customFormat="false" ht="14.35" hidden="false" customHeight="false" outlineLevel="0" collapsed="false">
      <c r="A872" s="4" t="n">
        <v>34273</v>
      </c>
      <c r="B872" s="5" t="n">
        <v>4000</v>
      </c>
      <c r="C872" s="6" t="n">
        <v>1200</v>
      </c>
      <c r="D872" s="7" t="n">
        <v>800</v>
      </c>
      <c r="E872" s="6" t="n">
        <v>1921.23035785063</v>
      </c>
      <c r="F872" s="5" t="n">
        <v>6406.25</v>
      </c>
      <c r="G872" s="8" t="n">
        <v>77.1420756238209</v>
      </c>
    </row>
    <row r="873" customFormat="false" ht="14.35" hidden="false" customHeight="false" outlineLevel="0" collapsed="false">
      <c r="A873" s="4" t="n">
        <v>34303</v>
      </c>
      <c r="B873" s="5" t="n">
        <v>2500</v>
      </c>
      <c r="C873" s="6" t="n">
        <v>1200</v>
      </c>
      <c r="D873" s="7" t="n">
        <v>800</v>
      </c>
      <c r="E873" s="6" t="n">
        <v>1812.91357142893</v>
      </c>
      <c r="F873" s="5" t="n">
        <v>10468.75</v>
      </c>
      <c r="G873" s="8" t="n">
        <v>80.3006138592008</v>
      </c>
    </row>
    <row r="874" customFormat="false" ht="14.35" hidden="false" customHeight="false" outlineLevel="0" collapsed="false">
      <c r="A874" s="4" t="n">
        <v>34334</v>
      </c>
      <c r="B874" s="5" t="n">
        <v>3848.5710498722</v>
      </c>
      <c r="C874" s="6" t="n">
        <v>1200</v>
      </c>
      <c r="D874" s="7" t="n">
        <v>800</v>
      </c>
      <c r="E874" s="6" t="n">
        <v>1724.66806180997</v>
      </c>
      <c r="F874" s="5" t="n">
        <v>4718.95359311134</v>
      </c>
      <c r="G874" s="8" t="n">
        <v>77.571397496192</v>
      </c>
    </row>
    <row r="875" customFormat="false" ht="14.35" hidden="false" customHeight="false" outlineLevel="0" collapsed="false">
      <c r="A875" s="4" t="n">
        <v>34365</v>
      </c>
      <c r="B875" s="5" t="n">
        <v>1200</v>
      </c>
      <c r="C875" s="6" t="n">
        <v>1200</v>
      </c>
      <c r="D875" s="7" t="n">
        <v>800</v>
      </c>
      <c r="E875" s="6" t="n">
        <v>1730.12522573128</v>
      </c>
      <c r="F875" s="5" t="n">
        <v>8922.43920961202</v>
      </c>
      <c r="G875" s="8" t="n">
        <v>82.7845273804502</v>
      </c>
    </row>
    <row r="876" customFormat="false" ht="14.35" hidden="false" customHeight="false" outlineLevel="0" collapsed="false">
      <c r="A876" s="4" t="n">
        <v>34393</v>
      </c>
      <c r="B876" s="5" t="n">
        <v>1200</v>
      </c>
      <c r="C876" s="6" t="n">
        <v>1200</v>
      </c>
      <c r="D876" s="7" t="n">
        <v>800</v>
      </c>
      <c r="E876" s="6" t="n">
        <v>1839.23275166563</v>
      </c>
      <c r="F876" s="5" t="n">
        <v>21823.7666382119</v>
      </c>
      <c r="G876" s="8" t="n">
        <v>79.6107325758821</v>
      </c>
    </row>
    <row r="877" customFormat="false" ht="14.35" hidden="false" customHeight="false" outlineLevel="0" collapsed="false">
      <c r="A877" s="4" t="n">
        <v>34424</v>
      </c>
      <c r="B877" s="5" t="n">
        <v>1000</v>
      </c>
      <c r="C877" s="6" t="n">
        <v>1000</v>
      </c>
      <c r="D877" s="7" t="n">
        <v>800</v>
      </c>
      <c r="E877" s="6" t="n">
        <v>2025.59704406095</v>
      </c>
      <c r="F877" s="5" t="n">
        <v>7533.25364508557</v>
      </c>
      <c r="G877" s="8" t="n">
        <v>71.7142887730183</v>
      </c>
    </row>
    <row r="878" customFormat="false" ht="14.35" hidden="false" customHeight="false" outlineLevel="0" collapsed="false">
      <c r="A878" s="4" t="n">
        <v>34454</v>
      </c>
      <c r="B878" s="5" t="n">
        <v>999.999999999992</v>
      </c>
      <c r="C878" s="6" t="n">
        <v>1000</v>
      </c>
      <c r="D878" s="7" t="n">
        <v>700</v>
      </c>
      <c r="E878" s="6" t="n">
        <v>1997.12439109875</v>
      </c>
      <c r="F878" s="5" t="n">
        <v>9190.72536220147</v>
      </c>
      <c r="G878" s="8" t="n">
        <v>77.2792011392519</v>
      </c>
    </row>
    <row r="879" customFormat="false" ht="14.35" hidden="false" customHeight="false" outlineLevel="0" collapsed="false">
      <c r="A879" s="4" t="n">
        <v>34485</v>
      </c>
      <c r="B879" s="5" t="n">
        <v>999.999999999998</v>
      </c>
      <c r="C879" s="6" t="n">
        <v>1000</v>
      </c>
      <c r="D879" s="7" t="n">
        <v>700</v>
      </c>
      <c r="E879" s="6" t="n">
        <v>1966.21611692855</v>
      </c>
      <c r="F879" s="5" t="n">
        <v>6928.44097461869</v>
      </c>
      <c r="G879" s="8" t="n">
        <v>77.5789983631697</v>
      </c>
    </row>
    <row r="880" customFormat="false" ht="14.35" hidden="false" customHeight="false" outlineLevel="0" collapsed="false">
      <c r="A880" s="4" t="n">
        <v>34515</v>
      </c>
      <c r="B880" s="5" t="n">
        <v>4661.91332769234</v>
      </c>
      <c r="C880" s="6" t="n">
        <v>1000</v>
      </c>
      <c r="D880" s="7" t="n">
        <v>700</v>
      </c>
      <c r="E880" s="6" t="n">
        <v>1581.77283113713</v>
      </c>
      <c r="F880" s="5" t="n">
        <v>4000</v>
      </c>
      <c r="G880" s="8" t="n">
        <v>79.8431787100594</v>
      </c>
    </row>
    <row r="881" customFormat="false" ht="14.35" hidden="false" customHeight="false" outlineLevel="0" collapsed="false">
      <c r="A881" s="4" t="n">
        <v>34546</v>
      </c>
      <c r="B881" s="5" t="n">
        <v>3368.15629084208</v>
      </c>
      <c r="C881" s="6" t="n">
        <v>1000</v>
      </c>
      <c r="D881" s="7" t="n">
        <v>700</v>
      </c>
      <c r="E881" s="6" t="n">
        <v>1326.81268266292</v>
      </c>
      <c r="F881" s="5" t="n">
        <v>4000</v>
      </c>
      <c r="G881" s="8" t="n">
        <v>84.796235134219</v>
      </c>
    </row>
    <row r="882" customFormat="false" ht="14.35" hidden="false" customHeight="false" outlineLevel="0" collapsed="false">
      <c r="A882" s="4" t="n">
        <v>34577</v>
      </c>
      <c r="B882" s="5" t="n">
        <v>1756.45766330784</v>
      </c>
      <c r="C882" s="6" t="n">
        <v>1000</v>
      </c>
      <c r="D882" s="7" t="n">
        <v>700</v>
      </c>
      <c r="E882" s="6" t="n">
        <v>1161.26191057745</v>
      </c>
      <c r="F882" s="5" t="n">
        <v>3191.38378511209</v>
      </c>
      <c r="G882" s="8" t="n">
        <v>86.4198470300584</v>
      </c>
    </row>
    <row r="883" customFormat="false" ht="14.35" hidden="false" customHeight="false" outlineLevel="0" collapsed="false">
      <c r="A883" s="4" t="n">
        <v>34607</v>
      </c>
      <c r="B883" s="5" t="n">
        <v>2306.4538794238</v>
      </c>
      <c r="C883" s="6" t="n">
        <v>1000</v>
      </c>
      <c r="D883" s="7" t="n">
        <v>773.3333333</v>
      </c>
      <c r="E883" s="6" t="n">
        <v>1015.15415291814</v>
      </c>
      <c r="F883" s="5" t="n">
        <v>3511.76625115414</v>
      </c>
      <c r="G883" s="8" t="n">
        <v>88.6831959040214</v>
      </c>
    </row>
    <row r="884" customFormat="false" ht="14.35" hidden="false" customHeight="false" outlineLevel="0" collapsed="false">
      <c r="A884" s="4" t="n">
        <v>34638</v>
      </c>
      <c r="B884" s="5" t="n">
        <v>1895.3853746163</v>
      </c>
      <c r="C884" s="6" t="n">
        <v>1200</v>
      </c>
      <c r="D884" s="7" t="n">
        <v>800</v>
      </c>
      <c r="E884" s="6" t="n">
        <v>907.194889689071</v>
      </c>
      <c r="F884" s="5" t="n">
        <v>4905.34759810704</v>
      </c>
      <c r="G884" s="8" t="n">
        <v>88.6918247622931</v>
      </c>
    </row>
    <row r="885" customFormat="false" ht="14.35" hidden="false" customHeight="false" outlineLevel="0" collapsed="false">
      <c r="A885" s="4" t="n">
        <v>34668</v>
      </c>
      <c r="B885" s="5" t="n">
        <v>1200</v>
      </c>
      <c r="C885" s="6" t="n">
        <v>1200</v>
      </c>
      <c r="D885" s="7" t="n">
        <v>800</v>
      </c>
      <c r="E885" s="6" t="n">
        <v>906.327020118902</v>
      </c>
      <c r="F885" s="5" t="n">
        <v>3500</v>
      </c>
      <c r="G885" s="8" t="n">
        <v>86.1328584099702</v>
      </c>
    </row>
    <row r="886" customFormat="false" ht="14.35" hidden="false" customHeight="false" outlineLevel="0" collapsed="false">
      <c r="A886" s="4" t="n">
        <v>34699</v>
      </c>
      <c r="B886" s="5" t="n">
        <v>1200</v>
      </c>
      <c r="C886" s="6" t="n">
        <v>1200</v>
      </c>
      <c r="D886" s="7" t="n">
        <v>800</v>
      </c>
      <c r="E886" s="6" t="n">
        <v>986.172268009511</v>
      </c>
      <c r="F886" s="5" t="n">
        <v>9278.1627823925</v>
      </c>
      <c r="G886" s="8" t="n">
        <v>87.8815500040059</v>
      </c>
    </row>
    <row r="887" customFormat="false" ht="14.35" hidden="false" customHeight="false" outlineLevel="0" collapsed="false">
      <c r="A887" s="4" t="n">
        <v>34730</v>
      </c>
      <c r="B887" s="5" t="n">
        <v>1200</v>
      </c>
      <c r="C887" s="6" t="n">
        <v>1200</v>
      </c>
      <c r="D887" s="7" t="n">
        <v>800</v>
      </c>
      <c r="E887" s="6" t="n">
        <v>2214.39078985639</v>
      </c>
      <c r="F887" s="5" t="n">
        <v>123176.015909023</v>
      </c>
      <c r="G887" s="8" t="n">
        <v>80.9818680065181</v>
      </c>
    </row>
    <row r="888" customFormat="false" ht="14.35" hidden="false" customHeight="false" outlineLevel="0" collapsed="false">
      <c r="A888" s="4" t="n">
        <v>34758</v>
      </c>
      <c r="B888" s="5" t="n">
        <v>1200</v>
      </c>
      <c r="C888" s="6" t="n">
        <v>1200</v>
      </c>
      <c r="D888" s="7" t="n">
        <v>800</v>
      </c>
      <c r="E888" s="6" t="n">
        <v>2739.43695623377</v>
      </c>
      <c r="F888" s="5" t="n">
        <v>49193.542596647</v>
      </c>
      <c r="G888" s="8" t="n">
        <v>58.8980697345973</v>
      </c>
    </row>
    <row r="889" customFormat="false" ht="14.35" hidden="false" customHeight="false" outlineLevel="0" collapsed="false">
      <c r="A889" s="4" t="n">
        <v>34789</v>
      </c>
      <c r="B889" s="5" t="n">
        <v>33227.6876041039</v>
      </c>
      <c r="C889" s="6" t="n">
        <v>1000</v>
      </c>
      <c r="D889" s="7" t="n">
        <v>800</v>
      </c>
      <c r="E889" s="6" t="n">
        <v>2788</v>
      </c>
      <c r="F889" s="5" t="n">
        <v>212692.735629232</v>
      </c>
      <c r="G889" s="8" t="n">
        <v>58.6946093164375</v>
      </c>
    </row>
    <row r="890" customFormat="false" ht="14.35" hidden="false" customHeight="false" outlineLevel="0" collapsed="false">
      <c r="A890" s="4" t="n">
        <v>34819</v>
      </c>
      <c r="B890" s="5" t="n">
        <v>12888.2071738022</v>
      </c>
      <c r="C890" s="6" t="n">
        <v>1000</v>
      </c>
      <c r="D890" s="7" t="n">
        <v>700</v>
      </c>
      <c r="E890" s="6" t="n">
        <v>3208</v>
      </c>
      <c r="F890" s="5" t="n">
        <v>71593.3873506869</v>
      </c>
      <c r="G890" s="8" t="n">
        <v>47.4052585355219</v>
      </c>
    </row>
    <row r="891" customFormat="false" ht="14.35" hidden="false" customHeight="false" outlineLevel="0" collapsed="false">
      <c r="A891" s="4" t="n">
        <v>34850</v>
      </c>
      <c r="B891" s="5" t="n">
        <v>18235.5025872454</v>
      </c>
      <c r="C891" s="6" t="n">
        <v>1000</v>
      </c>
      <c r="D891" s="7" t="n">
        <v>700</v>
      </c>
      <c r="E891" s="6" t="n">
        <v>3538</v>
      </c>
      <c r="F891" s="5" t="n">
        <v>84323.8119284972</v>
      </c>
      <c r="G891" s="8" t="n">
        <v>52.0509368688158</v>
      </c>
    </row>
    <row r="892" customFormat="false" ht="14.35" hidden="false" customHeight="false" outlineLevel="0" collapsed="false">
      <c r="A892" s="4" t="n">
        <v>34880</v>
      </c>
      <c r="B892" s="5" t="n">
        <v>10955.3663933271</v>
      </c>
      <c r="C892" s="6" t="n">
        <v>1000</v>
      </c>
      <c r="D892" s="7" t="n">
        <v>700</v>
      </c>
      <c r="E892" s="6" t="n">
        <v>3538</v>
      </c>
      <c r="F892" s="5" t="n">
        <v>41939.3140592298</v>
      </c>
      <c r="G892" s="8" t="n">
        <v>52.3192755291927</v>
      </c>
    </row>
    <row r="893" customFormat="false" ht="14.35" hidden="false" customHeight="false" outlineLevel="0" collapsed="false">
      <c r="A893" s="4" t="n">
        <v>34911</v>
      </c>
      <c r="B893" s="5" t="n">
        <v>2362.43406113248</v>
      </c>
      <c r="C893" s="6" t="n">
        <v>1000</v>
      </c>
      <c r="D893" s="7" t="n">
        <v>700</v>
      </c>
      <c r="E893" s="6" t="n">
        <v>3538</v>
      </c>
      <c r="F893" s="5" t="n">
        <v>24492.3975155252</v>
      </c>
      <c r="G893" s="8" t="n">
        <v>57.7609921664604</v>
      </c>
    </row>
    <row r="894" customFormat="false" ht="14.35" hidden="false" customHeight="false" outlineLevel="0" collapsed="false">
      <c r="A894" s="4" t="n">
        <v>34942</v>
      </c>
      <c r="B894" s="5" t="n">
        <v>1701.48748912356</v>
      </c>
      <c r="C894" s="6" t="n">
        <v>1000</v>
      </c>
      <c r="D894" s="7" t="n">
        <v>700</v>
      </c>
      <c r="E894" s="6" t="n">
        <v>3505.36415033415</v>
      </c>
      <c r="F894" s="5" t="n">
        <v>7776.68358442153</v>
      </c>
      <c r="G894" s="8" t="n">
        <v>63.667650796172</v>
      </c>
    </row>
    <row r="895" customFormat="false" ht="14.35" hidden="false" customHeight="false" outlineLevel="0" collapsed="false">
      <c r="A895" s="4" t="n">
        <v>34972</v>
      </c>
      <c r="B895" s="5" t="n">
        <v>7234.83769166153</v>
      </c>
      <c r="C895" s="6" t="n">
        <v>1000</v>
      </c>
      <c r="D895" s="7" t="n">
        <v>773.3333333</v>
      </c>
      <c r="E895" s="6" t="n">
        <v>3122.52069017915</v>
      </c>
      <c r="F895" s="5" t="n">
        <v>14687.5</v>
      </c>
      <c r="G895" s="8" t="n">
        <v>74.3977342616187</v>
      </c>
    </row>
    <row r="896" customFormat="false" ht="14.35" hidden="false" customHeight="false" outlineLevel="0" collapsed="false">
      <c r="A896" s="4" t="n">
        <v>35003</v>
      </c>
      <c r="B896" s="5" t="n">
        <v>4000</v>
      </c>
      <c r="C896" s="6" t="n">
        <v>1700</v>
      </c>
      <c r="D896" s="7" t="n">
        <v>800</v>
      </c>
      <c r="E896" s="6" t="n">
        <v>2893.42304673967</v>
      </c>
      <c r="F896" s="5" t="n">
        <v>11562.5</v>
      </c>
      <c r="G896" s="8" t="n">
        <v>73.0409472157396</v>
      </c>
    </row>
    <row r="897" customFormat="false" ht="14.35" hidden="false" customHeight="false" outlineLevel="0" collapsed="false">
      <c r="A897" s="4" t="n">
        <v>35033</v>
      </c>
      <c r="B897" s="5" t="n">
        <v>2500</v>
      </c>
      <c r="C897" s="6" t="n">
        <v>1700</v>
      </c>
      <c r="D897" s="7" t="n">
        <v>800</v>
      </c>
      <c r="E897" s="6" t="n">
        <v>2787.15520187223</v>
      </c>
      <c r="F897" s="5" t="n">
        <v>12964.313</v>
      </c>
      <c r="G897" s="8" t="n">
        <v>74.4299591848833</v>
      </c>
    </row>
    <row r="898" customFormat="false" ht="14.35" hidden="false" customHeight="false" outlineLevel="0" collapsed="false">
      <c r="A898" s="4" t="n">
        <v>35064</v>
      </c>
      <c r="B898" s="5" t="n">
        <v>1700</v>
      </c>
      <c r="C898" s="6" t="n">
        <v>1700</v>
      </c>
      <c r="D898" s="7" t="n">
        <v>800</v>
      </c>
      <c r="E898" s="6" t="n">
        <v>2939.80762362363</v>
      </c>
      <c r="F898" s="5" t="n">
        <v>16373.1554014677</v>
      </c>
      <c r="G898" s="8" t="n">
        <v>74.0081118091014</v>
      </c>
    </row>
    <row r="899" customFormat="false" ht="14.35" hidden="false" customHeight="false" outlineLevel="0" collapsed="false">
      <c r="A899" s="4" t="n">
        <v>35095</v>
      </c>
      <c r="B899" s="5" t="n">
        <v>8650.34009117156</v>
      </c>
      <c r="C899" s="6" t="n">
        <v>1700</v>
      </c>
      <c r="D899" s="7" t="n">
        <v>800</v>
      </c>
      <c r="E899" s="6" t="n">
        <v>2788</v>
      </c>
      <c r="F899" s="5" t="n">
        <v>41787.1374647521</v>
      </c>
      <c r="G899" s="8" t="n">
        <v>72.0804224763531</v>
      </c>
    </row>
    <row r="900" customFormat="false" ht="14.35" hidden="false" customHeight="false" outlineLevel="0" collapsed="false">
      <c r="A900" s="4" t="n">
        <v>35124</v>
      </c>
      <c r="B900" s="5" t="n">
        <v>21189.3437196751</v>
      </c>
      <c r="C900" s="6" t="n">
        <v>1700</v>
      </c>
      <c r="D900" s="7" t="n">
        <v>800</v>
      </c>
      <c r="E900" s="6" t="n">
        <v>2788</v>
      </c>
      <c r="F900" s="5" t="n">
        <v>129709.991838785</v>
      </c>
      <c r="G900" s="8" t="n">
        <v>64.2665602133046</v>
      </c>
    </row>
    <row r="901" customFormat="false" ht="14.35" hidden="false" customHeight="false" outlineLevel="0" collapsed="false">
      <c r="A901" s="4" t="n">
        <v>35155</v>
      </c>
      <c r="B901" s="5" t="n">
        <v>10126.8199483875</v>
      </c>
      <c r="C901" s="6" t="n">
        <v>1700</v>
      </c>
      <c r="D901" s="7" t="n">
        <v>800</v>
      </c>
      <c r="E901" s="6" t="n">
        <v>2995</v>
      </c>
      <c r="F901" s="5" t="n">
        <v>70992.1802100519</v>
      </c>
      <c r="G901" s="8" t="n">
        <v>53.0225973629835</v>
      </c>
    </row>
    <row r="902" customFormat="false" ht="14.35" hidden="false" customHeight="false" outlineLevel="0" collapsed="false">
      <c r="A902" s="4" t="n">
        <v>35185</v>
      </c>
      <c r="B902" s="5" t="n">
        <v>6701.85977077552</v>
      </c>
      <c r="C902" s="6" t="n">
        <v>1000</v>
      </c>
      <c r="D902" s="7" t="n">
        <v>700</v>
      </c>
      <c r="E902" s="6" t="n">
        <v>3352</v>
      </c>
      <c r="F902" s="5" t="n">
        <v>47710.9314868156</v>
      </c>
      <c r="G902" s="8" t="n">
        <v>53.9569418468675</v>
      </c>
    </row>
    <row r="903" customFormat="false" ht="14.35" hidden="false" customHeight="false" outlineLevel="0" collapsed="false">
      <c r="A903" s="4" t="n">
        <v>35216</v>
      </c>
      <c r="B903" s="5" t="n">
        <v>10423.7961666891</v>
      </c>
      <c r="C903" s="6" t="n">
        <v>1000</v>
      </c>
      <c r="D903" s="7" t="n">
        <v>700</v>
      </c>
      <c r="E903" s="6" t="n">
        <v>3538</v>
      </c>
      <c r="F903" s="5" t="n">
        <v>51110.4275827538</v>
      </c>
      <c r="G903" s="8" t="n">
        <v>57.3094796798466</v>
      </c>
    </row>
    <row r="904" customFormat="false" ht="14.35" hidden="false" customHeight="false" outlineLevel="0" collapsed="false">
      <c r="A904" s="4" t="n">
        <v>35246</v>
      </c>
      <c r="B904" s="5" t="n">
        <v>2347.48218316849</v>
      </c>
      <c r="C904" s="6" t="n">
        <v>1000</v>
      </c>
      <c r="D904" s="7" t="n">
        <v>700</v>
      </c>
      <c r="E904" s="6" t="n">
        <v>3538</v>
      </c>
      <c r="F904" s="5" t="n">
        <v>11535.5416884435</v>
      </c>
      <c r="G904" s="8" t="n">
        <v>57.8808545131081</v>
      </c>
    </row>
    <row r="905" customFormat="false" ht="14.35" hidden="false" customHeight="false" outlineLevel="0" collapsed="false">
      <c r="A905" s="4" t="n">
        <v>35277</v>
      </c>
      <c r="B905" s="5" t="n">
        <v>8473.19410372385</v>
      </c>
      <c r="C905" s="6" t="n">
        <v>1000</v>
      </c>
      <c r="D905" s="7" t="n">
        <v>700</v>
      </c>
      <c r="E905" s="6" t="n">
        <v>3036.80983393072</v>
      </c>
      <c r="F905" s="5" t="n">
        <v>8000</v>
      </c>
      <c r="G905" s="8" t="n">
        <v>69.4783735324265</v>
      </c>
    </row>
    <row r="906" customFormat="false" ht="14.35" hidden="false" customHeight="false" outlineLevel="0" collapsed="false">
      <c r="A906" s="4" t="n">
        <v>35308</v>
      </c>
      <c r="B906" s="5" t="n">
        <v>5150.18879070058</v>
      </c>
      <c r="C906" s="6" t="n">
        <v>1000</v>
      </c>
      <c r="D906" s="7" t="n">
        <v>700</v>
      </c>
      <c r="E906" s="6" t="n">
        <v>2743.42788982436</v>
      </c>
      <c r="F906" s="5" t="n">
        <v>4000</v>
      </c>
      <c r="G906" s="8" t="n">
        <v>76.0854725735216</v>
      </c>
    </row>
    <row r="907" customFormat="false" ht="14.35" hidden="false" customHeight="false" outlineLevel="0" collapsed="false">
      <c r="A907" s="4" t="n">
        <v>35338</v>
      </c>
      <c r="B907" s="5" t="n">
        <v>8916.003920251</v>
      </c>
      <c r="C907" s="6" t="n">
        <v>1000</v>
      </c>
      <c r="D907" s="7" t="n">
        <v>773.3333333</v>
      </c>
      <c r="E907" s="6" t="n">
        <v>2233.94285818273</v>
      </c>
      <c r="F907" s="5" t="n">
        <v>21250</v>
      </c>
      <c r="G907" s="8" t="n">
        <v>83.5644590626618</v>
      </c>
    </row>
    <row r="908" customFormat="false" ht="14.35" hidden="false" customHeight="false" outlineLevel="0" collapsed="false">
      <c r="A908" s="4" t="n">
        <v>35369</v>
      </c>
      <c r="B908" s="5" t="n">
        <v>4000</v>
      </c>
      <c r="C908" s="6" t="n">
        <v>1700</v>
      </c>
      <c r="D908" s="7" t="n">
        <v>800</v>
      </c>
      <c r="E908" s="6" t="n">
        <v>2057.69129057431</v>
      </c>
      <c r="F908" s="5" t="n">
        <v>7812.5</v>
      </c>
      <c r="G908" s="8" t="n">
        <v>73.2145444888218</v>
      </c>
    </row>
    <row r="909" customFormat="false" ht="14.35" hidden="false" customHeight="false" outlineLevel="0" collapsed="false">
      <c r="A909" s="4" t="n">
        <v>35399</v>
      </c>
      <c r="B909" s="5" t="n">
        <v>2500</v>
      </c>
      <c r="C909" s="6" t="n">
        <v>1700</v>
      </c>
      <c r="D909" s="7" t="n">
        <v>800</v>
      </c>
      <c r="E909" s="6" t="n">
        <v>2043.99626125249</v>
      </c>
      <c r="F909" s="5" t="n">
        <v>15625</v>
      </c>
      <c r="G909" s="8" t="n">
        <v>77.4919836477207</v>
      </c>
    </row>
    <row r="910" customFormat="false" ht="14.35" hidden="false" customHeight="false" outlineLevel="0" collapsed="false">
      <c r="A910" s="4" t="n">
        <v>35430</v>
      </c>
      <c r="B910" s="5" t="n">
        <v>9664.91392648856</v>
      </c>
      <c r="C910" s="6" t="n">
        <v>1700</v>
      </c>
      <c r="D910" s="7" t="n">
        <v>800</v>
      </c>
      <c r="E910" s="6" t="n">
        <v>2788</v>
      </c>
      <c r="F910" s="5" t="n">
        <v>69228.3741725437</v>
      </c>
      <c r="G910" s="8" t="n">
        <v>73.5809487805385</v>
      </c>
    </row>
    <row r="911" customFormat="false" ht="14.35" hidden="false" customHeight="false" outlineLevel="0" collapsed="false">
      <c r="A911" s="4" t="n">
        <v>35461</v>
      </c>
      <c r="B911" s="5" t="n">
        <v>40890.0183542848</v>
      </c>
      <c r="C911" s="6" t="n">
        <v>1700</v>
      </c>
      <c r="D911" s="7" t="n">
        <v>800</v>
      </c>
      <c r="E911" s="6" t="n">
        <v>2788</v>
      </c>
      <c r="F911" s="5" t="n">
        <v>278736.859362148</v>
      </c>
      <c r="G911" s="8" t="n">
        <v>60.8888200746182</v>
      </c>
    </row>
    <row r="912" customFormat="false" ht="14.35" hidden="false" customHeight="false" outlineLevel="0" collapsed="false">
      <c r="A912" s="4" t="n">
        <v>35489</v>
      </c>
      <c r="B912" s="5" t="n">
        <v>10284.8186752877</v>
      </c>
      <c r="C912" s="6" t="n">
        <v>1700</v>
      </c>
      <c r="D912" s="7" t="n">
        <v>800</v>
      </c>
      <c r="E912" s="6" t="n">
        <v>2952</v>
      </c>
      <c r="F912" s="5" t="n">
        <v>74980.7532953651</v>
      </c>
      <c r="G912" s="8" t="n">
        <v>46.0516740186923</v>
      </c>
    </row>
    <row r="913" customFormat="false" ht="14.35" hidden="false" customHeight="false" outlineLevel="0" collapsed="false">
      <c r="A913" s="4" t="n">
        <v>35520</v>
      </c>
      <c r="B913" s="5" t="n">
        <v>5297.28315604152</v>
      </c>
      <c r="C913" s="6" t="n">
        <v>1700</v>
      </c>
      <c r="D913" s="7" t="n">
        <v>800</v>
      </c>
      <c r="E913" s="6" t="n">
        <v>3123</v>
      </c>
      <c r="F913" s="5" t="n">
        <v>24393.3368709542</v>
      </c>
      <c r="G913" s="8" t="n">
        <v>51.252874786493</v>
      </c>
    </row>
    <row r="914" customFormat="false" ht="14.35" hidden="false" customHeight="false" outlineLevel="0" collapsed="false">
      <c r="A914" s="4" t="n">
        <v>35550</v>
      </c>
      <c r="B914" s="5" t="n">
        <v>1000</v>
      </c>
      <c r="C914" s="6" t="n">
        <v>1000</v>
      </c>
      <c r="D914" s="7" t="n">
        <v>700</v>
      </c>
      <c r="E914" s="6" t="n">
        <v>3304.86324140027</v>
      </c>
      <c r="F914" s="5" t="n">
        <v>17158.2505312958</v>
      </c>
      <c r="G914" s="8" t="n">
        <v>61.5653554382539</v>
      </c>
    </row>
    <row r="915" customFormat="false" ht="14.35" hidden="false" customHeight="false" outlineLevel="0" collapsed="false">
      <c r="A915" s="4" t="n">
        <v>35581</v>
      </c>
      <c r="B915" s="5" t="n">
        <v>1000</v>
      </c>
      <c r="C915" s="6" t="n">
        <v>1000</v>
      </c>
      <c r="D915" s="7" t="n">
        <v>700</v>
      </c>
      <c r="E915" s="6" t="n">
        <v>3344.89688637634</v>
      </c>
      <c r="F915" s="5" t="n">
        <v>12793.3544847415</v>
      </c>
      <c r="G915" s="8" t="n">
        <v>67.6426749785852</v>
      </c>
    </row>
    <row r="916" customFormat="false" ht="14.35" hidden="false" customHeight="false" outlineLevel="0" collapsed="false">
      <c r="A916" s="4" t="n">
        <v>35611</v>
      </c>
      <c r="B916" s="5" t="n">
        <v>2629.04191317341</v>
      </c>
      <c r="C916" s="6" t="n">
        <v>1000</v>
      </c>
      <c r="D916" s="7" t="n">
        <v>700</v>
      </c>
      <c r="E916" s="6" t="n">
        <v>3183.14484282324</v>
      </c>
      <c r="F916" s="5" t="n">
        <v>7494.47640177681</v>
      </c>
      <c r="G916" s="8" t="n">
        <v>71.8849936030919</v>
      </c>
    </row>
    <row r="917" customFormat="false" ht="14.35" hidden="false" customHeight="false" outlineLevel="0" collapsed="false">
      <c r="A917" s="4" t="n">
        <v>35642</v>
      </c>
      <c r="B917" s="5" t="n">
        <v>7886.51147486741</v>
      </c>
      <c r="C917" s="6" t="n">
        <v>1000</v>
      </c>
      <c r="D917" s="7" t="n">
        <v>700</v>
      </c>
      <c r="E917" s="6" t="n">
        <v>2659.19688327446</v>
      </c>
      <c r="F917" s="5" t="n">
        <v>11686.1574562059</v>
      </c>
      <c r="G917" s="8" t="n">
        <v>77.3747170206539</v>
      </c>
    </row>
    <row r="918" customFormat="false" ht="14.35" hidden="false" customHeight="false" outlineLevel="0" collapsed="false">
      <c r="A918" s="4" t="n">
        <v>35673</v>
      </c>
      <c r="B918" s="5" t="n">
        <v>5124.78733954267</v>
      </c>
      <c r="C918" s="6" t="n">
        <v>1000</v>
      </c>
      <c r="D918" s="7" t="n">
        <v>700</v>
      </c>
      <c r="E918" s="6" t="n">
        <v>2367.76975648072</v>
      </c>
      <c r="F918" s="5" t="n">
        <v>4000</v>
      </c>
      <c r="G918" s="8" t="n">
        <v>75.7690261416292</v>
      </c>
    </row>
    <row r="919" customFormat="false" ht="14.35" hidden="false" customHeight="false" outlineLevel="0" collapsed="false">
      <c r="A919" s="4" t="n">
        <v>35703</v>
      </c>
      <c r="B919" s="5" t="n">
        <v>8772.9371328707</v>
      </c>
      <c r="C919" s="6" t="n">
        <v>1000</v>
      </c>
      <c r="D919" s="7" t="n">
        <v>773.3333333</v>
      </c>
      <c r="E919" s="6" t="n">
        <v>1849.16573926375</v>
      </c>
      <c r="F919" s="5" t="n">
        <v>18437.5</v>
      </c>
      <c r="G919" s="8" t="n">
        <v>83.4607279222875</v>
      </c>
    </row>
    <row r="920" customFormat="false" ht="14.35" hidden="false" customHeight="false" outlineLevel="0" collapsed="false">
      <c r="A920" s="4" t="n">
        <v>35734</v>
      </c>
      <c r="B920" s="5" t="n">
        <v>4000</v>
      </c>
      <c r="C920" s="6" t="n">
        <v>1700</v>
      </c>
      <c r="D920" s="7" t="n">
        <v>800</v>
      </c>
      <c r="E920" s="6" t="n">
        <v>1650.87313308446</v>
      </c>
      <c r="F920" s="5" t="n">
        <v>7812.5</v>
      </c>
      <c r="G920" s="8" t="n">
        <v>74.2687857247883</v>
      </c>
    </row>
    <row r="921" customFormat="false" ht="14.35" hidden="false" customHeight="false" outlineLevel="0" collapsed="false">
      <c r="A921" s="4" t="n">
        <v>35764</v>
      </c>
      <c r="B921" s="5" t="n">
        <v>2500</v>
      </c>
      <c r="C921" s="6" t="n">
        <v>1700</v>
      </c>
      <c r="D921" s="7" t="n">
        <v>800</v>
      </c>
      <c r="E921" s="6" t="n">
        <v>1627.76331349756</v>
      </c>
      <c r="F921" s="5" t="n">
        <v>15312.5</v>
      </c>
      <c r="G921" s="8" t="n">
        <v>77.8375639248705</v>
      </c>
    </row>
    <row r="922" customFormat="false" ht="14.35" hidden="false" customHeight="false" outlineLevel="0" collapsed="false">
      <c r="A922" s="4" t="n">
        <v>35795</v>
      </c>
      <c r="B922" s="5" t="n">
        <v>2371.8966121257</v>
      </c>
      <c r="C922" s="6" t="n">
        <v>1700</v>
      </c>
      <c r="D922" s="7" t="n">
        <v>800</v>
      </c>
      <c r="E922" s="6" t="n">
        <v>1736.31538246762</v>
      </c>
      <c r="F922" s="5" t="n">
        <v>10135.7694293657</v>
      </c>
      <c r="G922" s="8" t="n">
        <v>73.8490897594156</v>
      </c>
    </row>
    <row r="923" customFormat="false" ht="14.35" hidden="false" customHeight="false" outlineLevel="0" collapsed="false">
      <c r="A923" s="4" t="n">
        <v>35826</v>
      </c>
      <c r="B923" s="5" t="n">
        <v>1700</v>
      </c>
      <c r="C923" s="6" t="n">
        <v>1700</v>
      </c>
      <c r="D923" s="7" t="n">
        <v>800</v>
      </c>
      <c r="E923" s="6" t="n">
        <v>2473.27239652391</v>
      </c>
      <c r="F923" s="5" t="n">
        <v>47393.1041664498</v>
      </c>
      <c r="G923" s="8" t="n">
        <v>75.7043604698695</v>
      </c>
    </row>
    <row r="924" customFormat="false" ht="14.35" hidden="false" customHeight="false" outlineLevel="0" collapsed="false">
      <c r="A924" s="4" t="n">
        <v>35854</v>
      </c>
      <c r="B924" s="5" t="n">
        <v>12977.0481838932</v>
      </c>
      <c r="C924" s="6" t="n">
        <v>1700</v>
      </c>
      <c r="D924" s="7" t="n">
        <v>800</v>
      </c>
      <c r="E924" s="6" t="n">
        <v>2788</v>
      </c>
      <c r="F924" s="5" t="n">
        <v>221178.308139099</v>
      </c>
      <c r="G924" s="8" t="n">
        <v>64.4895168732848</v>
      </c>
    </row>
    <row r="925" customFormat="false" ht="14.35" hidden="false" customHeight="false" outlineLevel="0" collapsed="false">
      <c r="A925" s="4" t="n">
        <v>35885</v>
      </c>
      <c r="B925" s="5" t="n">
        <v>14265.145246881</v>
      </c>
      <c r="C925" s="6" t="n">
        <v>1700</v>
      </c>
      <c r="D925" s="7" t="n">
        <v>800</v>
      </c>
      <c r="E925" s="6" t="n">
        <v>2817</v>
      </c>
      <c r="F925" s="5" t="n">
        <v>84354.8056668261</v>
      </c>
      <c r="G925" s="8" t="n">
        <v>49.0049579468078</v>
      </c>
    </row>
    <row r="926" customFormat="false" ht="14.35" hidden="false" customHeight="false" outlineLevel="0" collapsed="false">
      <c r="A926" s="4" t="n">
        <v>35915</v>
      </c>
      <c r="B926" s="5" t="n">
        <v>2962.4976813454</v>
      </c>
      <c r="C926" s="6" t="n">
        <v>1000</v>
      </c>
      <c r="D926" s="7" t="n">
        <v>700</v>
      </c>
      <c r="E926" s="6" t="n">
        <v>3298</v>
      </c>
      <c r="F926" s="5" t="n">
        <v>66099.5886208845</v>
      </c>
      <c r="G926" s="8" t="n">
        <v>51.3179867286945</v>
      </c>
    </row>
    <row r="927" customFormat="false" ht="14.35" hidden="false" customHeight="false" outlineLevel="0" collapsed="false">
      <c r="A927" s="4" t="n">
        <v>35946</v>
      </c>
      <c r="B927" s="5" t="n">
        <v>9225.71605766523</v>
      </c>
      <c r="C927" s="6" t="n">
        <v>1000</v>
      </c>
      <c r="D927" s="7" t="n">
        <v>700</v>
      </c>
      <c r="E927" s="6" t="n">
        <v>3538</v>
      </c>
      <c r="F927" s="5" t="n">
        <v>61756.4221226207</v>
      </c>
      <c r="G927" s="8" t="n">
        <v>53.9455279955412</v>
      </c>
    </row>
    <row r="928" customFormat="false" ht="14.35" hidden="false" customHeight="false" outlineLevel="0" collapsed="false">
      <c r="A928" s="4" t="n">
        <v>35976</v>
      </c>
      <c r="B928" s="5" t="n">
        <v>11257.5542833057</v>
      </c>
      <c r="C928" s="6" t="n">
        <v>1000</v>
      </c>
      <c r="D928" s="7" t="n">
        <v>700</v>
      </c>
      <c r="E928" s="6" t="n">
        <v>3538</v>
      </c>
      <c r="F928" s="5" t="n">
        <v>68373.6404374789</v>
      </c>
      <c r="G928" s="8" t="n">
        <v>55.3278045341241</v>
      </c>
    </row>
    <row r="929" customFormat="false" ht="14.35" hidden="false" customHeight="false" outlineLevel="0" collapsed="false">
      <c r="A929" s="4" t="n">
        <v>36007</v>
      </c>
      <c r="B929" s="5" t="n">
        <v>2535.44684165424</v>
      </c>
      <c r="C929" s="6" t="n">
        <v>1000</v>
      </c>
      <c r="D929" s="7" t="n">
        <v>700</v>
      </c>
      <c r="E929" s="6" t="n">
        <v>3538</v>
      </c>
      <c r="F929" s="5" t="n">
        <v>29425.077595879</v>
      </c>
      <c r="G929" s="8" t="n">
        <v>55.0006687045313</v>
      </c>
    </row>
    <row r="930" customFormat="false" ht="14.35" hidden="false" customHeight="false" outlineLevel="0" collapsed="false">
      <c r="A930" s="4" t="n">
        <v>36038</v>
      </c>
      <c r="B930" s="5" t="n">
        <v>1163.74967736684</v>
      </c>
      <c r="C930" s="6" t="n">
        <v>1000</v>
      </c>
      <c r="D930" s="7" t="n">
        <v>700</v>
      </c>
      <c r="E930" s="6" t="n">
        <v>3538</v>
      </c>
      <c r="F930" s="5" t="n">
        <v>11575.3312696571</v>
      </c>
      <c r="G930" s="8" t="n">
        <v>61.356353265173</v>
      </c>
    </row>
    <row r="931" customFormat="false" ht="14.35" hidden="false" customHeight="false" outlineLevel="0" collapsed="false">
      <c r="A931" s="4" t="n">
        <v>36068</v>
      </c>
      <c r="B931" s="5" t="n">
        <v>4619.98096521088</v>
      </c>
      <c r="C931" s="6" t="n">
        <v>1000</v>
      </c>
      <c r="D931" s="7" t="n">
        <v>773.3333333</v>
      </c>
      <c r="E931" s="6" t="n">
        <v>3351</v>
      </c>
      <c r="F931" s="5" t="n">
        <v>16336.4193238449</v>
      </c>
      <c r="G931" s="8" t="n">
        <v>70.5912475826486</v>
      </c>
    </row>
    <row r="932" customFormat="false" ht="14.35" hidden="false" customHeight="false" outlineLevel="0" collapsed="false">
      <c r="A932" s="4" t="n">
        <v>36099</v>
      </c>
      <c r="B932" s="5" t="n">
        <v>4000</v>
      </c>
      <c r="C932" s="6" t="n">
        <v>1700</v>
      </c>
      <c r="D932" s="7" t="n">
        <v>800</v>
      </c>
      <c r="E932" s="6" t="n">
        <v>3153.81737080845</v>
      </c>
      <c r="F932" s="5" t="n">
        <v>9687.5</v>
      </c>
      <c r="G932" s="8" t="n">
        <v>70.9775921601998</v>
      </c>
    </row>
    <row r="933" customFormat="false" ht="14.35" hidden="false" customHeight="false" outlineLevel="0" collapsed="false">
      <c r="A933" s="4" t="n">
        <v>36129</v>
      </c>
      <c r="B933" s="5" t="n">
        <v>6660.68562730436</v>
      </c>
      <c r="C933" s="6" t="n">
        <v>1700</v>
      </c>
      <c r="D933" s="7" t="n">
        <v>800</v>
      </c>
      <c r="E933" s="6" t="n">
        <v>3008</v>
      </c>
      <c r="F933" s="5" t="n">
        <v>19370.0455315742</v>
      </c>
      <c r="G933" s="8" t="n">
        <v>75.1098179312849</v>
      </c>
    </row>
    <row r="934" customFormat="false" ht="14.35" hidden="false" customHeight="false" outlineLevel="0" collapsed="false">
      <c r="A934" s="4" t="n">
        <v>36160</v>
      </c>
      <c r="B934" s="5" t="n">
        <v>4749.65621752564</v>
      </c>
      <c r="C934" s="6" t="n">
        <v>1700</v>
      </c>
      <c r="D934" s="7" t="n">
        <v>800</v>
      </c>
      <c r="E934" s="6" t="n">
        <v>3107</v>
      </c>
      <c r="F934" s="5" t="n">
        <v>30821.3066423943</v>
      </c>
      <c r="G934" s="8" t="n">
        <v>71.1531424939765</v>
      </c>
    </row>
    <row r="935" customFormat="false" ht="14.35" hidden="false" customHeight="false" outlineLevel="0" collapsed="false">
      <c r="A935" s="4" t="n">
        <v>36191</v>
      </c>
      <c r="B935" s="5" t="n">
        <v>13307.3849549814</v>
      </c>
      <c r="C935" s="6" t="n">
        <v>1700</v>
      </c>
      <c r="D935" s="7" t="n">
        <v>800</v>
      </c>
      <c r="E935" s="6" t="n">
        <v>2788</v>
      </c>
      <c r="F935" s="5" t="n">
        <v>39386.3771692439</v>
      </c>
      <c r="G935" s="8" t="n">
        <v>66.295779142186</v>
      </c>
    </row>
    <row r="936" customFormat="false" ht="14.35" hidden="false" customHeight="false" outlineLevel="0" collapsed="false">
      <c r="A936" s="4" t="n">
        <v>36219</v>
      </c>
      <c r="B936" s="5" t="n">
        <v>16570.8642036046</v>
      </c>
      <c r="C936" s="6" t="n">
        <v>1700</v>
      </c>
      <c r="D936" s="7" t="n">
        <v>800</v>
      </c>
      <c r="E936" s="6" t="n">
        <v>2788</v>
      </c>
      <c r="F936" s="5" t="n">
        <v>98699.9548095742</v>
      </c>
      <c r="G936" s="8" t="n">
        <v>62.8238988771467</v>
      </c>
    </row>
    <row r="937" customFormat="false" ht="14.35" hidden="false" customHeight="false" outlineLevel="0" collapsed="false">
      <c r="A937" s="4" t="n">
        <v>36250</v>
      </c>
      <c r="B937" s="5" t="n">
        <v>11340.5273068638</v>
      </c>
      <c r="C937" s="6" t="n">
        <v>1700</v>
      </c>
      <c r="D937" s="7" t="n">
        <v>800</v>
      </c>
      <c r="E937" s="6" t="n">
        <v>2817</v>
      </c>
      <c r="F937" s="5" t="n">
        <v>62935.9592249848</v>
      </c>
      <c r="G937" s="8" t="n">
        <v>54.6439798169159</v>
      </c>
    </row>
    <row r="938" customFormat="false" ht="14.35" hidden="false" customHeight="false" outlineLevel="0" collapsed="false">
      <c r="A938" s="4" t="n">
        <v>36280</v>
      </c>
      <c r="B938" s="5" t="n">
        <v>1000</v>
      </c>
      <c r="C938" s="6" t="n">
        <v>1000</v>
      </c>
      <c r="D938" s="7" t="n">
        <v>700</v>
      </c>
      <c r="E938" s="6" t="n">
        <v>3202.3438129803</v>
      </c>
      <c r="F938" s="5" t="n">
        <v>32404.9440265386</v>
      </c>
      <c r="G938" s="8" t="n">
        <v>55.4117317792915</v>
      </c>
    </row>
    <row r="939" customFormat="false" ht="14.35" hidden="false" customHeight="false" outlineLevel="0" collapsed="false">
      <c r="A939" s="4" t="n">
        <v>36311</v>
      </c>
      <c r="B939" s="5" t="n">
        <v>1000</v>
      </c>
      <c r="C939" s="6" t="n">
        <v>1000</v>
      </c>
      <c r="D939" s="7" t="n">
        <v>700</v>
      </c>
      <c r="E939" s="6" t="n">
        <v>3529.04604046776</v>
      </c>
      <c r="F939" s="5" t="n">
        <v>20179.1829939294</v>
      </c>
      <c r="G939" s="8" t="n">
        <v>60.751676662425</v>
      </c>
    </row>
    <row r="940" customFormat="false" ht="14.35" hidden="false" customHeight="false" outlineLevel="0" collapsed="false">
      <c r="A940" s="4" t="n">
        <v>36341</v>
      </c>
      <c r="B940" s="5" t="n">
        <v>1693.62323528577</v>
      </c>
      <c r="C940" s="6" t="n">
        <v>1000</v>
      </c>
      <c r="D940" s="7" t="n">
        <v>700</v>
      </c>
      <c r="E940" s="6" t="n">
        <v>3538</v>
      </c>
      <c r="F940" s="5" t="n">
        <v>10859.7274176623</v>
      </c>
      <c r="G940" s="8" t="n">
        <v>66.132851445378</v>
      </c>
    </row>
    <row r="941" customFormat="false" ht="14.35" hidden="false" customHeight="false" outlineLevel="0" collapsed="false">
      <c r="A941" s="4" t="n">
        <v>36372</v>
      </c>
      <c r="B941" s="5" t="n">
        <v>8452.92158199072</v>
      </c>
      <c r="C941" s="6" t="n">
        <v>1000</v>
      </c>
      <c r="D941" s="7" t="n">
        <v>700</v>
      </c>
      <c r="E941" s="6" t="n">
        <v>3027.79670949812</v>
      </c>
      <c r="F941" s="5" t="n">
        <v>8534.89360556859</v>
      </c>
      <c r="G941" s="8" t="n">
        <v>72.646144686882</v>
      </c>
    </row>
    <row r="942" customFormat="false" ht="14.35" hidden="false" customHeight="false" outlineLevel="0" collapsed="false">
      <c r="A942" s="4" t="n">
        <v>36403</v>
      </c>
      <c r="B942" s="5" t="n">
        <v>4434.87113867867</v>
      </c>
      <c r="C942" s="6" t="n">
        <v>1000</v>
      </c>
      <c r="D942" s="7" t="n">
        <v>700</v>
      </c>
      <c r="E942" s="6" t="n">
        <v>2802.47112608331</v>
      </c>
      <c r="F942" s="5" t="n">
        <v>4000</v>
      </c>
      <c r="G942" s="8" t="n">
        <v>76.6277595577644</v>
      </c>
    </row>
    <row r="943" customFormat="false" ht="14.35" hidden="false" customHeight="false" outlineLevel="0" collapsed="false">
      <c r="A943" s="4" t="n">
        <v>36433</v>
      </c>
      <c r="B943" s="5" t="n">
        <v>8450.28504838013</v>
      </c>
      <c r="C943" s="6" t="n">
        <v>1000</v>
      </c>
      <c r="D943" s="7" t="n">
        <v>773.3333333</v>
      </c>
      <c r="E943" s="6" t="n">
        <v>2287.60313926006</v>
      </c>
      <c r="F943" s="5" t="n">
        <v>19843.75</v>
      </c>
      <c r="G943" s="8" t="n">
        <v>83.7422207360966</v>
      </c>
    </row>
    <row r="944" customFormat="false" ht="14.35" hidden="false" customHeight="false" outlineLevel="0" collapsed="false">
      <c r="A944" s="4" t="n">
        <v>36464</v>
      </c>
      <c r="B944" s="5" t="n">
        <v>4000</v>
      </c>
      <c r="C944" s="6" t="n">
        <v>1700</v>
      </c>
      <c r="D944" s="7" t="n">
        <v>800</v>
      </c>
      <c r="E944" s="6" t="n">
        <v>2062.64571918111</v>
      </c>
      <c r="F944" s="5" t="n">
        <v>7500</v>
      </c>
      <c r="G944" s="8" t="n">
        <v>73.7976408232355</v>
      </c>
    </row>
    <row r="945" customFormat="false" ht="14.35" hidden="false" customHeight="false" outlineLevel="0" collapsed="false">
      <c r="A945" s="4" t="n">
        <v>36494</v>
      </c>
      <c r="B945" s="5" t="n">
        <v>3016.6407795485</v>
      </c>
      <c r="C945" s="6" t="n">
        <v>1700</v>
      </c>
      <c r="D945" s="7" t="n">
        <v>800</v>
      </c>
      <c r="E945" s="6" t="n">
        <v>1987.83087800128</v>
      </c>
      <c r="F945" s="5" t="n">
        <v>15601.938</v>
      </c>
      <c r="G945" s="8" t="n">
        <v>77.9960353629931</v>
      </c>
    </row>
    <row r="946" customFormat="false" ht="14.35" hidden="false" customHeight="false" outlineLevel="0" collapsed="false">
      <c r="A946" s="4" t="n">
        <v>36525</v>
      </c>
      <c r="B946" s="5" t="n">
        <v>5367.55554463363</v>
      </c>
      <c r="C946" s="6" t="n">
        <v>1700</v>
      </c>
      <c r="D946" s="7" t="n">
        <v>800</v>
      </c>
      <c r="E946" s="6" t="n">
        <v>1747.07141660995</v>
      </c>
      <c r="F946" s="5" t="n">
        <v>4878.01380247109</v>
      </c>
      <c r="G946" s="8" t="n">
        <v>73.7574990243604</v>
      </c>
    </row>
    <row r="947" customFormat="false" ht="14.35" hidden="false" customHeight="false" outlineLevel="0" collapsed="false">
      <c r="A947" s="4" t="n">
        <v>36556</v>
      </c>
      <c r="B947" s="5" t="n">
        <v>1700</v>
      </c>
      <c r="C947" s="6" t="n">
        <v>1700</v>
      </c>
      <c r="D947" s="7" t="n">
        <v>800</v>
      </c>
      <c r="E947" s="6" t="n">
        <v>1979.65939057971</v>
      </c>
      <c r="F947" s="5" t="n">
        <v>17279.7965532618</v>
      </c>
      <c r="G947" s="8" t="n">
        <v>81.2802187919826</v>
      </c>
    </row>
    <row r="948" customFormat="false" ht="14.35" hidden="false" customHeight="false" outlineLevel="0" collapsed="false">
      <c r="A948" s="4" t="n">
        <v>36585</v>
      </c>
      <c r="B948" s="5" t="n">
        <v>1700.00000000001</v>
      </c>
      <c r="C948" s="6" t="n">
        <v>1700</v>
      </c>
      <c r="D948" s="7" t="n">
        <v>800</v>
      </c>
      <c r="E948" s="6" t="n">
        <v>2725.10355853024</v>
      </c>
      <c r="F948" s="5" t="n">
        <v>100744.161540181</v>
      </c>
      <c r="G948" s="8" t="n">
        <v>74.0510989899948</v>
      </c>
    </row>
    <row r="949" customFormat="false" ht="14.35" hidden="false" customHeight="false" outlineLevel="0" collapsed="false">
      <c r="A949" s="4" t="n">
        <v>36616</v>
      </c>
      <c r="B949" s="5" t="n">
        <v>7242.19601034793</v>
      </c>
      <c r="C949" s="6" t="n">
        <v>1700</v>
      </c>
      <c r="D949" s="7" t="n">
        <v>800</v>
      </c>
      <c r="E949" s="6" t="n">
        <v>2964</v>
      </c>
      <c r="F949" s="5" t="n">
        <v>63179.162112314</v>
      </c>
      <c r="G949" s="8" t="n">
        <v>58.1671192481318</v>
      </c>
    </row>
    <row r="950" customFormat="false" ht="14.35" hidden="false" customHeight="false" outlineLevel="0" collapsed="false">
      <c r="A950" s="4" t="n">
        <v>36646</v>
      </c>
      <c r="B950" s="5" t="n">
        <v>1000</v>
      </c>
      <c r="C950" s="6" t="n">
        <v>1000</v>
      </c>
      <c r="D950" s="7" t="n">
        <v>700</v>
      </c>
      <c r="E950" s="6" t="n">
        <v>3361.20819079675</v>
      </c>
      <c r="F950" s="5" t="n">
        <v>25179.414270855</v>
      </c>
      <c r="G950" s="8" t="n">
        <v>56.5370530260293</v>
      </c>
    </row>
    <row r="951" customFormat="false" ht="14.35" hidden="false" customHeight="false" outlineLevel="0" collapsed="false">
      <c r="A951" s="4" t="n">
        <v>36677</v>
      </c>
      <c r="B951" s="5" t="n">
        <v>1492.35079442335</v>
      </c>
      <c r="C951" s="6" t="n">
        <v>1000</v>
      </c>
      <c r="D951" s="7" t="n">
        <v>700</v>
      </c>
      <c r="E951" s="6" t="n">
        <v>3538</v>
      </c>
      <c r="F951" s="5" t="n">
        <v>18238.5622236496</v>
      </c>
      <c r="G951" s="8" t="n">
        <v>63.0543907318463</v>
      </c>
    </row>
    <row r="952" customFormat="false" ht="14.35" hidden="false" customHeight="false" outlineLevel="0" collapsed="false">
      <c r="A952" s="4" t="n">
        <v>36707</v>
      </c>
      <c r="B952" s="5" t="n">
        <v>2788.2896571143</v>
      </c>
      <c r="C952" s="6" t="n">
        <v>1000</v>
      </c>
      <c r="D952" s="7" t="n">
        <v>700</v>
      </c>
      <c r="E952" s="6" t="n">
        <v>3387.81715836915</v>
      </c>
      <c r="F952" s="5" t="n">
        <v>6374.99999999999</v>
      </c>
      <c r="G952" s="8" t="n">
        <v>67.6627452063416</v>
      </c>
    </row>
    <row r="953" customFormat="false" ht="14.35" hidden="false" customHeight="false" outlineLevel="0" collapsed="false">
      <c r="A953" s="4" t="n">
        <v>36738</v>
      </c>
      <c r="B953" s="5" t="n">
        <v>9981.06092369035</v>
      </c>
      <c r="C953" s="6" t="n">
        <v>1000</v>
      </c>
      <c r="D953" s="7" t="n">
        <v>700</v>
      </c>
      <c r="E953" s="6" t="n">
        <v>2761.49193506268</v>
      </c>
      <c r="F953" s="5" t="n">
        <v>11338.3722778661</v>
      </c>
      <c r="G953" s="8" t="n">
        <v>77.230772540918</v>
      </c>
    </row>
    <row r="954" customFormat="false" ht="14.35" hidden="false" customHeight="false" outlineLevel="0" collapsed="false">
      <c r="A954" s="4" t="n">
        <v>36769</v>
      </c>
      <c r="B954" s="5" t="n">
        <v>7441.41289464259</v>
      </c>
      <c r="C954" s="6" t="n">
        <v>1000</v>
      </c>
      <c r="D954" s="7" t="n">
        <v>700</v>
      </c>
      <c r="E954" s="6" t="n">
        <v>2307.28617942103</v>
      </c>
      <c r="F954" s="5" t="n">
        <v>4000</v>
      </c>
      <c r="G954" s="8" t="n">
        <v>75.9534271672645</v>
      </c>
    </row>
    <row r="955" customFormat="false" ht="14.35" hidden="false" customHeight="false" outlineLevel="0" collapsed="false">
      <c r="A955" s="4" t="n">
        <v>36799</v>
      </c>
      <c r="B955" s="5" t="n">
        <v>7541.87102557168</v>
      </c>
      <c r="C955" s="6" t="n">
        <v>1000</v>
      </c>
      <c r="D955" s="7" t="n">
        <v>773.3333333</v>
      </c>
      <c r="E955" s="6" t="n">
        <v>1881.93905738491</v>
      </c>
      <c r="F955" s="5" t="n">
        <v>11562.5</v>
      </c>
      <c r="G955" s="8" t="n">
        <v>83.5211745784908</v>
      </c>
    </row>
    <row r="956" customFormat="false" ht="14.35" hidden="false" customHeight="false" outlineLevel="0" collapsed="false">
      <c r="A956" s="4" t="n">
        <v>36830</v>
      </c>
      <c r="B956" s="5" t="n">
        <v>4000</v>
      </c>
      <c r="C956" s="6" t="n">
        <v>1700</v>
      </c>
      <c r="D956" s="7" t="n">
        <v>800</v>
      </c>
      <c r="E956" s="6" t="n">
        <v>1713.54808858624</v>
      </c>
      <c r="F956" s="5" t="n">
        <v>5781.25</v>
      </c>
      <c r="G956" s="8" t="n">
        <v>77.8653777143932</v>
      </c>
    </row>
    <row r="957" customFormat="false" ht="14.35" hidden="false" customHeight="false" outlineLevel="0" collapsed="false">
      <c r="A957" s="4" t="n">
        <v>36860</v>
      </c>
      <c r="B957" s="5" t="n">
        <v>2500</v>
      </c>
      <c r="C957" s="6" t="n">
        <v>1700</v>
      </c>
      <c r="D957" s="7" t="n">
        <v>800</v>
      </c>
      <c r="E957" s="6" t="n">
        <v>1595.39690607416</v>
      </c>
      <c r="F957" s="5" t="n">
        <v>10468.75</v>
      </c>
      <c r="G957" s="8" t="n">
        <v>81.3245869258112</v>
      </c>
    </row>
    <row r="958" customFormat="false" ht="14.35" hidden="false" customHeight="false" outlineLevel="0" collapsed="false">
      <c r="A958" s="4" t="n">
        <v>36891</v>
      </c>
      <c r="B958" s="5" t="n">
        <v>2877.3207876843</v>
      </c>
      <c r="C958" s="6" t="n">
        <v>1700</v>
      </c>
      <c r="D958" s="7" t="n">
        <v>800</v>
      </c>
      <c r="E958" s="6" t="n">
        <v>1544.13116346218</v>
      </c>
      <c r="F958" s="5" t="n">
        <v>4500</v>
      </c>
      <c r="G958" s="8" t="n">
        <v>77.907055867427</v>
      </c>
    </row>
    <row r="959" customFormat="false" ht="14.35" hidden="false" customHeight="false" outlineLevel="0" collapsed="false">
      <c r="A959" s="4" t="n">
        <v>36922</v>
      </c>
      <c r="B959" s="5" t="n">
        <v>1700</v>
      </c>
      <c r="C959" s="6" t="n">
        <v>1700</v>
      </c>
      <c r="D959" s="7" t="n">
        <v>800</v>
      </c>
      <c r="E959" s="6" t="n">
        <v>1553.80426226653</v>
      </c>
      <c r="F959" s="5" t="n">
        <v>12543.812430437</v>
      </c>
      <c r="G959" s="8" t="n">
        <v>83.2587320452077</v>
      </c>
    </row>
    <row r="960" customFormat="false" ht="14.35" hidden="false" customHeight="false" outlineLevel="0" collapsed="false">
      <c r="A960" s="4" t="n">
        <v>36950</v>
      </c>
      <c r="B960" s="5" t="n">
        <v>1700</v>
      </c>
      <c r="C960" s="6" t="n">
        <v>1700</v>
      </c>
      <c r="D960" s="7" t="n">
        <v>800</v>
      </c>
      <c r="E960" s="6" t="n">
        <v>1639.85402409941</v>
      </c>
      <c r="F960" s="5" t="n">
        <v>25494.3873917785</v>
      </c>
      <c r="G960" s="8" t="n">
        <v>77.1549307836827</v>
      </c>
    </row>
    <row r="961" customFormat="false" ht="14.35" hidden="false" customHeight="false" outlineLevel="0" collapsed="false">
      <c r="A961" s="4" t="n">
        <v>36981</v>
      </c>
      <c r="B961" s="5" t="n">
        <v>1700</v>
      </c>
      <c r="C961" s="6" t="n">
        <v>1700</v>
      </c>
      <c r="D961" s="7" t="n">
        <v>800</v>
      </c>
      <c r="E961" s="6" t="n">
        <v>1848.73615710175</v>
      </c>
      <c r="F961" s="5" t="n">
        <v>21186.157879322</v>
      </c>
      <c r="G961" s="8" t="n">
        <v>69.7176394614362</v>
      </c>
    </row>
    <row r="962" customFormat="false" ht="14.35" hidden="false" customHeight="false" outlineLevel="0" collapsed="false">
      <c r="A962" s="4" t="n">
        <v>37011</v>
      </c>
      <c r="B962" s="5" t="n">
        <v>1000</v>
      </c>
      <c r="C962" s="6" t="n">
        <v>1000</v>
      </c>
      <c r="D962" s="7" t="n">
        <v>700</v>
      </c>
      <c r="E962" s="6" t="n">
        <v>1915.51640070892</v>
      </c>
      <c r="F962" s="5" t="n">
        <v>13425.5959062242</v>
      </c>
      <c r="G962" s="8" t="n">
        <v>68.6986208091617</v>
      </c>
    </row>
    <row r="963" customFormat="false" ht="14.35" hidden="false" customHeight="false" outlineLevel="0" collapsed="false">
      <c r="A963" s="4" t="n">
        <v>37042</v>
      </c>
      <c r="B963" s="5" t="n">
        <v>1921.56200127218</v>
      </c>
      <c r="C963" s="6" t="n">
        <v>1000</v>
      </c>
      <c r="D963" s="7" t="n">
        <v>700</v>
      </c>
      <c r="E963" s="6" t="n">
        <v>1852.99918436874</v>
      </c>
      <c r="F963" s="5" t="n">
        <v>7366.44731198639</v>
      </c>
      <c r="G963" s="8" t="n">
        <v>71.8613803674334</v>
      </c>
    </row>
    <row r="964" customFormat="false" ht="14.35" hidden="false" customHeight="false" outlineLevel="0" collapsed="false">
      <c r="A964" s="4" t="n">
        <v>37072</v>
      </c>
      <c r="B964" s="5" t="n">
        <v>4613.15993772446</v>
      </c>
      <c r="C964" s="6" t="n">
        <v>1000</v>
      </c>
      <c r="D964" s="7" t="n">
        <v>700</v>
      </c>
      <c r="E964" s="6" t="n">
        <v>1540.26540662297</v>
      </c>
      <c r="F964" s="5" t="n">
        <v>7100</v>
      </c>
      <c r="G964" s="8" t="n">
        <v>77.4990552500131</v>
      </c>
    </row>
    <row r="965" customFormat="false" ht="14.35" hidden="false" customHeight="false" outlineLevel="0" collapsed="false">
      <c r="A965" s="4" t="n">
        <v>37103</v>
      </c>
      <c r="B965" s="5" t="n">
        <v>2286.70698104515</v>
      </c>
      <c r="C965" s="6" t="n">
        <v>1000</v>
      </c>
      <c r="D965" s="7" t="n">
        <v>700</v>
      </c>
      <c r="E965" s="6" t="n">
        <v>1328.52821308804</v>
      </c>
      <c r="F965" s="5" t="n">
        <v>5000</v>
      </c>
      <c r="G965" s="8" t="n">
        <v>79.6294804560626</v>
      </c>
    </row>
    <row r="966" customFormat="false" ht="14.35" hidden="false" customHeight="false" outlineLevel="0" collapsed="false">
      <c r="A966" s="4" t="n">
        <v>37134</v>
      </c>
      <c r="B966" s="5" t="n">
        <v>1000</v>
      </c>
      <c r="C966" s="6" t="n">
        <v>1000</v>
      </c>
      <c r="D966" s="7" t="n">
        <v>700</v>
      </c>
      <c r="E966" s="6" t="n">
        <v>1217.73221690236</v>
      </c>
      <c r="F966" s="5" t="n">
        <v>3765.4838740953</v>
      </c>
      <c r="G966" s="8" t="n">
        <v>83.0157231169666</v>
      </c>
    </row>
    <row r="967" customFormat="false" ht="14.35" hidden="false" customHeight="false" outlineLevel="0" collapsed="false">
      <c r="A967" s="4" t="n">
        <v>37164</v>
      </c>
      <c r="B967" s="5" t="n">
        <v>1000</v>
      </c>
      <c r="C967" s="6" t="n">
        <v>1000</v>
      </c>
      <c r="D967" s="7" t="n">
        <v>773.3333333</v>
      </c>
      <c r="E967" s="6" t="n">
        <v>1124.69584523355</v>
      </c>
      <c r="F967" s="5" t="n">
        <v>3000</v>
      </c>
      <c r="G967" s="8" t="n">
        <v>86.2993170580618</v>
      </c>
    </row>
    <row r="968" customFormat="false" ht="14.35" hidden="false" customHeight="false" outlineLevel="0" collapsed="false">
      <c r="A968" s="4" t="n">
        <v>37195</v>
      </c>
      <c r="B968" s="5" t="n">
        <v>2388.4875419092</v>
      </c>
      <c r="C968" s="6" t="n">
        <v>1200</v>
      </c>
      <c r="D968" s="7" t="n">
        <v>800</v>
      </c>
      <c r="E968" s="6" t="n">
        <v>1014.07672679193</v>
      </c>
      <c r="F968" s="5" t="n">
        <v>4000</v>
      </c>
      <c r="G968" s="8" t="n">
        <v>89.1177259858306</v>
      </c>
    </row>
    <row r="969" customFormat="false" ht="14.35" hidden="false" customHeight="false" outlineLevel="0" collapsed="false">
      <c r="A969" s="4" t="n">
        <v>37225</v>
      </c>
      <c r="B969" s="5" t="n">
        <v>1200</v>
      </c>
      <c r="C969" s="6" t="n">
        <v>1200</v>
      </c>
      <c r="D969" s="7" t="n">
        <v>800</v>
      </c>
      <c r="E969" s="6" t="n">
        <v>993.044872074382</v>
      </c>
      <c r="F969" s="5" t="n">
        <v>5401.35884251376</v>
      </c>
      <c r="G969" s="8" t="n">
        <v>87.8364317312167</v>
      </c>
    </row>
    <row r="970" customFormat="false" ht="14.35" hidden="false" customHeight="false" outlineLevel="0" collapsed="false">
      <c r="A970" s="4" t="n">
        <v>37256</v>
      </c>
      <c r="B970" s="5" t="n">
        <v>1200</v>
      </c>
      <c r="C970" s="6" t="n">
        <v>1200</v>
      </c>
      <c r="D970" s="7" t="n">
        <v>800</v>
      </c>
      <c r="E970" s="6" t="n">
        <v>1181.9722373828</v>
      </c>
      <c r="F970" s="5" t="n">
        <v>28220.8328858501</v>
      </c>
      <c r="G970" s="8" t="n">
        <v>85.1141038269198</v>
      </c>
    </row>
    <row r="971" customFormat="false" ht="14.35" hidden="false" customHeight="false" outlineLevel="0" collapsed="false">
      <c r="A971" s="4" t="n">
        <v>37287</v>
      </c>
      <c r="B971" s="5" t="n">
        <v>1200</v>
      </c>
      <c r="C971" s="6" t="n">
        <v>1200</v>
      </c>
      <c r="D971" s="7" t="n">
        <v>800</v>
      </c>
      <c r="E971" s="6" t="n">
        <v>1505.82227779035</v>
      </c>
      <c r="F971" s="5" t="n">
        <v>47477.0583222792</v>
      </c>
      <c r="G971" s="8" t="n">
        <v>71.5478457877666</v>
      </c>
    </row>
    <row r="972" customFormat="false" ht="14.35" hidden="false" customHeight="false" outlineLevel="0" collapsed="false">
      <c r="A972" s="4" t="n">
        <v>37315</v>
      </c>
      <c r="B972" s="5" t="n">
        <v>1200</v>
      </c>
      <c r="C972" s="6" t="n">
        <v>1200</v>
      </c>
      <c r="D972" s="7" t="n">
        <v>800</v>
      </c>
      <c r="E972" s="6" t="n">
        <v>1659.38572367218</v>
      </c>
      <c r="F972" s="5" t="n">
        <v>15862.3720737255</v>
      </c>
      <c r="G972" s="8" t="n">
        <v>63.1134447397382</v>
      </c>
    </row>
    <row r="973" customFormat="false" ht="14.35" hidden="false" customHeight="false" outlineLevel="0" collapsed="false">
      <c r="A973" s="4" t="n">
        <v>37346</v>
      </c>
      <c r="B973" s="5" t="n">
        <v>1000</v>
      </c>
      <c r="C973" s="6" t="n">
        <v>1000</v>
      </c>
      <c r="D973" s="7" t="n">
        <v>800</v>
      </c>
      <c r="E973" s="6" t="n">
        <v>1967.14731890925</v>
      </c>
      <c r="F973" s="5" t="n">
        <v>15509.7963724809</v>
      </c>
      <c r="G973" s="8" t="n">
        <v>68.7520896446832</v>
      </c>
    </row>
    <row r="974" customFormat="false" ht="14.35" hidden="false" customHeight="false" outlineLevel="0" collapsed="false">
      <c r="A974" s="4" t="n">
        <v>37376</v>
      </c>
      <c r="B974" s="5" t="n">
        <v>1000</v>
      </c>
      <c r="C974" s="6" t="n">
        <v>1000</v>
      </c>
      <c r="D974" s="7" t="n">
        <v>700</v>
      </c>
      <c r="E974" s="6" t="n">
        <v>2127.71009084221</v>
      </c>
      <c r="F974" s="5" t="n">
        <v>19074.4311021649</v>
      </c>
      <c r="G974" s="8" t="n">
        <v>70.7727373908534</v>
      </c>
    </row>
    <row r="975" customFormat="false" ht="14.35" hidden="false" customHeight="false" outlineLevel="0" collapsed="false">
      <c r="A975" s="4" t="n">
        <v>37407</v>
      </c>
      <c r="B975" s="5" t="n">
        <v>1000</v>
      </c>
      <c r="C975" s="6" t="n">
        <v>1000</v>
      </c>
      <c r="D975" s="7" t="n">
        <v>700</v>
      </c>
      <c r="E975" s="6" t="n">
        <v>2184.3166107135</v>
      </c>
      <c r="F975" s="5" t="n">
        <v>12363.5132288855</v>
      </c>
      <c r="G975" s="8" t="n">
        <v>69.849332684025</v>
      </c>
    </row>
    <row r="976" customFormat="false" ht="14.35" hidden="false" customHeight="false" outlineLevel="0" collapsed="false">
      <c r="A976" s="4" t="n">
        <v>37437</v>
      </c>
      <c r="B976" s="5" t="n">
        <v>3106.78368804022</v>
      </c>
      <c r="C976" s="6" t="n">
        <v>1000</v>
      </c>
      <c r="D976" s="7" t="n">
        <v>700</v>
      </c>
      <c r="E976" s="6" t="n">
        <v>1927.88538899473</v>
      </c>
      <c r="F976" s="5" t="n">
        <v>4932.2915</v>
      </c>
      <c r="G976" s="8" t="n">
        <v>72.8703067564944</v>
      </c>
    </row>
    <row r="977" customFormat="false" ht="14.35" hidden="false" customHeight="false" outlineLevel="0" collapsed="false">
      <c r="A977" s="4" t="n">
        <v>37468</v>
      </c>
      <c r="B977" s="5" t="n">
        <v>5823.79884109694</v>
      </c>
      <c r="C977" s="6" t="n">
        <v>1000</v>
      </c>
      <c r="D977" s="7" t="n">
        <v>700</v>
      </c>
      <c r="E977" s="6" t="n">
        <v>1534.04445819849</v>
      </c>
      <c r="F977" s="5" t="n">
        <v>5000</v>
      </c>
      <c r="G977" s="8" t="n">
        <v>80.9045763710062</v>
      </c>
    </row>
    <row r="978" customFormat="false" ht="14.35" hidden="false" customHeight="false" outlineLevel="0" collapsed="false">
      <c r="A978" s="4" t="n">
        <v>37499</v>
      </c>
      <c r="B978" s="5" t="n">
        <v>1000</v>
      </c>
      <c r="C978" s="6" t="n">
        <v>1000</v>
      </c>
      <c r="D978" s="7" t="n">
        <v>700</v>
      </c>
      <c r="E978" s="6" t="n">
        <v>1440.51155002631</v>
      </c>
      <c r="F978" s="5" t="n">
        <v>3663.07182110046</v>
      </c>
      <c r="G978" s="8" t="n">
        <v>83.4336995578851</v>
      </c>
    </row>
    <row r="979" customFormat="false" ht="14.35" hidden="false" customHeight="false" outlineLevel="0" collapsed="false">
      <c r="A979" s="4" t="n">
        <v>37529</v>
      </c>
      <c r="B979" s="5" t="n">
        <v>1111.92277383245</v>
      </c>
      <c r="C979" s="6" t="n">
        <v>1000</v>
      </c>
      <c r="D979" s="7" t="n">
        <v>773.3333333</v>
      </c>
      <c r="E979" s="6" t="n">
        <v>1383.28247776706</v>
      </c>
      <c r="F979" s="5" t="n">
        <v>3000</v>
      </c>
      <c r="G979" s="8" t="n">
        <v>86.6476948072488</v>
      </c>
    </row>
    <row r="980" customFormat="false" ht="14.35" hidden="false" customHeight="false" outlineLevel="0" collapsed="false">
      <c r="A980" s="4" t="n">
        <v>37560</v>
      </c>
      <c r="B980" s="5" t="n">
        <v>1717.57737275244</v>
      </c>
      <c r="C980" s="6" t="n">
        <v>1700</v>
      </c>
      <c r="D980" s="7" t="n">
        <v>800</v>
      </c>
      <c r="E980" s="6" t="n">
        <v>1261.1892942168</v>
      </c>
      <c r="F980" s="5" t="n">
        <v>4442.01568765679</v>
      </c>
      <c r="G980" s="8" t="n">
        <v>89.2319242120141</v>
      </c>
    </row>
    <row r="981" customFormat="false" ht="14.35" hidden="false" customHeight="false" outlineLevel="0" collapsed="false">
      <c r="A981" s="4" t="n">
        <v>37590</v>
      </c>
      <c r="B981" s="5" t="n">
        <v>1700</v>
      </c>
      <c r="C981" s="6" t="n">
        <v>1700</v>
      </c>
      <c r="D981" s="7" t="n">
        <v>800</v>
      </c>
      <c r="E981" s="6" t="n">
        <v>1203.34219904896</v>
      </c>
      <c r="F981" s="5" t="n">
        <v>4500</v>
      </c>
      <c r="G981" s="8" t="n">
        <v>87.0704362036314</v>
      </c>
    </row>
    <row r="982" customFormat="false" ht="14.35" hidden="false" customHeight="false" outlineLevel="0" collapsed="false">
      <c r="A982" s="4" t="n">
        <v>37621</v>
      </c>
      <c r="B982" s="5" t="n">
        <v>1700</v>
      </c>
      <c r="C982" s="6" t="n">
        <v>1700</v>
      </c>
      <c r="D982" s="7" t="n">
        <v>800</v>
      </c>
      <c r="E982" s="6" t="n">
        <v>1589.89542461536</v>
      </c>
      <c r="F982" s="5" t="n">
        <v>39489.6814282913</v>
      </c>
      <c r="G982" s="8" t="n">
        <v>86.2624881194156</v>
      </c>
    </row>
    <row r="983" customFormat="false" ht="14.35" hidden="false" customHeight="false" outlineLevel="0" collapsed="false">
      <c r="A983" s="4" t="n">
        <v>37652</v>
      </c>
      <c r="B983" s="5" t="n">
        <v>1700</v>
      </c>
      <c r="C983" s="6" t="n">
        <v>1700</v>
      </c>
      <c r="D983" s="7" t="n">
        <v>800</v>
      </c>
      <c r="E983" s="6" t="n">
        <v>2123.08466069764</v>
      </c>
      <c r="F983" s="5" t="n">
        <v>60041.0810513298</v>
      </c>
      <c r="G983" s="8" t="n">
        <v>69.3489075324407</v>
      </c>
    </row>
    <row r="984" customFormat="false" ht="14.35" hidden="false" customHeight="false" outlineLevel="0" collapsed="false">
      <c r="A984" s="4" t="n">
        <v>37680</v>
      </c>
      <c r="B984" s="5" t="n">
        <v>1700.00000000001</v>
      </c>
      <c r="C984" s="6" t="n">
        <v>1700</v>
      </c>
      <c r="D984" s="7" t="n">
        <v>800</v>
      </c>
      <c r="E984" s="6" t="n">
        <v>2421.65476630342</v>
      </c>
      <c r="F984" s="5" t="n">
        <v>24033.2271520467</v>
      </c>
      <c r="G984" s="8" t="n">
        <v>60.5929558076866</v>
      </c>
    </row>
    <row r="985" customFormat="false" ht="14.35" hidden="false" customHeight="false" outlineLevel="0" collapsed="false">
      <c r="A985" s="4" t="n">
        <v>37711</v>
      </c>
      <c r="B985" s="5" t="n">
        <v>1700</v>
      </c>
      <c r="C985" s="6" t="n">
        <v>1700</v>
      </c>
      <c r="D985" s="7" t="n">
        <v>800</v>
      </c>
      <c r="E985" s="6" t="n">
        <v>2779.38050225338</v>
      </c>
      <c r="F985" s="5" t="n">
        <v>18353.705463614</v>
      </c>
      <c r="G985" s="8" t="n">
        <v>64.7410375032677</v>
      </c>
    </row>
    <row r="986" customFormat="false" ht="14.35" hidden="false" customHeight="false" outlineLevel="0" collapsed="false">
      <c r="A986" s="4" t="n">
        <v>37741</v>
      </c>
      <c r="B986" s="5" t="n">
        <v>1000</v>
      </c>
      <c r="C986" s="6" t="n">
        <v>1000</v>
      </c>
      <c r="D986" s="7" t="n">
        <v>700</v>
      </c>
      <c r="E986" s="6" t="n">
        <v>3153.88283288913</v>
      </c>
      <c r="F986" s="5" t="n">
        <v>30628.1230303994</v>
      </c>
      <c r="G986" s="8" t="n">
        <v>68.1673877656091</v>
      </c>
    </row>
    <row r="987" customFormat="false" ht="14.35" hidden="false" customHeight="false" outlineLevel="0" collapsed="false">
      <c r="A987" s="4" t="n">
        <v>37772</v>
      </c>
      <c r="B987" s="5" t="n">
        <v>2579.77918839194</v>
      </c>
      <c r="C987" s="6" t="n">
        <v>1000</v>
      </c>
      <c r="D987" s="7" t="n">
        <v>700</v>
      </c>
      <c r="E987" s="6" t="n">
        <v>3538</v>
      </c>
      <c r="F987" s="5" t="n">
        <v>39793.7339775629</v>
      </c>
      <c r="G987" s="8" t="n">
        <v>65.3652449505512</v>
      </c>
    </row>
    <row r="988" customFormat="false" ht="14.35" hidden="false" customHeight="false" outlineLevel="0" collapsed="false">
      <c r="A988" s="4" t="n">
        <v>37802</v>
      </c>
      <c r="B988" s="5" t="n">
        <v>2045.5433120856</v>
      </c>
      <c r="C988" s="6" t="n">
        <v>1000</v>
      </c>
      <c r="D988" s="7" t="n">
        <v>700</v>
      </c>
      <c r="E988" s="6" t="n">
        <v>3538</v>
      </c>
      <c r="F988" s="5" t="n">
        <v>8054.44676707952</v>
      </c>
      <c r="G988" s="8" t="n">
        <v>62.4399979749042</v>
      </c>
    </row>
    <row r="989" customFormat="false" ht="14.35" hidden="false" customHeight="false" outlineLevel="0" collapsed="false">
      <c r="A989" s="4" t="n">
        <v>37833</v>
      </c>
      <c r="B989" s="5" t="n">
        <v>9379.77825802294</v>
      </c>
      <c r="C989" s="6" t="n">
        <v>1000</v>
      </c>
      <c r="D989" s="7" t="n">
        <v>700</v>
      </c>
      <c r="E989" s="6" t="n">
        <v>2934.24116565824</v>
      </c>
      <c r="F989" s="5" t="n">
        <v>9253.03366551788</v>
      </c>
      <c r="G989" s="8" t="n">
        <v>73.7263009567331</v>
      </c>
    </row>
    <row r="990" customFormat="false" ht="14.35" hidden="false" customHeight="false" outlineLevel="0" collapsed="false">
      <c r="A990" s="4" t="n">
        <v>37864</v>
      </c>
      <c r="B990" s="5" t="n">
        <v>7584.47432126626</v>
      </c>
      <c r="C990" s="6" t="n">
        <v>1000</v>
      </c>
      <c r="D990" s="7" t="n">
        <v>700</v>
      </c>
      <c r="E990" s="6" t="n">
        <v>2479.50075554464</v>
      </c>
      <c r="F990" s="5" t="n">
        <v>4000</v>
      </c>
      <c r="G990" s="8" t="n">
        <v>76.3625663424881</v>
      </c>
    </row>
    <row r="991" customFormat="false" ht="14.35" hidden="false" customHeight="false" outlineLevel="0" collapsed="false">
      <c r="A991" s="4" t="n">
        <v>37894</v>
      </c>
      <c r="B991" s="5" t="n">
        <v>8231.03007648708</v>
      </c>
      <c r="C991" s="6" t="n">
        <v>1000</v>
      </c>
      <c r="D991" s="7" t="n">
        <v>773.3333333</v>
      </c>
      <c r="E991" s="6" t="n">
        <v>2008.53878760524</v>
      </c>
      <c r="F991" s="5" t="n">
        <v>11718.75</v>
      </c>
      <c r="G991" s="8" t="n">
        <v>83.6552904001291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991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selection pane="topLeft" activeCell="S8" activeCellId="0" sqref="S8"/>
    </sheetView>
  </sheetViews>
  <sheetFormatPr defaultRowHeight="14.35" zeroHeight="false" outlineLevelRow="0" outlineLevelCol="0"/>
  <cols>
    <col collapsed="false" customWidth="true" hidden="false" outlineLevel="0" max="1" min="1" style="0" width="11"/>
    <col collapsed="false" customWidth="true" hidden="false" outlineLevel="0" max="3" min="2" style="0" width="5"/>
    <col collapsed="false" customWidth="true" hidden="false" outlineLevel="0" max="4" min="4" style="0" width="5.12"/>
    <col collapsed="false" customWidth="true" hidden="false" outlineLevel="0" max="5" min="5" style="0" width="6.4"/>
    <col collapsed="false" customWidth="true" hidden="false" outlineLevel="0" max="6" min="6" style="0" width="10"/>
    <col collapsed="false" customWidth="true" hidden="false" outlineLevel="0" max="7" min="7" style="0" width="10.7"/>
    <col collapsed="false" customWidth="true" hidden="false" outlineLevel="0" max="8" min="8" style="0" width="10"/>
    <col collapsed="false" customWidth="true" hidden="false" outlineLevel="0" max="9" min="9" style="0" width="7.29"/>
    <col collapsed="false" customWidth="true" hidden="false" outlineLevel="0" max="10" min="10" style="0" width="5"/>
    <col collapsed="false" customWidth="true" hidden="false" outlineLevel="0" max="11" min="11" style="0" width="11.12"/>
    <col collapsed="false" customWidth="true" hidden="false" outlineLevel="0" max="12" min="12" style="0" width="10.7"/>
    <col collapsed="false" customWidth="true" hidden="false" outlineLevel="0" max="14" min="13" style="0" width="8.53"/>
    <col collapsed="false" customWidth="true" hidden="false" outlineLevel="0" max="15" min="15" style="0" width="9.87"/>
    <col collapsed="false" customWidth="true" hidden="false" outlineLevel="0" max="16" min="16" style="0" width="7.7"/>
    <col collapsed="false" customWidth="true" hidden="false" outlineLevel="0" max="17" min="17" style="0" width="8.53"/>
    <col collapsed="false" customWidth="true" hidden="false" outlineLevel="0" max="19" min="18" style="0" width="8.7"/>
    <col collapsed="false" customWidth="true" hidden="false" outlineLevel="0" max="22" min="20" style="0" width="8.53"/>
    <col collapsed="false" customWidth="true" hidden="false" outlineLevel="0" max="23" min="23" style="0" width="11.64"/>
    <col collapsed="false" customWidth="true" hidden="false" outlineLevel="0" max="1025" min="24" style="0" width="8.53"/>
  </cols>
  <sheetData>
    <row r="1" customFormat="false" ht="14.35" hidden="false" customHeight="false" outlineLevel="0" collapsed="false">
      <c r="A1" s="2"/>
      <c r="B1" s="2"/>
      <c r="C1" s="2"/>
      <c r="D1" s="2"/>
      <c r="E1" s="2"/>
      <c r="J1" s="2"/>
      <c r="K1" s="2"/>
      <c r="L1" s="2"/>
      <c r="M1" s="2"/>
      <c r="N1" s="2"/>
      <c r="O1" s="2"/>
      <c r="P1" s="2"/>
    </row>
    <row r="2" customFormat="false" ht="14.35" hidden="false" customHeight="false" outlineLevel="0" collapsed="false">
      <c r="A2" s="2"/>
      <c r="B2" s="2"/>
      <c r="C2" s="2"/>
      <c r="D2" s="2"/>
      <c r="E2" s="2"/>
      <c r="J2" s="2"/>
      <c r="K2" s="2"/>
      <c r="L2" s="2"/>
      <c r="M2" s="2"/>
      <c r="N2" s="2"/>
      <c r="O2" s="2"/>
      <c r="P2" s="2"/>
    </row>
    <row r="3" customFormat="false" ht="14.35" hidden="false" customHeight="false" outlineLevel="0" collapsed="false">
      <c r="A3" s="2"/>
      <c r="B3" s="2"/>
      <c r="C3" s="2"/>
      <c r="D3" s="2"/>
      <c r="E3" s="2"/>
      <c r="J3" s="2"/>
      <c r="K3" s="2"/>
      <c r="L3" s="2"/>
      <c r="M3" s="2"/>
      <c r="N3" s="2"/>
      <c r="O3" s="2"/>
      <c r="P3" s="2"/>
    </row>
    <row r="4" customFormat="false" ht="14.35" hidden="false" customHeight="false" outlineLevel="0" collapsed="false">
      <c r="A4" s="2"/>
      <c r="B4" s="2"/>
      <c r="C4" s="2"/>
      <c r="D4" s="2"/>
      <c r="E4" s="2"/>
      <c r="J4" s="2"/>
      <c r="K4" s="2"/>
      <c r="L4" s="2"/>
      <c r="M4" s="2"/>
      <c r="N4" s="2"/>
      <c r="O4" s="2"/>
      <c r="P4" s="2"/>
    </row>
    <row r="5" customFormat="false" ht="14.35" hidden="false" customHeight="false" outlineLevel="0" collapsed="false">
      <c r="A5" s="9"/>
      <c r="B5" s="9"/>
      <c r="C5" s="9"/>
      <c r="D5" s="9"/>
      <c r="E5" s="10" t="s">
        <v>30</v>
      </c>
      <c r="F5" s="10" t="s">
        <v>31</v>
      </c>
      <c r="G5" s="10" t="s">
        <v>31</v>
      </c>
      <c r="H5" s="10" t="s">
        <v>32</v>
      </c>
      <c r="I5" s="10" t="s">
        <v>33</v>
      </c>
      <c r="J5" s="10" t="s">
        <v>32</v>
      </c>
      <c r="K5" s="10" t="s">
        <v>34</v>
      </c>
      <c r="L5" s="10" t="s">
        <v>35</v>
      </c>
      <c r="M5" s="10" t="s">
        <v>31</v>
      </c>
      <c r="N5" s="10" t="s">
        <v>36</v>
      </c>
      <c r="O5" s="10" t="s">
        <v>37</v>
      </c>
      <c r="P5" s="10" t="s">
        <v>38</v>
      </c>
      <c r="Q5" s="10" t="s">
        <v>39</v>
      </c>
      <c r="R5" s="10" t="s">
        <v>40</v>
      </c>
      <c r="S5" s="10" t="s">
        <v>31</v>
      </c>
      <c r="T5" s="10" t="s">
        <v>41</v>
      </c>
      <c r="V5" s="0" t="s">
        <v>42</v>
      </c>
      <c r="W5" s="11" t="n">
        <v>2</v>
      </c>
      <c r="X5" s="2"/>
    </row>
    <row r="6" customFormat="false" ht="14.35" hidden="false" customHeight="false" outlineLevel="0" collapsed="false">
      <c r="A6" s="9"/>
      <c r="B6" s="9"/>
      <c r="C6" s="9"/>
      <c r="D6" s="9"/>
      <c r="E6" s="10" t="s">
        <v>43</v>
      </c>
      <c r="F6" s="10" t="s">
        <v>43</v>
      </c>
      <c r="G6" s="10" t="s">
        <v>44</v>
      </c>
      <c r="H6" s="10" t="s">
        <v>45</v>
      </c>
      <c r="I6" s="10" t="s">
        <v>32</v>
      </c>
      <c r="J6" s="10" t="s">
        <v>46</v>
      </c>
      <c r="K6" s="10" t="s">
        <v>47</v>
      </c>
      <c r="L6" s="10" t="s">
        <v>48</v>
      </c>
      <c r="M6" s="10" t="s">
        <v>49</v>
      </c>
      <c r="N6" s="10" t="s">
        <v>50</v>
      </c>
      <c r="O6" s="10" t="s">
        <v>51</v>
      </c>
      <c r="P6" s="10" t="s">
        <v>52</v>
      </c>
      <c r="Q6" s="10" t="s">
        <v>53</v>
      </c>
      <c r="R6" s="10" t="s">
        <v>54</v>
      </c>
      <c r="S6" s="10" t="s">
        <v>55</v>
      </c>
      <c r="T6" s="10" t="s">
        <v>56</v>
      </c>
      <c r="V6" s="0" t="s">
        <v>57</v>
      </c>
      <c r="W6" s="11" t="n">
        <v>43</v>
      </c>
      <c r="X6" s="2" t="s">
        <v>58</v>
      </c>
    </row>
    <row r="7" customFormat="false" ht="14.35" hidden="false" customHeight="false" outlineLevel="0" collapsed="false">
      <c r="A7" s="12"/>
      <c r="B7" s="12" t="s">
        <v>0</v>
      </c>
      <c r="C7" s="12" t="s">
        <v>59</v>
      </c>
      <c r="D7" s="12" t="s">
        <v>60</v>
      </c>
      <c r="E7" s="13" t="s">
        <v>61</v>
      </c>
      <c r="F7" s="13" t="s">
        <v>61</v>
      </c>
      <c r="G7" s="13" t="s">
        <v>61</v>
      </c>
      <c r="H7" s="13" t="s">
        <v>62</v>
      </c>
      <c r="I7" s="13" t="s">
        <v>62</v>
      </c>
      <c r="J7" s="13" t="s">
        <v>62</v>
      </c>
      <c r="K7" s="13" t="s">
        <v>62</v>
      </c>
      <c r="L7" s="13" t="s">
        <v>62</v>
      </c>
      <c r="M7" s="13" t="s">
        <v>62</v>
      </c>
      <c r="N7" s="13" t="s">
        <v>63</v>
      </c>
      <c r="O7" s="13" t="s">
        <v>64</v>
      </c>
      <c r="P7" s="13" t="s">
        <v>63</v>
      </c>
      <c r="Q7" s="13" t="s">
        <v>62</v>
      </c>
      <c r="R7" s="13" t="s">
        <v>64</v>
      </c>
      <c r="S7" s="13" t="s">
        <v>62</v>
      </c>
      <c r="T7" s="14" t="s">
        <v>63</v>
      </c>
      <c r="V7" s="0" t="s">
        <v>65</v>
      </c>
      <c r="W7" s="11" t="n">
        <v>2000</v>
      </c>
      <c r="X7" s="2" t="s">
        <v>66</v>
      </c>
    </row>
    <row r="8" customFormat="false" ht="14.35" hidden="false" customHeight="false" outlineLevel="0" collapsed="false">
      <c r="A8" s="4" t="n">
        <v>7975</v>
      </c>
      <c r="B8" s="15" t="n">
        <f aca="false">IF(C8&lt;=9,YEAR(A8),YEAR(A8)+1)</f>
        <v>1922</v>
      </c>
      <c r="C8" s="15" t="n">
        <f aca="false">MONTH(A8)</f>
        <v>10</v>
      </c>
      <c r="D8" s="15" t="n">
        <f aca="false">DAY(A8)</f>
        <v>31</v>
      </c>
      <c r="E8" s="15" t="n">
        <f aca="false">VLOOKUP(B8,WYT!$A$2:$L$97,12)</f>
        <v>1</v>
      </c>
      <c r="F8" s="15" t="n">
        <f aca="false">IF(C8=$W$5,1,0)</f>
        <v>0</v>
      </c>
      <c r="G8" s="15" t="n">
        <f aca="false">IF(C8=10,0,IF(F8=1,1,G7))</f>
        <v>0</v>
      </c>
      <c r="H8" s="5" t="n">
        <f aca="false">VA_base_426_data!B8</f>
        <v>4000</v>
      </c>
      <c r="I8" s="5" t="n">
        <f aca="false">IF(AND(E8=1,OR(C8=4,C8=5)),25*12.1/24/D8*1000,0)</f>
        <v>0</v>
      </c>
      <c r="J8" s="5" t="n">
        <f aca="false">VA_base_426_data!C8</f>
        <v>1700</v>
      </c>
      <c r="K8" s="5" t="n">
        <f aca="false">H8+I8-J8</f>
        <v>2300</v>
      </c>
      <c r="L8" s="5" t="n">
        <f aca="false">MIN($W$7,J8+K8)</f>
        <v>2000</v>
      </c>
      <c r="M8" s="5" t="n">
        <f aca="false">VA_base_426_data!D8</f>
        <v>800</v>
      </c>
      <c r="N8" s="5" t="n">
        <f aca="false">IF(AND(C8=10,E8=1),$W$6,N7-P7)</f>
        <v>43</v>
      </c>
      <c r="O8" s="5" t="n">
        <f aca="false">IF(ABS(M8-L8)&gt;1,MIN(N8/((L8-M8)*24/12.1/1000),D8),D8)</f>
        <v>18.0659722222222</v>
      </c>
      <c r="P8" s="5" t="n">
        <f aca="false">IF(AND(G8,E8),(L8-M8)*24/12.1*O8/1000,0)</f>
        <v>0</v>
      </c>
      <c r="Q8" s="5" t="n">
        <f aca="false">IF(P8&gt;0,P8/O8*12.1/24*1000+M8,0)</f>
        <v>0</v>
      </c>
      <c r="R8" s="0" t="n">
        <f aca="false">IF(Q8&gt;0,TRUNC(O8),0)</f>
        <v>0</v>
      </c>
      <c r="S8" s="5" t="n">
        <f aca="false">(M8*(D8-R8)+(Q8*R8))/D8</f>
        <v>800</v>
      </c>
      <c r="T8" s="6" t="n">
        <f aca="false">(Q8-M8)*R8*24/12.1/1000</f>
        <v>-0</v>
      </c>
    </row>
    <row r="9" customFormat="false" ht="14.35" hidden="false" customHeight="false" outlineLevel="0" collapsed="false">
      <c r="A9" s="4" t="n">
        <v>8005</v>
      </c>
      <c r="B9" s="15" t="n">
        <f aca="false">IF(C9&lt;=9,YEAR(A9),YEAR(A9)+1)</f>
        <v>1922</v>
      </c>
      <c r="C9" s="15" t="n">
        <f aca="false">MONTH(A9)</f>
        <v>11</v>
      </c>
      <c r="D9" s="15" t="n">
        <f aca="false">DAY(A9)</f>
        <v>30</v>
      </c>
      <c r="E9" s="15" t="n">
        <f aca="false">VLOOKUP(B9,WYT!$A$2:$L$97,12)</f>
        <v>1</v>
      </c>
      <c r="F9" s="15" t="n">
        <f aca="false">IF(C9=$W$5,1,0)</f>
        <v>0</v>
      </c>
      <c r="G9" s="15" t="n">
        <f aca="false">IF(C9=10,0,IF(F9=1,1,G8))</f>
        <v>0</v>
      </c>
      <c r="H9" s="5" t="n">
        <f aca="false">VA_base_426_data!B9</f>
        <v>2500</v>
      </c>
      <c r="I9" s="5" t="n">
        <f aca="false">IF(AND(E9=1,OR(C9=4,C9=5)),25*12.1/24/D9*1000,0)</f>
        <v>0</v>
      </c>
      <c r="J9" s="5" t="n">
        <f aca="false">VA_base_426_data!C9</f>
        <v>1700</v>
      </c>
      <c r="K9" s="5" t="n">
        <f aca="false">H9+I9-J9</f>
        <v>800</v>
      </c>
      <c r="L9" s="5" t="n">
        <f aca="false">MIN($W$7,J9+K9)</f>
        <v>2000</v>
      </c>
      <c r="M9" s="5" t="n">
        <f aca="false">VA_base_426_data!D9</f>
        <v>800</v>
      </c>
      <c r="N9" s="5" t="n">
        <f aca="false">IF(AND(C9=10,E9=1),$W$6,N8-P8)</f>
        <v>43</v>
      </c>
      <c r="O9" s="5" t="n">
        <f aca="false">IF(ABS(M9-L9)&gt;1,MIN(N9/((L9-M9)*24/12.1/1000),D9),D9)</f>
        <v>18.0659722222222</v>
      </c>
      <c r="P9" s="5" t="n">
        <f aca="false">IF(AND(G9,E9),(L9-M9)*24/12.1*O9/1000,0)</f>
        <v>0</v>
      </c>
      <c r="Q9" s="5" t="n">
        <f aca="false">IF(P9&gt;0,P9/O9*12.1/24*1000+M9,0)</f>
        <v>0</v>
      </c>
      <c r="R9" s="0" t="n">
        <f aca="false">IF(Q9&gt;0,TRUNC(O9),0)</f>
        <v>0</v>
      </c>
      <c r="S9" s="5" t="n">
        <f aca="false">(M9*(D9-R9)+(Q9*R9))/D9</f>
        <v>800</v>
      </c>
      <c r="T9" s="6" t="n">
        <f aca="false">(Q9-M9)*R9*24/12.1/1000</f>
        <v>-0</v>
      </c>
    </row>
    <row r="10" customFormat="false" ht="14.35" hidden="false" customHeight="false" outlineLevel="0" collapsed="false">
      <c r="A10" s="4" t="n">
        <v>8036</v>
      </c>
      <c r="B10" s="15" t="n">
        <f aca="false">IF(C10&lt;=9,YEAR(A10),YEAR(A10)+1)</f>
        <v>1922</v>
      </c>
      <c r="C10" s="15" t="n">
        <f aca="false">MONTH(A10)</f>
        <v>12</v>
      </c>
      <c r="D10" s="15" t="n">
        <f aca="false">DAY(A10)</f>
        <v>31</v>
      </c>
      <c r="E10" s="15" t="n">
        <f aca="false">VLOOKUP(B10,WYT!$A$2:$L$97,12)</f>
        <v>1</v>
      </c>
      <c r="F10" s="15" t="n">
        <f aca="false">IF(C10=$W$5,1,0)</f>
        <v>0</v>
      </c>
      <c r="G10" s="15" t="n">
        <f aca="false">IF(C10=10,0,IF(F10=1,1,G9))</f>
        <v>0</v>
      </c>
      <c r="H10" s="5" t="n">
        <f aca="false">VA_base_426_data!B10</f>
        <v>3359.18877915726</v>
      </c>
      <c r="I10" s="5" t="n">
        <f aca="false">IF(AND(E10=1,OR(C10=4,C10=5)),25*12.1/24/D10*1000,0)</f>
        <v>0</v>
      </c>
      <c r="J10" s="5" t="n">
        <f aca="false">VA_base_426_data!C10</f>
        <v>1700</v>
      </c>
      <c r="K10" s="5" t="n">
        <f aca="false">H10+I10-J10</f>
        <v>1659.18877915726</v>
      </c>
      <c r="L10" s="5" t="n">
        <f aca="false">MIN($W$7,J10+K10)</f>
        <v>2000</v>
      </c>
      <c r="M10" s="5" t="n">
        <f aca="false">VA_base_426_data!D10</f>
        <v>800</v>
      </c>
      <c r="N10" s="5" t="n">
        <f aca="false">IF(AND(C10=10,E10=1),$W$6,N9-P9)</f>
        <v>43</v>
      </c>
      <c r="O10" s="5" t="n">
        <f aca="false">IF(ABS(M10-L10)&gt;1,MIN(N10/((L10-M10)*24/12.1/1000),D10),D10)</f>
        <v>18.0659722222222</v>
      </c>
      <c r="P10" s="5" t="n">
        <f aca="false">IF(AND(G10,E10),(L10-M10)*24/12.1*O10/1000,0)</f>
        <v>0</v>
      </c>
      <c r="Q10" s="5" t="n">
        <f aca="false">IF(P10&gt;0,P10/O10*12.1/24*1000+M10,0)</f>
        <v>0</v>
      </c>
      <c r="R10" s="0" t="n">
        <f aca="false">IF(Q10&gt;0,TRUNC(O10),0)</f>
        <v>0</v>
      </c>
      <c r="S10" s="5" t="n">
        <f aca="false">(M10*(D10-R10)+(Q10*R10))/D10</f>
        <v>800</v>
      </c>
      <c r="T10" s="6" t="n">
        <f aca="false">(Q10-M10)*R10*24/12.1/1000</f>
        <v>-0</v>
      </c>
      <c r="W10" s="6"/>
    </row>
    <row r="11" customFormat="false" ht="14.35" hidden="false" customHeight="false" outlineLevel="0" collapsed="false">
      <c r="A11" s="4" t="n">
        <v>8067</v>
      </c>
      <c r="B11" s="15" t="n">
        <f aca="false">IF(C11&lt;=9,YEAR(A11),YEAR(A11)+1)</f>
        <v>1922</v>
      </c>
      <c r="C11" s="15" t="n">
        <f aca="false">MONTH(A11)</f>
        <v>1</v>
      </c>
      <c r="D11" s="15" t="n">
        <f aca="false">DAY(A11)</f>
        <v>31</v>
      </c>
      <c r="E11" s="15" t="n">
        <f aca="false">VLOOKUP(B11,WYT!$A$2:$L$97,12)</f>
        <v>1</v>
      </c>
      <c r="F11" s="15" t="n">
        <f aca="false">IF(C11=$W$5,1,0)</f>
        <v>0</v>
      </c>
      <c r="G11" s="15" t="n">
        <f aca="false">IF(C11=10,0,IF(F11=1,1,G10))</f>
        <v>0</v>
      </c>
      <c r="H11" s="5" t="n">
        <f aca="false">VA_base_426_data!B11</f>
        <v>1700</v>
      </c>
      <c r="I11" s="5" t="n">
        <f aca="false">IF(AND(E11=1,OR(C11=4,C11=5)),25*12.1/24/D11*1000,0)</f>
        <v>0</v>
      </c>
      <c r="J11" s="5" t="n">
        <f aca="false">VA_base_426_data!C11</f>
        <v>1700</v>
      </c>
      <c r="K11" s="5" t="n">
        <f aca="false">H11+I11-J11</f>
        <v>0</v>
      </c>
      <c r="L11" s="5" t="n">
        <f aca="false">MIN($W$7,J11+K11)</f>
        <v>1700</v>
      </c>
      <c r="M11" s="5" t="n">
        <f aca="false">VA_base_426_data!D11</f>
        <v>800</v>
      </c>
      <c r="N11" s="5" t="n">
        <f aca="false">IF(AND(C11=10,E11=1),$W$6,N10-P10)</f>
        <v>43</v>
      </c>
      <c r="O11" s="5" t="n">
        <f aca="false">IF(ABS(M11-L11)&gt;1,MIN(N11/((L11-M11)*24/12.1/1000),D11),D11)</f>
        <v>24.087962962963</v>
      </c>
      <c r="P11" s="5" t="n">
        <f aca="false">IF(AND(G11,E11),(L11-M11)*24/12.1*O11/1000,0)</f>
        <v>0</v>
      </c>
      <c r="Q11" s="5" t="n">
        <f aca="false">IF(P11&gt;0,P11/O11*12.1/24*1000+M11,0)</f>
        <v>0</v>
      </c>
      <c r="R11" s="0" t="n">
        <f aca="false">IF(Q11&gt;0,TRUNC(O11),0)</f>
        <v>0</v>
      </c>
      <c r="S11" s="5" t="n">
        <f aca="false">(M11*(D11-R11)+(Q11*R11))/D11</f>
        <v>800</v>
      </c>
      <c r="T11" s="6" t="n">
        <f aca="false">(Q11-M11)*R11*24/12.1/1000</f>
        <v>-0</v>
      </c>
    </row>
    <row r="12" customFormat="false" ht="14.35" hidden="false" customHeight="false" outlineLevel="0" collapsed="false">
      <c r="A12" s="4" t="n">
        <v>8095</v>
      </c>
      <c r="B12" s="15" t="n">
        <f aca="false">IF(C12&lt;=9,YEAR(A12),YEAR(A12)+1)</f>
        <v>1922</v>
      </c>
      <c r="C12" s="15" t="n">
        <f aca="false">MONTH(A12)</f>
        <v>2</v>
      </c>
      <c r="D12" s="15" t="n">
        <f aca="false">DAY(A12)</f>
        <v>28</v>
      </c>
      <c r="E12" s="15" t="n">
        <f aca="false">VLOOKUP(B12,WYT!$A$2:$L$97,12)</f>
        <v>1</v>
      </c>
      <c r="F12" s="15" t="n">
        <f aca="false">IF(C12=$W$5,1,0)</f>
        <v>1</v>
      </c>
      <c r="G12" s="15" t="n">
        <f aca="false">IF(C12=10,0,IF(F12=1,1,G11))</f>
        <v>1</v>
      </c>
      <c r="H12" s="5" t="n">
        <f aca="false">VA_base_426_data!B12</f>
        <v>1700</v>
      </c>
      <c r="I12" s="5" t="n">
        <f aca="false">IF(AND(E12=1,OR(C12=4,C12=5)),25*12.1/24/D12*1000,0)</f>
        <v>0</v>
      </c>
      <c r="J12" s="5" t="n">
        <f aca="false">VA_base_426_data!C12</f>
        <v>1700</v>
      </c>
      <c r="K12" s="5" t="n">
        <f aca="false">H12+I12-J12</f>
        <v>0</v>
      </c>
      <c r="L12" s="5" t="n">
        <f aca="false">MIN($W$7,J12+K12)</f>
        <v>1700</v>
      </c>
      <c r="M12" s="5" t="n">
        <f aca="false">VA_base_426_data!D12</f>
        <v>800</v>
      </c>
      <c r="N12" s="5" t="n">
        <f aca="false">IF(AND(C12=10,E12=1),$W$6,N11-P11)</f>
        <v>43</v>
      </c>
      <c r="O12" s="5" t="n">
        <f aca="false">IF(ABS(M12-L12)&gt;1,MIN(N12/((L12-M12)*24/12.1/1000),D12),D12)</f>
        <v>24.087962962963</v>
      </c>
      <c r="P12" s="5" t="n">
        <f aca="false">MIN(IF(AND(G12,E12),(L12-M12)*24/12.1*O12/1000,0),N12)</f>
        <v>43</v>
      </c>
      <c r="Q12" s="5" t="n">
        <f aca="false">IF(P12&gt;0,P12/O12*12.1/24*1000+M12,0)</f>
        <v>1700</v>
      </c>
      <c r="R12" s="0" t="n">
        <f aca="false">IF(Q12&gt;0,TRUNC(O12),0)</f>
        <v>24</v>
      </c>
      <c r="S12" s="5" t="n">
        <f aca="false">(M12*(D12-R12)+(Q12*R12))/D12</f>
        <v>1571.42857142857</v>
      </c>
      <c r="T12" s="6" t="n">
        <f aca="false">(Q12-M12)*R12*24/12.1/1000</f>
        <v>42.8429752066116</v>
      </c>
    </row>
    <row r="13" customFormat="false" ht="14.35" hidden="false" customHeight="false" outlineLevel="0" collapsed="false">
      <c r="A13" s="4" t="n">
        <v>8126</v>
      </c>
      <c r="B13" s="15" t="n">
        <f aca="false">IF(C13&lt;=9,YEAR(A13),YEAR(A13)+1)</f>
        <v>1922</v>
      </c>
      <c r="C13" s="15" t="n">
        <f aca="false">MONTH(A13)</f>
        <v>3</v>
      </c>
      <c r="D13" s="15" t="n">
        <f aca="false">DAY(A13)</f>
        <v>31</v>
      </c>
      <c r="E13" s="15" t="n">
        <f aca="false">VLOOKUP(B13,WYT!$A$2:$L$97,12)</f>
        <v>1</v>
      </c>
      <c r="F13" s="15" t="n">
        <f aca="false">IF(C13=$W$5,1,0)</f>
        <v>0</v>
      </c>
      <c r="G13" s="15" t="n">
        <f aca="false">IF(C13=10,0,IF(F13=1,1,G12))</f>
        <v>1</v>
      </c>
      <c r="H13" s="5" t="n">
        <f aca="false">VA_base_426_data!B13</f>
        <v>1700</v>
      </c>
      <c r="I13" s="5" t="n">
        <f aca="false">IF(AND(E13=1,OR(C13=4,C13=5)),25*12.1/24/D13*1000,0)</f>
        <v>0</v>
      </c>
      <c r="J13" s="5" t="n">
        <f aca="false">VA_base_426_data!C13</f>
        <v>1700</v>
      </c>
      <c r="K13" s="5" t="n">
        <f aca="false">H13+I13-J13</f>
        <v>0</v>
      </c>
      <c r="L13" s="5" t="n">
        <f aca="false">MIN($W$7,J13+K13)</f>
        <v>1700</v>
      </c>
      <c r="M13" s="5" t="n">
        <f aca="false">VA_base_426_data!D13</f>
        <v>800</v>
      </c>
      <c r="N13" s="5" t="n">
        <f aca="false">IF(AND(C13=10,E13=1),$W$6,N12-P12)</f>
        <v>0</v>
      </c>
      <c r="O13" s="5" t="n">
        <f aca="false">IF(ABS(M13-L13)&gt;1,MIN(N13/((L13-M13)*24/12.1/1000),D13),D13)</f>
        <v>0</v>
      </c>
      <c r="P13" s="5" t="n">
        <f aca="false">MIN(IF(AND(G13,E13),(L13-M13)*24/12.1*O13/1000,0),N13)</f>
        <v>0</v>
      </c>
      <c r="Q13" s="5" t="n">
        <f aca="false">IF(P13&gt;0,P13/O13*12.1/24*1000+M13,0)</f>
        <v>0</v>
      </c>
      <c r="R13" s="0" t="n">
        <f aca="false">IF(Q13&gt;0,TRUNC(O13),0)</f>
        <v>0</v>
      </c>
      <c r="S13" s="5" t="n">
        <f aca="false">(M13*(D13-R13)+(Q13*R13))/D13</f>
        <v>800</v>
      </c>
      <c r="T13" s="6" t="n">
        <f aca="false">(Q13-M13)*R13*24/12.1/1000</f>
        <v>-0</v>
      </c>
    </row>
    <row r="14" customFormat="false" ht="14.35" hidden="false" customHeight="false" outlineLevel="0" collapsed="false">
      <c r="A14" s="4" t="n">
        <v>8156</v>
      </c>
      <c r="B14" s="15" t="n">
        <f aca="false">IF(C14&lt;=9,YEAR(A14),YEAR(A14)+1)</f>
        <v>1922</v>
      </c>
      <c r="C14" s="15" t="n">
        <f aca="false">MONTH(A14)</f>
        <v>4</v>
      </c>
      <c r="D14" s="15" t="n">
        <f aca="false">DAY(A14)</f>
        <v>30</v>
      </c>
      <c r="E14" s="15" t="n">
        <f aca="false">VLOOKUP(B14,WYT!$A$2:$L$97,12)</f>
        <v>1</v>
      </c>
      <c r="F14" s="15" t="n">
        <f aca="false">IF(C14=$W$5,1,0)</f>
        <v>0</v>
      </c>
      <c r="G14" s="15" t="n">
        <f aca="false">IF(C14=10,0,IF(F14=1,1,G13))</f>
        <v>1</v>
      </c>
      <c r="H14" s="5" t="n">
        <f aca="false">VA_base_426_data!B14</f>
        <v>1000</v>
      </c>
      <c r="I14" s="5" t="n">
        <f aca="false">IF(AND(E14=1,OR(C14=4,C14=5)),25*12.1/24/D14*1000,0)</f>
        <v>420.138888888889</v>
      </c>
      <c r="J14" s="5" t="n">
        <f aca="false">VA_base_426_data!C14</f>
        <v>1000</v>
      </c>
      <c r="K14" s="5" t="n">
        <f aca="false">H14+I14-J14</f>
        <v>420.138888888889</v>
      </c>
      <c r="L14" s="5" t="n">
        <f aca="false">MIN($W$7,J14+K14)</f>
        <v>1420.13888888889</v>
      </c>
      <c r="M14" s="5" t="n">
        <f aca="false">VA_base_426_data!D14</f>
        <v>700</v>
      </c>
      <c r="N14" s="5" t="n">
        <f aca="false">IF(AND(C14=10,E14=1),$W$6,N13-P13)</f>
        <v>0</v>
      </c>
      <c r="O14" s="5" t="n">
        <f aca="false">IF(ABS(M14-L14)&gt;1,MIN(N14/((L14-M14)*24/12.1/1000),D14),D14)</f>
        <v>0</v>
      </c>
      <c r="P14" s="5" t="n">
        <f aca="false">MIN(IF(AND(G14,E14),(L14-M14)*24/12.1*O14/1000,0),N14)</f>
        <v>0</v>
      </c>
      <c r="Q14" s="5" t="n">
        <f aca="false">IF(P14&gt;0,P14/O14*12.1/24*1000+M14,0)</f>
        <v>0</v>
      </c>
      <c r="R14" s="0" t="n">
        <f aca="false">IF(Q14&gt;0,TRUNC(O14),0)</f>
        <v>0</v>
      </c>
      <c r="S14" s="5" t="n">
        <f aca="false">(M14*(D14-R14)+(Q14*R14))/D14</f>
        <v>700</v>
      </c>
      <c r="T14" s="6" t="n">
        <f aca="false">(Q14-M14)*R14*24/12.1/1000</f>
        <v>-0</v>
      </c>
    </row>
    <row r="15" customFormat="false" ht="14.35" hidden="false" customHeight="false" outlineLevel="0" collapsed="false">
      <c r="A15" s="4" t="n">
        <v>8187</v>
      </c>
      <c r="B15" s="15" t="n">
        <f aca="false">IF(C15&lt;=9,YEAR(A15),YEAR(A15)+1)</f>
        <v>1922</v>
      </c>
      <c r="C15" s="15" t="n">
        <f aca="false">MONTH(A15)</f>
        <v>5</v>
      </c>
      <c r="D15" s="15" t="n">
        <f aca="false">DAY(A15)</f>
        <v>31</v>
      </c>
      <c r="E15" s="15" t="n">
        <f aca="false">VLOOKUP(B15,WYT!$A$2:$L$97,12)</f>
        <v>1</v>
      </c>
      <c r="F15" s="15" t="n">
        <f aca="false">IF(C15=$W$5,1,0)</f>
        <v>0</v>
      </c>
      <c r="G15" s="15" t="n">
        <f aca="false">IF(C15=10,0,IF(F15=1,1,G14))</f>
        <v>1</v>
      </c>
      <c r="H15" s="5" t="n">
        <f aca="false">VA_base_426_data!B15</f>
        <v>16006.995469136</v>
      </c>
      <c r="I15" s="5" t="n">
        <f aca="false">IF(AND(E15=1,OR(C15=4,C15=5)),25*12.1/24/D15*1000,0)</f>
        <v>406.586021505376</v>
      </c>
      <c r="J15" s="5" t="n">
        <f aca="false">VA_base_426_data!C15</f>
        <v>1000</v>
      </c>
      <c r="K15" s="5" t="n">
        <f aca="false">H15+I15-J15</f>
        <v>15413.5814906414</v>
      </c>
      <c r="L15" s="5" t="n">
        <f aca="false">MIN($W$7,J15+K15)</f>
        <v>2000</v>
      </c>
      <c r="M15" s="5" t="n">
        <f aca="false">VA_base_426_data!D15</f>
        <v>700</v>
      </c>
      <c r="N15" s="5" t="n">
        <f aca="false">IF(AND(C15=10,E15=1),$W$6,N14-P14)</f>
        <v>0</v>
      </c>
      <c r="O15" s="5" t="n">
        <f aca="false">IF(ABS(M15-L15)&gt;1,MIN(N15/((L15-M15)*24/12.1/1000),D15),D15)</f>
        <v>0</v>
      </c>
      <c r="P15" s="5" t="n">
        <f aca="false">MIN(IF(AND(G15,E15),(L15-M15)*24/12.1*O15/1000,0),N15)</f>
        <v>0</v>
      </c>
      <c r="Q15" s="5" t="n">
        <f aca="false">IF(P15&gt;0,P15/O15*12.1/24*1000+M15,0)</f>
        <v>0</v>
      </c>
      <c r="R15" s="0" t="n">
        <f aca="false">IF(Q15&gt;0,TRUNC(O15),0)</f>
        <v>0</v>
      </c>
      <c r="S15" s="5" t="n">
        <f aca="false">(M15*(D15-R15)+(Q15*R15))/D15</f>
        <v>700</v>
      </c>
      <c r="T15" s="6" t="n">
        <f aca="false">(Q15-M15)*R15*24/12.1/1000</f>
        <v>-0</v>
      </c>
    </row>
    <row r="16" customFormat="false" ht="14.35" hidden="false" customHeight="false" outlineLevel="0" collapsed="false">
      <c r="A16" s="4" t="n">
        <v>8217</v>
      </c>
      <c r="B16" s="15" t="n">
        <f aca="false">IF(C16&lt;=9,YEAR(A16),YEAR(A16)+1)</f>
        <v>1922</v>
      </c>
      <c r="C16" s="15" t="n">
        <f aca="false">MONTH(A16)</f>
        <v>6</v>
      </c>
      <c r="D16" s="15" t="n">
        <f aca="false">DAY(A16)</f>
        <v>30</v>
      </c>
      <c r="E16" s="15" t="n">
        <f aca="false">VLOOKUP(B16,WYT!$A$2:$L$97,12)</f>
        <v>1</v>
      </c>
      <c r="F16" s="15" t="n">
        <f aca="false">IF(C16=$W$5,1,0)</f>
        <v>0</v>
      </c>
      <c r="G16" s="15" t="n">
        <f aca="false">IF(C16=10,0,IF(F16=1,1,G15))</f>
        <v>1</v>
      </c>
      <c r="H16" s="5" t="n">
        <f aca="false">VA_base_426_data!B16</f>
        <v>6518.54307301184</v>
      </c>
      <c r="I16" s="5" t="n">
        <f aca="false">IF(AND(E16=1,OR(C16=4,C16=5)),25*12.1/24/D16*1000,0)</f>
        <v>0</v>
      </c>
      <c r="J16" s="5" t="n">
        <f aca="false">VA_base_426_data!C16</f>
        <v>1000</v>
      </c>
      <c r="K16" s="5" t="n">
        <f aca="false">H16+I16-J16</f>
        <v>5518.54307301184</v>
      </c>
      <c r="L16" s="5" t="n">
        <f aca="false">MIN($W$7,J16+K16)</f>
        <v>2000</v>
      </c>
      <c r="M16" s="5" t="n">
        <f aca="false">VA_base_426_data!D16</f>
        <v>700</v>
      </c>
      <c r="N16" s="5" t="n">
        <f aca="false">IF(AND(C16=10,E16=1),$W$6,N15-P15)</f>
        <v>0</v>
      </c>
      <c r="O16" s="5" t="n">
        <f aca="false">IF(ABS(M16-L16)&gt;1,MIN(N16/((L16-M16)*24/12.1/1000),D16),D16)</f>
        <v>0</v>
      </c>
      <c r="P16" s="5" t="n">
        <f aca="false">MIN(IF(AND(G16,E16),(L16-M16)*24/12.1*O16/1000,0),N16)</f>
        <v>0</v>
      </c>
      <c r="Q16" s="5" t="n">
        <f aca="false">IF(P16&gt;0,P16/O16*12.1/24*1000+M16,0)</f>
        <v>0</v>
      </c>
      <c r="R16" s="0" t="n">
        <f aca="false">IF(Q16&gt;0,TRUNC(O16),0)</f>
        <v>0</v>
      </c>
      <c r="S16" s="5" t="n">
        <f aca="false">(M16*(D16-R16)+(Q16*R16))/D16</f>
        <v>700</v>
      </c>
      <c r="T16" s="6" t="n">
        <f aca="false">(Q16-M16)*R16*24/12.1/1000</f>
        <v>-0</v>
      </c>
    </row>
    <row r="17" customFormat="false" ht="14.35" hidden="false" customHeight="false" outlineLevel="0" collapsed="false">
      <c r="A17" s="4" t="n">
        <v>8248</v>
      </c>
      <c r="B17" s="15" t="n">
        <f aca="false">IF(C17&lt;=9,YEAR(A17),YEAR(A17)+1)</f>
        <v>1922</v>
      </c>
      <c r="C17" s="15" t="n">
        <f aca="false">MONTH(A17)</f>
        <v>7</v>
      </c>
      <c r="D17" s="15" t="n">
        <f aca="false">DAY(A17)</f>
        <v>31</v>
      </c>
      <c r="E17" s="15" t="n">
        <f aca="false">VLOOKUP(B17,WYT!$A$2:$L$97,12)</f>
        <v>1</v>
      </c>
      <c r="F17" s="15" t="n">
        <f aca="false">IF(C17=$W$5,1,0)</f>
        <v>0</v>
      </c>
      <c r="G17" s="15" t="n">
        <f aca="false">IF(C17=10,0,IF(F17=1,1,G16))</f>
        <v>1</v>
      </c>
      <c r="H17" s="5" t="n">
        <f aca="false">VA_base_426_data!B17</f>
        <v>8339.74594415295</v>
      </c>
      <c r="I17" s="5" t="n">
        <f aca="false">IF(AND(E17=1,OR(C17=4,C17=5)),25*12.1/24/D17*1000,0)</f>
        <v>0</v>
      </c>
      <c r="J17" s="5" t="n">
        <f aca="false">VA_base_426_data!C17</f>
        <v>1000</v>
      </c>
      <c r="K17" s="5" t="n">
        <f aca="false">H17+I17-J17</f>
        <v>7339.74594415295</v>
      </c>
      <c r="L17" s="5" t="n">
        <f aca="false">MIN($W$7,J17+K17)</f>
        <v>2000</v>
      </c>
      <c r="M17" s="5" t="n">
        <f aca="false">VA_base_426_data!D17</f>
        <v>700</v>
      </c>
      <c r="N17" s="5" t="n">
        <f aca="false">IF(AND(C17=10,E17=1),$W$6,N16-P16)</f>
        <v>0</v>
      </c>
      <c r="O17" s="5" t="n">
        <f aca="false">IF(ABS(M17-L17)&gt;1,MIN(N17/((L17-M17)*24/12.1/1000),D17),D17)</f>
        <v>0</v>
      </c>
      <c r="P17" s="5" t="n">
        <f aca="false">MIN(IF(AND(G17,E17),(L17-M17)*24/12.1*O17/1000,0),N17)</f>
        <v>0</v>
      </c>
      <c r="Q17" s="5" t="n">
        <f aca="false">IF(P17&gt;0,P17/O17*12.1/24*1000+M17,0)</f>
        <v>0</v>
      </c>
      <c r="R17" s="0" t="n">
        <f aca="false">IF(Q17&gt;0,TRUNC(O17),0)</f>
        <v>0</v>
      </c>
      <c r="S17" s="5" t="n">
        <f aca="false">(M17*(D17-R17)+(Q17*R17))/D17</f>
        <v>700</v>
      </c>
      <c r="T17" s="6" t="n">
        <f aca="false">(Q17-M17)*R17*24/12.1/1000</f>
        <v>-0</v>
      </c>
    </row>
    <row r="18" customFormat="false" ht="14.35" hidden="false" customHeight="false" outlineLevel="0" collapsed="false">
      <c r="A18" s="4" t="n">
        <v>8279</v>
      </c>
      <c r="B18" s="15" t="n">
        <f aca="false">IF(C18&lt;=9,YEAR(A18),YEAR(A18)+1)</f>
        <v>1922</v>
      </c>
      <c r="C18" s="15" t="n">
        <f aca="false">MONTH(A18)</f>
        <v>8</v>
      </c>
      <c r="D18" s="15" t="n">
        <f aca="false">DAY(A18)</f>
        <v>31</v>
      </c>
      <c r="E18" s="15" t="n">
        <f aca="false">VLOOKUP(B18,WYT!$A$2:$L$97,12)</f>
        <v>1</v>
      </c>
      <c r="F18" s="15" t="n">
        <f aca="false">IF(C18=$W$5,1,0)</f>
        <v>0</v>
      </c>
      <c r="G18" s="15" t="n">
        <f aca="false">IF(C18=10,0,IF(F18=1,1,G17))</f>
        <v>1</v>
      </c>
      <c r="H18" s="5" t="n">
        <f aca="false">VA_base_426_data!B18</f>
        <v>6247.46152264166</v>
      </c>
      <c r="I18" s="5" t="n">
        <f aca="false">IF(AND(E18=1,OR(C18=4,C18=5)),25*12.1/24/D18*1000,0)</f>
        <v>0</v>
      </c>
      <c r="J18" s="5" t="n">
        <f aca="false">VA_base_426_data!C18</f>
        <v>1000</v>
      </c>
      <c r="K18" s="5" t="n">
        <f aca="false">H18+I18-J18</f>
        <v>5247.46152264166</v>
      </c>
      <c r="L18" s="5" t="n">
        <f aca="false">MIN($W$7,J18+K18)</f>
        <v>2000</v>
      </c>
      <c r="M18" s="5" t="n">
        <f aca="false">VA_base_426_data!D18</f>
        <v>700</v>
      </c>
      <c r="N18" s="5" t="n">
        <f aca="false">IF(AND(C18=10,E18=1),$W$6,N17-P17)</f>
        <v>0</v>
      </c>
      <c r="O18" s="5" t="n">
        <f aca="false">IF(ABS(M18-L18)&gt;1,MIN(N18/((L18-M18)*24/12.1/1000),D18),D18)</f>
        <v>0</v>
      </c>
      <c r="P18" s="5" t="n">
        <f aca="false">MIN(IF(AND(G18,E18),(L18-M18)*24/12.1*O18/1000,0),N18)</f>
        <v>0</v>
      </c>
      <c r="Q18" s="5" t="n">
        <f aca="false">IF(P18&gt;0,P18/O18*12.1/24*1000+M18,0)</f>
        <v>0</v>
      </c>
      <c r="R18" s="0" t="n">
        <f aca="false">IF(Q18&gt;0,TRUNC(O18),0)</f>
        <v>0</v>
      </c>
      <c r="S18" s="5" t="n">
        <f aca="false">(M18*(D18-R18)+(Q18*R18))/D18</f>
        <v>700</v>
      </c>
      <c r="T18" s="6" t="n">
        <f aca="false">(Q18-M18)*R18*24/12.1/1000</f>
        <v>-0</v>
      </c>
    </row>
    <row r="19" customFormat="false" ht="14.35" hidden="false" customHeight="false" outlineLevel="0" collapsed="false">
      <c r="A19" s="4" t="n">
        <v>8309</v>
      </c>
      <c r="B19" s="15" t="n">
        <f aca="false">IF(C19&lt;=9,YEAR(A19),YEAR(A19)+1)</f>
        <v>1922</v>
      </c>
      <c r="C19" s="15" t="n">
        <f aca="false">MONTH(A19)</f>
        <v>9</v>
      </c>
      <c r="D19" s="15" t="n">
        <f aca="false">DAY(A19)</f>
        <v>30</v>
      </c>
      <c r="E19" s="15" t="n">
        <f aca="false">VLOOKUP(B19,WYT!$A$2:$L$97,12)</f>
        <v>1</v>
      </c>
      <c r="F19" s="15" t="n">
        <f aca="false">IF(C19=$W$5,1,0)</f>
        <v>0</v>
      </c>
      <c r="G19" s="15" t="n">
        <f aca="false">IF(C19=10,0,IF(F19=1,1,G18))</f>
        <v>1</v>
      </c>
      <c r="H19" s="5" t="n">
        <f aca="false">VA_base_426_data!B19</f>
        <v>8594.91209119239</v>
      </c>
      <c r="I19" s="5" t="n">
        <f aca="false">IF(AND(E19=1,OR(C19=4,C19=5)),25*12.1/24/D19*1000,0)</f>
        <v>0</v>
      </c>
      <c r="J19" s="5" t="n">
        <f aca="false">VA_base_426_data!C19</f>
        <v>1000</v>
      </c>
      <c r="K19" s="5" t="n">
        <f aca="false">H19+I19-J19</f>
        <v>7594.91209119239</v>
      </c>
      <c r="L19" s="5" t="n">
        <f aca="false">MIN($W$7,J19+K19)</f>
        <v>2000</v>
      </c>
      <c r="M19" s="5" t="n">
        <f aca="false">VA_base_426_data!D19</f>
        <v>773.3333333</v>
      </c>
      <c r="N19" s="5" t="n">
        <f aca="false">IF(AND(C19=10,E19=1),$W$6,N18-P18)</f>
        <v>0</v>
      </c>
      <c r="O19" s="5" t="n">
        <f aca="false">IF(ABS(M19-L19)&gt;1,MIN(N19/((L19-M19)*24/12.1/1000),D19),D19)</f>
        <v>0</v>
      </c>
      <c r="P19" s="5" t="n">
        <f aca="false">MIN(IF(AND(G19,E19),(L19-M19)*24/12.1*O19/1000,0),N19)</f>
        <v>0</v>
      </c>
      <c r="Q19" s="5" t="n">
        <f aca="false">IF(P19&gt;0,P19/O19*12.1/24*1000+M19,0)</f>
        <v>0</v>
      </c>
      <c r="R19" s="0" t="n">
        <f aca="false">IF(Q19&gt;0,TRUNC(O19),0)</f>
        <v>0</v>
      </c>
      <c r="S19" s="5" t="n">
        <f aca="false">(M19*(D19-R19)+(Q19*R19))/D19</f>
        <v>773.3333333</v>
      </c>
      <c r="T19" s="6" t="n">
        <f aca="false">(Q19-M19)*R19*24/12.1/1000</f>
        <v>-0</v>
      </c>
    </row>
    <row r="20" customFormat="false" ht="14.35" hidden="false" customHeight="false" outlineLevel="0" collapsed="false">
      <c r="A20" s="4" t="n">
        <v>8340</v>
      </c>
      <c r="B20" s="15" t="n">
        <f aca="false">IF(C20&lt;=9,YEAR(A20),YEAR(A20)+1)</f>
        <v>1923</v>
      </c>
      <c r="C20" s="15" t="n">
        <f aca="false">MONTH(A20)</f>
        <v>10</v>
      </c>
      <c r="D20" s="15" t="n">
        <f aca="false">DAY(A20)</f>
        <v>31</v>
      </c>
      <c r="E20" s="15" t="n">
        <f aca="false">VLOOKUP(B20,WYT!$A$2:$L$97,12)</f>
        <v>1</v>
      </c>
      <c r="F20" s="15" t="n">
        <f aca="false">IF(C20=$W$5,1,0)</f>
        <v>0</v>
      </c>
      <c r="G20" s="15" t="n">
        <f aca="false">IF(C20=10,0,IF(F20=1,1,G19))</f>
        <v>0</v>
      </c>
      <c r="H20" s="5" t="n">
        <f aca="false">VA_base_426_data!B20</f>
        <v>4000</v>
      </c>
      <c r="I20" s="5" t="n">
        <f aca="false">IF(AND(E20=1,OR(C20=4,C20=5)),25*12.1/24/D20*1000,0)</f>
        <v>0</v>
      </c>
      <c r="J20" s="5" t="n">
        <f aca="false">VA_base_426_data!C20</f>
        <v>1700</v>
      </c>
      <c r="K20" s="5" t="n">
        <f aca="false">H20+I20-J20</f>
        <v>2300</v>
      </c>
      <c r="L20" s="5" t="n">
        <f aca="false">MIN($W$7,J20+K20)</f>
        <v>2000</v>
      </c>
      <c r="M20" s="5" t="n">
        <f aca="false">VA_base_426_data!D20</f>
        <v>800</v>
      </c>
      <c r="N20" s="5" t="n">
        <f aca="false">IF(AND(C20=10,E20=1),$W$6,N19-P19)</f>
        <v>43</v>
      </c>
      <c r="O20" s="5" t="n">
        <f aca="false">IF(ABS(M20-L20)&gt;1,MIN(N20/((L20-M20)*24/12.1/1000),D20),D20)</f>
        <v>18.0659722222222</v>
      </c>
      <c r="P20" s="5" t="n">
        <f aca="false">MIN(IF(AND(G20,E20),(L20-M20)*24/12.1*O20/1000,0),N20)</f>
        <v>0</v>
      </c>
      <c r="Q20" s="5" t="n">
        <f aca="false">IF(P20&gt;0,P20/O20*12.1/24*1000+M20,0)</f>
        <v>0</v>
      </c>
      <c r="R20" s="0" t="n">
        <f aca="false">IF(Q20&gt;0,TRUNC(O20),0)</f>
        <v>0</v>
      </c>
      <c r="S20" s="5" t="n">
        <f aca="false">(M20*(D20-R20)+(Q20*R20))/D20</f>
        <v>800</v>
      </c>
      <c r="T20" s="6" t="n">
        <f aca="false">(Q20-M20)*R20*24/12.1/1000</f>
        <v>-0</v>
      </c>
    </row>
    <row r="21" customFormat="false" ht="14.35" hidden="false" customHeight="false" outlineLevel="0" collapsed="false">
      <c r="A21" s="4" t="n">
        <v>8370</v>
      </c>
      <c r="B21" s="15" t="n">
        <f aca="false">IF(C21&lt;=9,YEAR(A21),YEAR(A21)+1)</f>
        <v>1923</v>
      </c>
      <c r="C21" s="15" t="n">
        <f aca="false">MONTH(A21)</f>
        <v>11</v>
      </c>
      <c r="D21" s="15" t="n">
        <f aca="false">DAY(A21)</f>
        <v>30</v>
      </c>
      <c r="E21" s="15" t="n">
        <f aca="false">VLOOKUP(B21,WYT!$A$2:$L$97,12)</f>
        <v>1</v>
      </c>
      <c r="F21" s="15" t="n">
        <f aca="false">IF(C21=$W$5,1,0)</f>
        <v>0</v>
      </c>
      <c r="G21" s="15" t="n">
        <f aca="false">IF(C21=10,0,IF(F21=1,1,G20))</f>
        <v>0</v>
      </c>
      <c r="H21" s="5" t="n">
        <f aca="false">VA_base_426_data!B21</f>
        <v>2500</v>
      </c>
      <c r="I21" s="5" t="n">
        <f aca="false">IF(AND(E21=1,OR(C21=4,C21=5)),25*12.1/24/D21*1000,0)</f>
        <v>0</v>
      </c>
      <c r="J21" s="5" t="n">
        <f aca="false">VA_base_426_data!C21</f>
        <v>1700</v>
      </c>
      <c r="K21" s="5" t="n">
        <f aca="false">H21+I21-J21</f>
        <v>800</v>
      </c>
      <c r="L21" s="5" t="n">
        <f aca="false">MIN($W$7,J21+K21)</f>
        <v>2000</v>
      </c>
      <c r="M21" s="5" t="n">
        <f aca="false">VA_base_426_data!D21</f>
        <v>800</v>
      </c>
      <c r="N21" s="5" t="n">
        <f aca="false">IF(AND(C21=10,E21=1),$W$6,N20-P20)</f>
        <v>43</v>
      </c>
      <c r="O21" s="5" t="n">
        <f aca="false">IF(ABS(M21-L21)&gt;1,MIN(N21/((L21-M21)*24/12.1/1000),D21),D21)</f>
        <v>18.0659722222222</v>
      </c>
      <c r="P21" s="5" t="n">
        <f aca="false">MIN(IF(AND(G21,E21),(L21-M21)*24/12.1*O21/1000,0),N21)</f>
        <v>0</v>
      </c>
      <c r="Q21" s="5" t="n">
        <f aca="false">IF(P21&gt;0,P21/O21*12.1/24*1000+M21,0)</f>
        <v>0</v>
      </c>
      <c r="R21" s="0" t="n">
        <f aca="false">IF(Q21&gt;0,TRUNC(O21),0)</f>
        <v>0</v>
      </c>
      <c r="S21" s="5" t="n">
        <f aca="false">(M21*(D21-R21)+(Q21*R21))/D21</f>
        <v>800</v>
      </c>
      <c r="T21" s="6" t="n">
        <f aca="false">(Q21-M21)*R21*24/12.1/1000</f>
        <v>-0</v>
      </c>
    </row>
    <row r="22" customFormat="false" ht="14.35" hidden="false" customHeight="false" outlineLevel="0" collapsed="false">
      <c r="A22" s="4" t="n">
        <v>8401</v>
      </c>
      <c r="B22" s="15" t="n">
        <f aca="false">IF(C22&lt;=9,YEAR(A22),YEAR(A22)+1)</f>
        <v>1923</v>
      </c>
      <c r="C22" s="15" t="n">
        <f aca="false">MONTH(A22)</f>
        <v>12</v>
      </c>
      <c r="D22" s="15" t="n">
        <f aca="false">DAY(A22)</f>
        <v>31</v>
      </c>
      <c r="E22" s="15" t="n">
        <f aca="false">VLOOKUP(B22,WYT!$A$2:$L$97,12)</f>
        <v>1</v>
      </c>
      <c r="F22" s="15" t="n">
        <f aca="false">IF(C22=$W$5,1,0)</f>
        <v>0</v>
      </c>
      <c r="G22" s="15" t="n">
        <f aca="false">IF(C22=10,0,IF(F22=1,1,G21))</f>
        <v>0</v>
      </c>
      <c r="H22" s="5" t="n">
        <f aca="false">VA_base_426_data!B22</f>
        <v>4132.14026757673</v>
      </c>
      <c r="I22" s="5" t="n">
        <f aca="false">IF(AND(E22=1,OR(C22=4,C22=5)),25*12.1/24/D22*1000,0)</f>
        <v>0</v>
      </c>
      <c r="J22" s="5" t="n">
        <f aca="false">VA_base_426_data!C22</f>
        <v>1700</v>
      </c>
      <c r="K22" s="5" t="n">
        <f aca="false">H22+I22-J22</f>
        <v>2432.14026757673</v>
      </c>
      <c r="L22" s="5" t="n">
        <f aca="false">MIN($W$7,J22+K22)</f>
        <v>2000</v>
      </c>
      <c r="M22" s="5" t="n">
        <f aca="false">VA_base_426_data!D22</f>
        <v>800</v>
      </c>
      <c r="N22" s="5" t="n">
        <f aca="false">IF(AND(C22=10,E22=1),$W$6,N21-P21)</f>
        <v>43</v>
      </c>
      <c r="O22" s="5" t="n">
        <f aca="false">IF(ABS(M22-L22)&gt;1,MIN(N22/((L22-M22)*24/12.1/1000),D22),D22)</f>
        <v>18.0659722222222</v>
      </c>
      <c r="P22" s="5" t="n">
        <f aca="false">MIN(IF(AND(G22,E22),(L22-M22)*24/12.1*O22/1000,0),N22)</f>
        <v>0</v>
      </c>
      <c r="Q22" s="5" t="n">
        <f aca="false">IF(P22&gt;0,P22/O22*12.1/24*1000+M22,0)</f>
        <v>0</v>
      </c>
      <c r="R22" s="0" t="n">
        <f aca="false">IF(Q22&gt;0,TRUNC(O22),0)</f>
        <v>0</v>
      </c>
      <c r="S22" s="5" t="n">
        <f aca="false">(M22*(D22-R22)+(Q22*R22))/D22</f>
        <v>800</v>
      </c>
      <c r="T22" s="6" t="n">
        <f aca="false">(Q22-M22)*R22*24/12.1/1000</f>
        <v>-0</v>
      </c>
    </row>
    <row r="23" customFormat="false" ht="14.35" hidden="false" customHeight="false" outlineLevel="0" collapsed="false">
      <c r="A23" s="4" t="n">
        <v>8432</v>
      </c>
      <c r="B23" s="15" t="n">
        <f aca="false">IF(C23&lt;=9,YEAR(A23),YEAR(A23)+1)</f>
        <v>1923</v>
      </c>
      <c r="C23" s="15" t="n">
        <f aca="false">MONTH(A23)</f>
        <v>1</v>
      </c>
      <c r="D23" s="15" t="n">
        <f aca="false">DAY(A23)</f>
        <v>31</v>
      </c>
      <c r="E23" s="15" t="n">
        <f aca="false">VLOOKUP(B23,WYT!$A$2:$L$97,12)</f>
        <v>1</v>
      </c>
      <c r="F23" s="15" t="n">
        <f aca="false">IF(C23=$W$5,1,0)</f>
        <v>0</v>
      </c>
      <c r="G23" s="15" t="n">
        <f aca="false">IF(C23=10,0,IF(F23=1,1,G22))</f>
        <v>0</v>
      </c>
      <c r="H23" s="5" t="n">
        <f aca="false">VA_base_426_data!B23</f>
        <v>1700</v>
      </c>
      <c r="I23" s="5" t="n">
        <f aca="false">IF(AND(E23=1,OR(C23=4,C23=5)),25*12.1/24/D23*1000,0)</f>
        <v>0</v>
      </c>
      <c r="J23" s="5" t="n">
        <f aca="false">VA_base_426_data!C23</f>
        <v>1700</v>
      </c>
      <c r="K23" s="5" t="n">
        <f aca="false">H23+I23-J23</f>
        <v>0</v>
      </c>
      <c r="L23" s="5" t="n">
        <f aca="false">MIN($W$7,J23+K23)</f>
        <v>1700</v>
      </c>
      <c r="M23" s="5" t="n">
        <f aca="false">VA_base_426_data!D23</f>
        <v>800</v>
      </c>
      <c r="N23" s="5" t="n">
        <f aca="false">IF(AND(C23=10,E23=1),$W$6,N22-P22)</f>
        <v>43</v>
      </c>
      <c r="O23" s="5" t="n">
        <f aca="false">IF(ABS(M23-L23)&gt;1,MIN(N23/((L23-M23)*24/12.1/1000),D23),D23)</f>
        <v>24.087962962963</v>
      </c>
      <c r="P23" s="5" t="n">
        <f aca="false">MIN(IF(AND(G23,E23),(L23-M23)*24/12.1*O23/1000,0),N23)</f>
        <v>0</v>
      </c>
      <c r="Q23" s="5" t="n">
        <f aca="false">IF(P23&gt;0,P23/O23*12.1/24*1000+M23,0)</f>
        <v>0</v>
      </c>
      <c r="R23" s="0" t="n">
        <f aca="false">IF(Q23&gt;0,TRUNC(O23),0)</f>
        <v>0</v>
      </c>
      <c r="S23" s="5" t="n">
        <f aca="false">(M23*(D23-R23)+(Q23*R23))/D23</f>
        <v>800</v>
      </c>
      <c r="T23" s="6" t="n">
        <f aca="false">(Q23-M23)*R23*24/12.1/1000</f>
        <v>-0</v>
      </c>
    </row>
    <row r="24" customFormat="false" ht="14.35" hidden="false" customHeight="false" outlineLevel="0" collapsed="false">
      <c r="A24" s="4" t="n">
        <v>8460</v>
      </c>
      <c r="B24" s="15" t="n">
        <f aca="false">IF(C24&lt;=9,YEAR(A24),YEAR(A24)+1)</f>
        <v>1923</v>
      </c>
      <c r="C24" s="15" t="n">
        <f aca="false">MONTH(A24)</f>
        <v>2</v>
      </c>
      <c r="D24" s="15" t="n">
        <f aca="false">DAY(A24)</f>
        <v>28</v>
      </c>
      <c r="E24" s="15" t="n">
        <f aca="false">VLOOKUP(B24,WYT!$A$2:$L$97,12)</f>
        <v>1</v>
      </c>
      <c r="F24" s="15" t="n">
        <f aca="false">IF(C24=$W$5,1,0)</f>
        <v>1</v>
      </c>
      <c r="G24" s="15" t="n">
        <f aca="false">IF(C24=10,0,IF(F24=1,1,G23))</f>
        <v>1</v>
      </c>
      <c r="H24" s="5" t="n">
        <f aca="false">VA_base_426_data!B24</f>
        <v>1909.98852321079</v>
      </c>
      <c r="I24" s="5" t="n">
        <f aca="false">IF(AND(E24=1,OR(C24=4,C24=5)),25*12.1/24/D24*1000,0)</f>
        <v>0</v>
      </c>
      <c r="J24" s="5" t="n">
        <f aca="false">VA_base_426_data!C24</f>
        <v>1700</v>
      </c>
      <c r="K24" s="5" t="n">
        <f aca="false">H24+I24-J24</f>
        <v>209.988523210794</v>
      </c>
      <c r="L24" s="5" t="n">
        <f aca="false">MIN($W$7,J24+K24)</f>
        <v>1909.98852321079</v>
      </c>
      <c r="M24" s="5" t="n">
        <f aca="false">VA_base_426_data!D24</f>
        <v>800</v>
      </c>
      <c r="N24" s="5" t="n">
        <f aca="false">IF(AND(C24=10,E24=1),$W$6,N23-P23)</f>
        <v>43</v>
      </c>
      <c r="O24" s="5" t="n">
        <f aca="false">IF(ABS(M24-L24)&gt;1,MIN(N24/((L24-M24)*24/12.1/1000),D24),D24)</f>
        <v>19.5309827203949</v>
      </c>
      <c r="P24" s="5" t="n">
        <f aca="false">MIN(IF(AND(G24,E24),(L24-M24)*24/12.1*O24/1000,0),N24)</f>
        <v>43</v>
      </c>
      <c r="Q24" s="5" t="n">
        <f aca="false">IF(P24&gt;0,P24/O24*12.1/24*1000+M24,0)</f>
        <v>1909.98852321079</v>
      </c>
      <c r="R24" s="0" t="n">
        <f aca="false">IF(Q24&gt;0,TRUNC(O24),0)</f>
        <v>19</v>
      </c>
      <c r="S24" s="5" t="n">
        <f aca="false">(M24*(D24-R24)+(Q24*R24))/D24</f>
        <v>1553.20649789304</v>
      </c>
      <c r="T24" s="6" t="n">
        <f aca="false">(Q24-M24)*R24*24/12.1/1000</f>
        <v>41.8309724449688</v>
      </c>
    </row>
    <row r="25" customFormat="false" ht="14.35" hidden="false" customHeight="false" outlineLevel="0" collapsed="false">
      <c r="A25" s="4" t="n">
        <v>8491</v>
      </c>
      <c r="B25" s="15" t="n">
        <f aca="false">IF(C25&lt;=9,YEAR(A25),YEAR(A25)+1)</f>
        <v>1923</v>
      </c>
      <c r="C25" s="15" t="n">
        <f aca="false">MONTH(A25)</f>
        <v>3</v>
      </c>
      <c r="D25" s="15" t="n">
        <f aca="false">DAY(A25)</f>
        <v>31</v>
      </c>
      <c r="E25" s="15" t="n">
        <f aca="false">VLOOKUP(B25,WYT!$A$2:$L$97,12)</f>
        <v>1</v>
      </c>
      <c r="F25" s="15" t="n">
        <f aca="false">IF(C25=$W$5,1,0)</f>
        <v>0</v>
      </c>
      <c r="G25" s="15" t="n">
        <f aca="false">IF(C25=10,0,IF(F25=1,1,G24))</f>
        <v>1</v>
      </c>
      <c r="H25" s="5" t="n">
        <f aca="false">VA_base_426_data!B25</f>
        <v>1700</v>
      </c>
      <c r="I25" s="5" t="n">
        <f aca="false">IF(AND(E25=1,OR(C25=4,C25=5)),25*12.1/24/D25*1000,0)</f>
        <v>0</v>
      </c>
      <c r="J25" s="5" t="n">
        <f aca="false">VA_base_426_data!C25</f>
        <v>1700</v>
      </c>
      <c r="K25" s="5" t="n">
        <f aca="false">H25+I25-J25</f>
        <v>0</v>
      </c>
      <c r="L25" s="5" t="n">
        <f aca="false">MIN($W$7,J25+K25)</f>
        <v>1700</v>
      </c>
      <c r="M25" s="5" t="n">
        <f aca="false">VA_base_426_data!D25</f>
        <v>800</v>
      </c>
      <c r="N25" s="5" t="n">
        <f aca="false">IF(AND(C25=10,E25=1),$W$6,N24-P24)</f>
        <v>0</v>
      </c>
      <c r="O25" s="5" t="n">
        <f aca="false">IF(ABS(M25-L25)&gt;1,MIN(N25/((L25-M25)*24/12.1/1000),D25),D25)</f>
        <v>0</v>
      </c>
      <c r="P25" s="5" t="n">
        <f aca="false">MIN(IF(AND(G25,E25),(L25-M25)*24/12.1*O25/1000,0),N25)</f>
        <v>0</v>
      </c>
      <c r="Q25" s="5" t="n">
        <f aca="false">IF(P25&gt;0,P25/O25*12.1/24*1000+M25,0)</f>
        <v>0</v>
      </c>
      <c r="R25" s="0" t="n">
        <f aca="false">IF(Q25&gt;0,TRUNC(O25),0)</f>
        <v>0</v>
      </c>
      <c r="S25" s="5" t="n">
        <f aca="false">(M25*(D25-R25)+(Q25*R25))/D25</f>
        <v>800</v>
      </c>
      <c r="T25" s="6" t="n">
        <f aca="false">(Q25-M25)*R25*24/12.1/1000</f>
        <v>-0</v>
      </c>
    </row>
    <row r="26" customFormat="false" ht="14.35" hidden="false" customHeight="false" outlineLevel="0" collapsed="false">
      <c r="A26" s="4" t="n">
        <v>8521</v>
      </c>
      <c r="B26" s="15" t="n">
        <f aca="false">IF(C26&lt;=9,YEAR(A26),YEAR(A26)+1)</f>
        <v>1923</v>
      </c>
      <c r="C26" s="15" t="n">
        <f aca="false">MONTH(A26)</f>
        <v>4</v>
      </c>
      <c r="D26" s="15" t="n">
        <f aca="false">DAY(A26)</f>
        <v>30</v>
      </c>
      <c r="E26" s="15" t="n">
        <f aca="false">VLOOKUP(B26,WYT!$A$2:$L$97,12)</f>
        <v>1</v>
      </c>
      <c r="F26" s="15" t="n">
        <f aca="false">IF(C26=$W$5,1,0)</f>
        <v>0</v>
      </c>
      <c r="G26" s="15" t="n">
        <f aca="false">IF(C26=10,0,IF(F26=1,1,G25))</f>
        <v>1</v>
      </c>
      <c r="H26" s="5" t="n">
        <f aca="false">VA_base_426_data!B26</f>
        <v>1000</v>
      </c>
      <c r="I26" s="5" t="n">
        <f aca="false">IF(AND(E26=1,OR(C26=4,C26=5)),25*12.1/24/D26*1000,0)</f>
        <v>420.138888888889</v>
      </c>
      <c r="J26" s="5" t="n">
        <f aca="false">VA_base_426_data!C26</f>
        <v>1000</v>
      </c>
      <c r="K26" s="5" t="n">
        <f aca="false">H26+I26-J26</f>
        <v>420.138888888889</v>
      </c>
      <c r="L26" s="5" t="n">
        <f aca="false">MIN($W$7,J26+K26)</f>
        <v>1420.13888888889</v>
      </c>
      <c r="M26" s="5" t="n">
        <f aca="false">VA_base_426_data!D26</f>
        <v>700</v>
      </c>
      <c r="N26" s="5" t="n">
        <f aca="false">IF(AND(C26=10,E26=1),$W$6,N25-P25)</f>
        <v>0</v>
      </c>
      <c r="O26" s="5" t="n">
        <f aca="false">IF(ABS(M26-L26)&gt;1,MIN(N26/((L26-M26)*24/12.1/1000),D26),D26)</f>
        <v>0</v>
      </c>
      <c r="P26" s="5" t="n">
        <f aca="false">MIN(IF(AND(G26,E26),(L26-M26)*24/12.1*O26/1000,0),N26)</f>
        <v>0</v>
      </c>
      <c r="Q26" s="5" t="n">
        <f aca="false">IF(P26&gt;0,P26/O26*12.1/24*1000+M26,0)</f>
        <v>0</v>
      </c>
      <c r="R26" s="0" t="n">
        <f aca="false">IF(Q26&gt;0,TRUNC(O26),0)</f>
        <v>0</v>
      </c>
      <c r="S26" s="5" t="n">
        <f aca="false">(M26*(D26-R26)+(Q26*R26))/D26</f>
        <v>700</v>
      </c>
      <c r="T26" s="6" t="n">
        <f aca="false">(Q26-M26)*R26*24/12.1/1000</f>
        <v>-0</v>
      </c>
    </row>
    <row r="27" customFormat="false" ht="14.35" hidden="false" customHeight="false" outlineLevel="0" collapsed="false">
      <c r="A27" s="4" t="n">
        <v>8552</v>
      </c>
      <c r="B27" s="15" t="n">
        <f aca="false">IF(C27&lt;=9,YEAR(A27),YEAR(A27)+1)</f>
        <v>1923</v>
      </c>
      <c r="C27" s="15" t="n">
        <f aca="false">MONTH(A27)</f>
        <v>5</v>
      </c>
      <c r="D27" s="15" t="n">
        <f aca="false">DAY(A27)</f>
        <v>31</v>
      </c>
      <c r="E27" s="15" t="n">
        <f aca="false">VLOOKUP(B27,WYT!$A$2:$L$97,12)</f>
        <v>1</v>
      </c>
      <c r="F27" s="15" t="n">
        <f aca="false">IF(C27=$W$5,1,0)</f>
        <v>0</v>
      </c>
      <c r="G27" s="15" t="n">
        <f aca="false">IF(C27=10,0,IF(F27=1,1,G26))</f>
        <v>1</v>
      </c>
      <c r="H27" s="5" t="n">
        <f aca="false">VA_base_426_data!B27</f>
        <v>1000</v>
      </c>
      <c r="I27" s="5" t="n">
        <f aca="false">IF(AND(E27=1,OR(C27=4,C27=5)),25*12.1/24/D27*1000,0)</f>
        <v>406.586021505376</v>
      </c>
      <c r="J27" s="5" t="n">
        <f aca="false">VA_base_426_data!C27</f>
        <v>1000</v>
      </c>
      <c r="K27" s="5" t="n">
        <f aca="false">H27+I27-J27</f>
        <v>406.586021505376</v>
      </c>
      <c r="L27" s="5" t="n">
        <f aca="false">MIN($W$7,J27+K27)</f>
        <v>1406.58602150538</v>
      </c>
      <c r="M27" s="5" t="n">
        <f aca="false">VA_base_426_data!D27</f>
        <v>700</v>
      </c>
      <c r="N27" s="5" t="n">
        <f aca="false">IF(AND(C27=10,E27=1),$W$6,N26-P26)</f>
        <v>0</v>
      </c>
      <c r="O27" s="5" t="n">
        <f aca="false">IF(ABS(M27-L27)&gt;1,MIN(N27/((L27-M27)*24/12.1/1000),D27),D27)</f>
        <v>0</v>
      </c>
      <c r="P27" s="5" t="n">
        <f aca="false">MIN(IF(AND(G27,E27),(L27-M27)*24/12.1*O27/1000,0),N27)</f>
        <v>0</v>
      </c>
      <c r="Q27" s="5" t="n">
        <f aca="false">IF(P27&gt;0,P27/O27*12.1/24*1000+M27,0)</f>
        <v>0</v>
      </c>
      <c r="R27" s="0" t="n">
        <f aca="false">IF(Q27&gt;0,TRUNC(O27),0)</f>
        <v>0</v>
      </c>
      <c r="S27" s="5" t="n">
        <f aca="false">(M27*(D27-R27)+(Q27*R27))/D27</f>
        <v>700</v>
      </c>
      <c r="T27" s="6" t="n">
        <f aca="false">(Q27-M27)*R27*24/12.1/1000</f>
        <v>-0</v>
      </c>
    </row>
    <row r="28" customFormat="false" ht="14.35" hidden="false" customHeight="false" outlineLevel="0" collapsed="false">
      <c r="A28" s="4" t="n">
        <v>8582</v>
      </c>
      <c r="B28" s="15" t="n">
        <f aca="false">IF(C28&lt;=9,YEAR(A28),YEAR(A28)+1)</f>
        <v>1923</v>
      </c>
      <c r="C28" s="15" t="n">
        <f aca="false">MONTH(A28)</f>
        <v>6</v>
      </c>
      <c r="D28" s="15" t="n">
        <f aca="false">DAY(A28)</f>
        <v>30</v>
      </c>
      <c r="E28" s="15" t="n">
        <f aca="false">VLOOKUP(B28,WYT!$A$2:$L$97,12)</f>
        <v>1</v>
      </c>
      <c r="F28" s="15" t="n">
        <f aca="false">IF(C28=$W$5,1,0)</f>
        <v>0</v>
      </c>
      <c r="G28" s="15" t="n">
        <f aca="false">IF(C28=10,0,IF(F28=1,1,G27))</f>
        <v>1</v>
      </c>
      <c r="H28" s="5" t="n">
        <f aca="false">VA_base_426_data!B28</f>
        <v>1000</v>
      </c>
      <c r="I28" s="5" t="n">
        <f aca="false">IF(AND(E28=1,OR(C28=4,C28=5)),25*12.1/24/D28*1000,0)</f>
        <v>0</v>
      </c>
      <c r="J28" s="5" t="n">
        <f aca="false">VA_base_426_data!C28</f>
        <v>1000</v>
      </c>
      <c r="K28" s="5" t="n">
        <f aca="false">H28+I28-J28</f>
        <v>0</v>
      </c>
      <c r="L28" s="5" t="n">
        <f aca="false">MIN($W$7,J28+K28)</f>
        <v>1000</v>
      </c>
      <c r="M28" s="5" t="n">
        <f aca="false">VA_base_426_data!D28</f>
        <v>700</v>
      </c>
      <c r="N28" s="5" t="n">
        <f aca="false">IF(AND(C28=10,E28=1),$W$6,N27-P27)</f>
        <v>0</v>
      </c>
      <c r="O28" s="5" t="n">
        <f aca="false">IF(ABS(M28-L28)&gt;1,MIN(N28/((L28-M28)*24/12.1/1000),D28),D28)</f>
        <v>0</v>
      </c>
      <c r="P28" s="5" t="n">
        <f aca="false">MIN(IF(AND(G28,E28),(L28-M28)*24/12.1*O28/1000,0),N28)</f>
        <v>0</v>
      </c>
      <c r="Q28" s="5" t="n">
        <f aca="false">IF(P28&gt;0,P28/O28*12.1/24*1000+M28,0)</f>
        <v>0</v>
      </c>
      <c r="R28" s="0" t="n">
        <f aca="false">IF(Q28&gt;0,TRUNC(O28),0)</f>
        <v>0</v>
      </c>
      <c r="S28" s="5" t="n">
        <f aca="false">(M28*(D28-R28)+(Q28*R28))/D28</f>
        <v>700</v>
      </c>
      <c r="T28" s="6" t="n">
        <f aca="false">(Q28-M28)*R28*24/12.1/1000</f>
        <v>-0</v>
      </c>
    </row>
    <row r="29" customFormat="false" ht="14.35" hidden="false" customHeight="false" outlineLevel="0" collapsed="false">
      <c r="A29" s="4" t="n">
        <v>8613</v>
      </c>
      <c r="B29" s="15" t="n">
        <f aca="false">IF(C29&lt;=9,YEAR(A29),YEAR(A29)+1)</f>
        <v>1923</v>
      </c>
      <c r="C29" s="15" t="n">
        <f aca="false">MONTH(A29)</f>
        <v>7</v>
      </c>
      <c r="D29" s="15" t="n">
        <f aca="false">DAY(A29)</f>
        <v>31</v>
      </c>
      <c r="E29" s="15" t="n">
        <f aca="false">VLOOKUP(B29,WYT!$A$2:$L$97,12)</f>
        <v>1</v>
      </c>
      <c r="F29" s="15" t="n">
        <f aca="false">IF(C29=$W$5,1,0)</f>
        <v>0</v>
      </c>
      <c r="G29" s="15" t="n">
        <f aca="false">IF(C29=10,0,IF(F29=1,1,G28))</f>
        <v>1</v>
      </c>
      <c r="H29" s="5" t="n">
        <f aca="false">VA_base_426_data!B29</f>
        <v>8046.7532221822</v>
      </c>
      <c r="I29" s="5" t="n">
        <f aca="false">IF(AND(E29=1,OR(C29=4,C29=5)),25*12.1/24/D29*1000,0)</f>
        <v>0</v>
      </c>
      <c r="J29" s="5" t="n">
        <f aca="false">VA_base_426_data!C29</f>
        <v>1000</v>
      </c>
      <c r="K29" s="5" t="n">
        <f aca="false">H29+I29-J29</f>
        <v>7046.7532221822</v>
      </c>
      <c r="L29" s="5" t="n">
        <f aca="false">MIN($W$7,J29+K29)</f>
        <v>2000</v>
      </c>
      <c r="M29" s="5" t="n">
        <f aca="false">VA_base_426_data!D29</f>
        <v>700</v>
      </c>
      <c r="N29" s="5" t="n">
        <f aca="false">IF(AND(C29=10,E29=1),$W$6,N28-P28)</f>
        <v>0</v>
      </c>
      <c r="O29" s="5" t="n">
        <f aca="false">IF(ABS(M29-L29)&gt;1,MIN(N29/((L29-M29)*24/12.1/1000),D29),D29)</f>
        <v>0</v>
      </c>
      <c r="P29" s="5" t="n">
        <f aca="false">MIN(IF(AND(G29,E29),(L29-M29)*24/12.1*O29/1000,0),N29)</f>
        <v>0</v>
      </c>
      <c r="Q29" s="5" t="n">
        <f aca="false">IF(P29&gt;0,P29/O29*12.1/24*1000+M29,0)</f>
        <v>0</v>
      </c>
      <c r="R29" s="0" t="n">
        <f aca="false">IF(Q29&gt;0,TRUNC(O29),0)</f>
        <v>0</v>
      </c>
      <c r="S29" s="5" t="n">
        <f aca="false">(M29*(D29-R29)+(Q29*R29))/D29</f>
        <v>700</v>
      </c>
      <c r="T29" s="6" t="n">
        <f aca="false">(Q29-M29)*R29*24/12.1/1000</f>
        <v>-0</v>
      </c>
    </row>
    <row r="30" customFormat="false" ht="14.35" hidden="false" customHeight="false" outlineLevel="0" collapsed="false">
      <c r="A30" s="4" t="n">
        <v>8644</v>
      </c>
      <c r="B30" s="15" t="n">
        <f aca="false">IF(C30&lt;=9,YEAR(A30),YEAR(A30)+1)</f>
        <v>1923</v>
      </c>
      <c r="C30" s="15" t="n">
        <f aca="false">MONTH(A30)</f>
        <v>8</v>
      </c>
      <c r="D30" s="15" t="n">
        <f aca="false">DAY(A30)</f>
        <v>31</v>
      </c>
      <c r="E30" s="15" t="n">
        <f aca="false">VLOOKUP(B30,WYT!$A$2:$L$97,12)</f>
        <v>1</v>
      </c>
      <c r="F30" s="15" t="n">
        <f aca="false">IF(C30=$W$5,1,0)</f>
        <v>0</v>
      </c>
      <c r="G30" s="15" t="n">
        <f aca="false">IF(C30=10,0,IF(F30=1,1,G29))</f>
        <v>1</v>
      </c>
      <c r="H30" s="5" t="n">
        <f aca="false">VA_base_426_data!B30</f>
        <v>7470.79827928795</v>
      </c>
      <c r="I30" s="5" t="n">
        <f aca="false">IF(AND(E30=1,OR(C30=4,C30=5)),25*12.1/24/D30*1000,0)</f>
        <v>0</v>
      </c>
      <c r="J30" s="5" t="n">
        <f aca="false">VA_base_426_data!C30</f>
        <v>1000</v>
      </c>
      <c r="K30" s="5" t="n">
        <f aca="false">H30+I30-J30</f>
        <v>6470.79827928795</v>
      </c>
      <c r="L30" s="5" t="n">
        <f aca="false">MIN($W$7,J30+K30)</f>
        <v>2000</v>
      </c>
      <c r="M30" s="5" t="n">
        <f aca="false">VA_base_426_data!D30</f>
        <v>700</v>
      </c>
      <c r="N30" s="5" t="n">
        <f aca="false">IF(AND(C30=10,E30=1),$W$6,N29-P29)</f>
        <v>0</v>
      </c>
      <c r="O30" s="5" t="n">
        <f aca="false">IF(ABS(M30-L30)&gt;1,MIN(N30/((L30-M30)*24/12.1/1000),D30),D30)</f>
        <v>0</v>
      </c>
      <c r="P30" s="5" t="n">
        <f aca="false">MIN(IF(AND(G30,E30),(L30-M30)*24/12.1*O30/1000,0),N30)</f>
        <v>0</v>
      </c>
      <c r="Q30" s="5" t="n">
        <f aca="false">IF(P30&gt;0,P30/O30*12.1/24*1000+M30,0)</f>
        <v>0</v>
      </c>
      <c r="R30" s="0" t="n">
        <f aca="false">IF(Q30&gt;0,TRUNC(O30),0)</f>
        <v>0</v>
      </c>
      <c r="S30" s="5" t="n">
        <f aca="false">(M30*(D30-R30)+(Q30*R30))/D30</f>
        <v>700</v>
      </c>
      <c r="T30" s="6" t="n">
        <f aca="false">(Q30-M30)*R30*24/12.1/1000</f>
        <v>-0</v>
      </c>
    </row>
    <row r="31" customFormat="false" ht="14.35" hidden="false" customHeight="false" outlineLevel="0" collapsed="false">
      <c r="A31" s="4" t="n">
        <v>8674</v>
      </c>
      <c r="B31" s="15" t="n">
        <f aca="false">IF(C31&lt;=9,YEAR(A31),YEAR(A31)+1)</f>
        <v>1923</v>
      </c>
      <c r="C31" s="15" t="n">
        <f aca="false">MONTH(A31)</f>
        <v>9</v>
      </c>
      <c r="D31" s="15" t="n">
        <f aca="false">DAY(A31)</f>
        <v>30</v>
      </c>
      <c r="E31" s="15" t="n">
        <f aca="false">VLOOKUP(B31,WYT!$A$2:$L$97,12)</f>
        <v>1</v>
      </c>
      <c r="F31" s="15" t="n">
        <f aca="false">IF(C31=$W$5,1,0)</f>
        <v>0</v>
      </c>
      <c r="G31" s="15" t="n">
        <f aca="false">IF(C31=10,0,IF(F31=1,1,G30))</f>
        <v>1</v>
      </c>
      <c r="H31" s="5" t="n">
        <f aca="false">VA_base_426_data!B31</f>
        <v>5666.36955778672</v>
      </c>
      <c r="I31" s="5" t="n">
        <f aca="false">IF(AND(E31=1,OR(C31=4,C31=5)),25*12.1/24/D31*1000,0)</f>
        <v>0</v>
      </c>
      <c r="J31" s="5" t="n">
        <f aca="false">VA_base_426_data!C31</f>
        <v>1000</v>
      </c>
      <c r="K31" s="5" t="n">
        <f aca="false">H31+I31-J31</f>
        <v>4666.36955778672</v>
      </c>
      <c r="L31" s="5" t="n">
        <f aca="false">MIN($W$7,J31+K31)</f>
        <v>2000</v>
      </c>
      <c r="M31" s="5" t="n">
        <f aca="false">VA_base_426_data!D31</f>
        <v>773.3333333</v>
      </c>
      <c r="N31" s="5" t="n">
        <f aca="false">IF(AND(C31=10,E31=1),$W$6,N30-P30)</f>
        <v>0</v>
      </c>
      <c r="O31" s="5" t="n">
        <f aca="false">IF(ABS(M31-L31)&gt;1,MIN(N31/((L31-M31)*24/12.1/1000),D31),D31)</f>
        <v>0</v>
      </c>
      <c r="P31" s="5" t="n">
        <f aca="false">MIN(IF(AND(G31,E31),(L31-M31)*24/12.1*O31/1000,0),N31)</f>
        <v>0</v>
      </c>
      <c r="Q31" s="5" t="n">
        <f aca="false">IF(P31&gt;0,P31/O31*12.1/24*1000+M31,0)</f>
        <v>0</v>
      </c>
      <c r="R31" s="0" t="n">
        <f aca="false">IF(Q31&gt;0,TRUNC(O31),0)</f>
        <v>0</v>
      </c>
      <c r="S31" s="5" t="n">
        <f aca="false">(M31*(D31-R31)+(Q31*R31))/D31</f>
        <v>773.3333333</v>
      </c>
      <c r="T31" s="6" t="n">
        <f aca="false">(Q31-M31)*R31*24/12.1/1000</f>
        <v>-0</v>
      </c>
    </row>
    <row r="32" customFormat="false" ht="14.35" hidden="false" customHeight="false" outlineLevel="0" collapsed="false">
      <c r="A32" s="4" t="n">
        <v>8705</v>
      </c>
      <c r="B32" s="15" t="n">
        <f aca="false">IF(C32&lt;=9,YEAR(A32),YEAR(A32)+1)</f>
        <v>1924</v>
      </c>
      <c r="C32" s="15" t="n">
        <f aca="false">MONTH(A32)</f>
        <v>10</v>
      </c>
      <c r="D32" s="15" t="n">
        <f aca="false">DAY(A32)</f>
        <v>31</v>
      </c>
      <c r="E32" s="15" t="n">
        <f aca="false">VLOOKUP(B32,WYT!$A$2:$L$97,12)</f>
        <v>0</v>
      </c>
      <c r="F32" s="15" t="n">
        <f aca="false">IF(C32=$W$5,1,0)</f>
        <v>0</v>
      </c>
      <c r="G32" s="15" t="n">
        <f aca="false">IF(C32=10,0,IF(F32=1,1,G31))</f>
        <v>0</v>
      </c>
      <c r="H32" s="5" t="n">
        <f aca="false">VA_base_426_data!B32</f>
        <v>1700</v>
      </c>
      <c r="I32" s="5" t="n">
        <f aca="false">IF(AND(E32=1,OR(C32=4,C32=5)),25*12.1/24/D32*1000,0)</f>
        <v>0</v>
      </c>
      <c r="J32" s="5" t="n">
        <f aca="false">VA_base_426_data!C32</f>
        <v>1700</v>
      </c>
      <c r="K32" s="5" t="n">
        <f aca="false">H32+I32-J32</f>
        <v>0</v>
      </c>
      <c r="L32" s="5" t="n">
        <f aca="false">MIN($W$7,J32+K32)</f>
        <v>1700</v>
      </c>
      <c r="M32" s="5" t="n">
        <f aca="false">VA_base_426_data!D32</f>
        <v>800</v>
      </c>
      <c r="N32" s="5" t="n">
        <f aca="false">IF(AND(C32=10,E32=1),$W$6,N31-P31)</f>
        <v>0</v>
      </c>
      <c r="O32" s="5" t="n">
        <f aca="false">IF(ABS(M32-L32)&gt;1,MIN(N32/((L32-M32)*24/12.1/1000),D32),D32)</f>
        <v>0</v>
      </c>
      <c r="P32" s="5" t="n">
        <f aca="false">MIN(IF(AND(G32,E32),(L32-M32)*24/12.1*O32/1000,0),N32)</f>
        <v>0</v>
      </c>
      <c r="Q32" s="5" t="n">
        <f aca="false">IF(P32&gt;0,P32/O32*12.1/24*1000+M32,0)</f>
        <v>0</v>
      </c>
      <c r="R32" s="0" t="n">
        <f aca="false">IF(Q32&gt;0,TRUNC(O32),0)</f>
        <v>0</v>
      </c>
      <c r="S32" s="5" t="n">
        <f aca="false">(M32*(D32-R32)+(Q32*R32))/D32</f>
        <v>800</v>
      </c>
      <c r="T32" s="6" t="n">
        <f aca="false">(Q32-M32)*R32*24/12.1/1000</f>
        <v>-0</v>
      </c>
    </row>
    <row r="33" customFormat="false" ht="14.35" hidden="false" customHeight="false" outlineLevel="0" collapsed="false">
      <c r="A33" s="4" t="n">
        <v>8735</v>
      </c>
      <c r="B33" s="15" t="n">
        <f aca="false">IF(C33&lt;=9,YEAR(A33),YEAR(A33)+1)</f>
        <v>1924</v>
      </c>
      <c r="C33" s="15" t="n">
        <f aca="false">MONTH(A33)</f>
        <v>11</v>
      </c>
      <c r="D33" s="15" t="n">
        <f aca="false">DAY(A33)</f>
        <v>30</v>
      </c>
      <c r="E33" s="15" t="n">
        <f aca="false">VLOOKUP(B33,WYT!$A$2:$L$97,12)</f>
        <v>0</v>
      </c>
      <c r="F33" s="15" t="n">
        <f aca="false">IF(C33=$W$5,1,0)</f>
        <v>0</v>
      </c>
      <c r="G33" s="15" t="n">
        <f aca="false">IF(C33=10,0,IF(F33=1,1,G32))</f>
        <v>0</v>
      </c>
      <c r="H33" s="5" t="n">
        <f aca="false">VA_base_426_data!B33</f>
        <v>1700</v>
      </c>
      <c r="I33" s="5" t="n">
        <f aca="false">IF(AND(E33=1,OR(C33=4,C33=5)),25*12.1/24/D33*1000,0)</f>
        <v>0</v>
      </c>
      <c r="J33" s="5" t="n">
        <f aca="false">VA_base_426_data!C33</f>
        <v>1700</v>
      </c>
      <c r="K33" s="5" t="n">
        <f aca="false">H33+I33-J33</f>
        <v>0</v>
      </c>
      <c r="L33" s="5" t="n">
        <f aca="false">MIN($W$7,J33+K33)</f>
        <v>1700</v>
      </c>
      <c r="M33" s="5" t="n">
        <f aca="false">VA_base_426_data!D33</f>
        <v>800</v>
      </c>
      <c r="N33" s="5" t="n">
        <f aca="false">IF(AND(C33=10,E33=1),$W$6,N32-P32)</f>
        <v>0</v>
      </c>
      <c r="O33" s="5" t="n">
        <f aca="false">IF(ABS(M33-L33)&gt;1,MIN(N33/((L33-M33)*24/12.1/1000),D33),D33)</f>
        <v>0</v>
      </c>
      <c r="P33" s="5" t="n">
        <f aca="false">MIN(IF(AND(G33,E33),(L33-M33)*24/12.1*O33/1000,0),N33)</f>
        <v>0</v>
      </c>
      <c r="Q33" s="5" t="n">
        <f aca="false">IF(P33&gt;0,P33/O33*12.1/24*1000+M33,0)</f>
        <v>0</v>
      </c>
      <c r="R33" s="0" t="n">
        <f aca="false">IF(Q33&gt;0,TRUNC(O33),0)</f>
        <v>0</v>
      </c>
      <c r="S33" s="5" t="n">
        <f aca="false">(M33*(D33-R33)+(Q33*R33))/D33</f>
        <v>800</v>
      </c>
      <c r="T33" s="6" t="n">
        <f aca="false">(Q33-M33)*R33*24/12.1/1000</f>
        <v>-0</v>
      </c>
    </row>
    <row r="34" customFormat="false" ht="14.35" hidden="false" customHeight="false" outlineLevel="0" collapsed="false">
      <c r="A34" s="4" t="n">
        <v>8766</v>
      </c>
      <c r="B34" s="15" t="n">
        <f aca="false">IF(C34&lt;=9,YEAR(A34),YEAR(A34)+1)</f>
        <v>1924</v>
      </c>
      <c r="C34" s="15" t="n">
        <f aca="false">MONTH(A34)</f>
        <v>12</v>
      </c>
      <c r="D34" s="15" t="n">
        <f aca="false">DAY(A34)</f>
        <v>31</v>
      </c>
      <c r="E34" s="15" t="n">
        <f aca="false">VLOOKUP(B34,WYT!$A$2:$L$97,12)</f>
        <v>0</v>
      </c>
      <c r="F34" s="15" t="n">
        <f aca="false">IF(C34=$W$5,1,0)</f>
        <v>0</v>
      </c>
      <c r="G34" s="15" t="n">
        <f aca="false">IF(C34=10,0,IF(F34=1,1,G33))</f>
        <v>0</v>
      </c>
      <c r="H34" s="5" t="n">
        <f aca="false">VA_base_426_data!B34</f>
        <v>1764.8134568897</v>
      </c>
      <c r="I34" s="5" t="n">
        <f aca="false">IF(AND(E34=1,OR(C34=4,C34=5)),25*12.1/24/D34*1000,0)</f>
        <v>0</v>
      </c>
      <c r="J34" s="5" t="n">
        <f aca="false">VA_base_426_data!C34</f>
        <v>1700</v>
      </c>
      <c r="K34" s="5" t="n">
        <f aca="false">H34+I34-J34</f>
        <v>64.813456889701</v>
      </c>
      <c r="L34" s="5" t="n">
        <f aca="false">MIN($W$7,J34+K34)</f>
        <v>1764.8134568897</v>
      </c>
      <c r="M34" s="5" t="n">
        <f aca="false">VA_base_426_data!D34</f>
        <v>800</v>
      </c>
      <c r="N34" s="5" t="n">
        <f aca="false">IF(AND(C34=10,E34=1),$W$6,N33-P33)</f>
        <v>0</v>
      </c>
      <c r="O34" s="5" t="n">
        <f aca="false">IF(ABS(M34-L34)&gt;1,MIN(N34/((L34-M34)*24/12.1/1000),D34),D34)</f>
        <v>0</v>
      </c>
      <c r="P34" s="5" t="n">
        <f aca="false">MIN(IF(AND(G34,E34),(L34-M34)*24/12.1*O34/1000,0),N34)</f>
        <v>0</v>
      </c>
      <c r="Q34" s="5" t="n">
        <f aca="false">IF(P34&gt;0,P34/O34*12.1/24*1000+M34,0)</f>
        <v>0</v>
      </c>
      <c r="R34" s="0" t="n">
        <f aca="false">IF(Q34&gt;0,TRUNC(O34),0)</f>
        <v>0</v>
      </c>
      <c r="S34" s="5" t="n">
        <f aca="false">(M34*(D34-R34)+(Q34*R34))/D34</f>
        <v>800</v>
      </c>
      <c r="T34" s="6" t="n">
        <f aca="false">(Q34-M34)*R34*24/12.1/1000</f>
        <v>-0</v>
      </c>
    </row>
    <row r="35" customFormat="false" ht="14.35" hidden="false" customHeight="false" outlineLevel="0" collapsed="false">
      <c r="A35" s="4" t="n">
        <v>8797</v>
      </c>
      <c r="B35" s="15" t="n">
        <f aca="false">IF(C35&lt;=9,YEAR(A35),YEAR(A35)+1)</f>
        <v>1924</v>
      </c>
      <c r="C35" s="15" t="n">
        <f aca="false">MONTH(A35)</f>
        <v>1</v>
      </c>
      <c r="D35" s="15" t="n">
        <f aca="false">DAY(A35)</f>
        <v>31</v>
      </c>
      <c r="E35" s="15" t="n">
        <f aca="false">VLOOKUP(B35,WYT!$A$2:$L$97,12)</f>
        <v>0</v>
      </c>
      <c r="F35" s="15" t="n">
        <f aca="false">IF(C35=$W$5,1,0)</f>
        <v>0</v>
      </c>
      <c r="G35" s="15" t="n">
        <f aca="false">IF(C35=10,0,IF(F35=1,1,G34))</f>
        <v>0</v>
      </c>
      <c r="H35" s="5" t="n">
        <f aca="false">VA_base_426_data!B35</f>
        <v>1700</v>
      </c>
      <c r="I35" s="5" t="n">
        <f aca="false">IF(AND(E35=1,OR(C35=4,C35=5)),25*12.1/24/D35*1000,0)</f>
        <v>0</v>
      </c>
      <c r="J35" s="5" t="n">
        <f aca="false">VA_base_426_data!C35</f>
        <v>1700</v>
      </c>
      <c r="K35" s="5" t="n">
        <f aca="false">H35+I35-J35</f>
        <v>0</v>
      </c>
      <c r="L35" s="5" t="n">
        <f aca="false">MIN($W$7,J35+K35)</f>
        <v>1700</v>
      </c>
      <c r="M35" s="5" t="n">
        <f aca="false">VA_base_426_data!D35</f>
        <v>800</v>
      </c>
      <c r="N35" s="5" t="n">
        <f aca="false">IF(AND(C35=10,E35=1),$W$6,N34-P34)</f>
        <v>0</v>
      </c>
      <c r="O35" s="5" t="n">
        <f aca="false">IF(ABS(M35-L35)&gt;1,MIN(N35/((L35-M35)*24/12.1/1000),D35),D35)</f>
        <v>0</v>
      </c>
      <c r="P35" s="5" t="n">
        <f aca="false">MIN(IF(AND(G35,E35),(L35-M35)*24/12.1*O35/1000,0),N35)</f>
        <v>0</v>
      </c>
      <c r="Q35" s="5" t="n">
        <f aca="false">IF(P35&gt;0,P35/O35*12.1/24*1000+M35,0)</f>
        <v>0</v>
      </c>
      <c r="R35" s="0" t="n">
        <f aca="false">IF(Q35&gt;0,TRUNC(O35),0)</f>
        <v>0</v>
      </c>
      <c r="S35" s="5" t="n">
        <f aca="false">(M35*(D35-R35)+(Q35*R35))/D35</f>
        <v>800</v>
      </c>
      <c r="T35" s="6" t="n">
        <f aca="false">(Q35-M35)*R35*24/12.1/1000</f>
        <v>-0</v>
      </c>
    </row>
    <row r="36" customFormat="false" ht="14.35" hidden="false" customHeight="false" outlineLevel="0" collapsed="false">
      <c r="A36" s="4" t="n">
        <v>8826</v>
      </c>
      <c r="B36" s="15" t="n">
        <f aca="false">IF(C36&lt;=9,YEAR(A36),YEAR(A36)+1)</f>
        <v>1924</v>
      </c>
      <c r="C36" s="15" t="n">
        <f aca="false">MONTH(A36)</f>
        <v>2</v>
      </c>
      <c r="D36" s="15" t="n">
        <f aca="false">DAY(A36)</f>
        <v>29</v>
      </c>
      <c r="E36" s="15" t="n">
        <f aca="false">VLOOKUP(B36,WYT!$A$2:$L$97,12)</f>
        <v>0</v>
      </c>
      <c r="F36" s="15" t="n">
        <f aca="false">IF(C36=$W$5,1,0)</f>
        <v>1</v>
      </c>
      <c r="G36" s="15" t="n">
        <f aca="false">IF(C36=10,0,IF(F36=1,1,G35))</f>
        <v>1</v>
      </c>
      <c r="H36" s="5" t="n">
        <f aca="false">VA_base_426_data!B36</f>
        <v>1700</v>
      </c>
      <c r="I36" s="5" t="n">
        <f aca="false">IF(AND(E36=1,OR(C36=4,C36=5)),25*12.1/24/D36*1000,0)</f>
        <v>0</v>
      </c>
      <c r="J36" s="5" t="n">
        <f aca="false">VA_base_426_data!C36</f>
        <v>1700</v>
      </c>
      <c r="K36" s="5" t="n">
        <f aca="false">H36+I36-J36</f>
        <v>0</v>
      </c>
      <c r="L36" s="5" t="n">
        <f aca="false">MIN($W$7,J36+K36)</f>
        <v>1700</v>
      </c>
      <c r="M36" s="5" t="n">
        <f aca="false">VA_base_426_data!D36</f>
        <v>800</v>
      </c>
      <c r="N36" s="5" t="n">
        <f aca="false">IF(AND(C36=10,E36=1),$W$6,N35-P35)</f>
        <v>0</v>
      </c>
      <c r="O36" s="5" t="n">
        <f aca="false">IF(ABS(M36-L36)&gt;1,MIN(N36/((L36-M36)*24/12.1/1000),D36),D36)</f>
        <v>0</v>
      </c>
      <c r="P36" s="5" t="n">
        <f aca="false">MIN(IF(AND(G36,E36),(L36-M36)*24/12.1*O36/1000,0),N36)</f>
        <v>0</v>
      </c>
      <c r="Q36" s="5" t="n">
        <f aca="false">IF(P36&gt;0,P36/O36*12.1/24*1000+M36,0)</f>
        <v>0</v>
      </c>
      <c r="R36" s="0" t="n">
        <f aca="false">IF(Q36&gt;0,TRUNC(O36),0)</f>
        <v>0</v>
      </c>
      <c r="S36" s="5" t="n">
        <f aca="false">(M36*(D36-R36)+(Q36*R36))/D36</f>
        <v>800</v>
      </c>
      <c r="T36" s="6" t="n">
        <f aca="false">(Q36-M36)*R36*24/12.1/1000</f>
        <v>-0</v>
      </c>
    </row>
    <row r="37" customFormat="false" ht="14.35" hidden="false" customHeight="false" outlineLevel="0" collapsed="false">
      <c r="A37" s="4" t="n">
        <v>8857</v>
      </c>
      <c r="B37" s="15" t="n">
        <f aca="false">IF(C37&lt;=9,YEAR(A37),YEAR(A37)+1)</f>
        <v>1924</v>
      </c>
      <c r="C37" s="15" t="n">
        <f aca="false">MONTH(A37)</f>
        <v>3</v>
      </c>
      <c r="D37" s="15" t="n">
        <f aca="false">DAY(A37)</f>
        <v>31</v>
      </c>
      <c r="E37" s="15" t="n">
        <f aca="false">VLOOKUP(B37,WYT!$A$2:$L$97,12)</f>
        <v>0</v>
      </c>
      <c r="F37" s="15" t="n">
        <f aca="false">IF(C37=$W$5,1,0)</f>
        <v>0</v>
      </c>
      <c r="G37" s="15" t="n">
        <f aca="false">IF(C37=10,0,IF(F37=1,1,G36))</f>
        <v>1</v>
      </c>
      <c r="H37" s="5" t="n">
        <f aca="false">VA_base_426_data!B37</f>
        <v>2744.86057373499</v>
      </c>
      <c r="I37" s="5" t="n">
        <f aca="false">IF(AND(E37=1,OR(C37=4,C37=5)),25*12.1/24/D37*1000,0)</f>
        <v>0</v>
      </c>
      <c r="J37" s="5" t="n">
        <f aca="false">VA_base_426_data!C37</f>
        <v>1700</v>
      </c>
      <c r="K37" s="5" t="n">
        <f aca="false">H37+I37-J37</f>
        <v>1044.86057373499</v>
      </c>
      <c r="L37" s="5" t="n">
        <f aca="false">MIN($W$7,J37+K37)</f>
        <v>2000</v>
      </c>
      <c r="M37" s="5" t="n">
        <f aca="false">VA_base_426_data!D37</f>
        <v>800</v>
      </c>
      <c r="N37" s="5" t="n">
        <f aca="false">IF(AND(C37=10,E37=1),$W$6,N36-P36)</f>
        <v>0</v>
      </c>
      <c r="O37" s="5" t="n">
        <f aca="false">IF(ABS(M37-L37)&gt;1,MIN(N37/((L37-M37)*24/12.1/1000),D37),D37)</f>
        <v>0</v>
      </c>
      <c r="P37" s="5" t="n">
        <f aca="false">MIN(IF(AND(G37,E37),(L37-M37)*24/12.1*O37/1000,0),N37)</f>
        <v>0</v>
      </c>
      <c r="Q37" s="5" t="n">
        <f aca="false">IF(P37&gt;0,P37/O37*12.1/24*1000+M37,0)</f>
        <v>0</v>
      </c>
      <c r="R37" s="0" t="n">
        <f aca="false">IF(Q37&gt;0,TRUNC(O37),0)</f>
        <v>0</v>
      </c>
      <c r="S37" s="5" t="n">
        <f aca="false">(M37*(D37-R37)+(Q37*R37))/D37</f>
        <v>800</v>
      </c>
      <c r="T37" s="6" t="n">
        <f aca="false">(Q37-M37)*R37*24/12.1/1000</f>
        <v>-0</v>
      </c>
    </row>
    <row r="38" customFormat="false" ht="14.35" hidden="false" customHeight="false" outlineLevel="0" collapsed="false">
      <c r="A38" s="4" t="n">
        <v>8887</v>
      </c>
      <c r="B38" s="15" t="n">
        <f aca="false">IF(C38&lt;=9,YEAR(A38),YEAR(A38)+1)</f>
        <v>1924</v>
      </c>
      <c r="C38" s="15" t="n">
        <f aca="false">MONTH(A38)</f>
        <v>4</v>
      </c>
      <c r="D38" s="15" t="n">
        <f aca="false">DAY(A38)</f>
        <v>30</v>
      </c>
      <c r="E38" s="15" t="n">
        <f aca="false">VLOOKUP(B38,WYT!$A$2:$L$97,12)</f>
        <v>0</v>
      </c>
      <c r="F38" s="15" t="n">
        <f aca="false">IF(C38=$W$5,1,0)</f>
        <v>0</v>
      </c>
      <c r="G38" s="15" t="n">
        <f aca="false">IF(C38=10,0,IF(F38=1,1,G37))</f>
        <v>1</v>
      </c>
      <c r="H38" s="5" t="n">
        <f aca="false">VA_base_426_data!B38</f>
        <v>1480.84850478428</v>
      </c>
      <c r="I38" s="5" t="n">
        <f aca="false">IF(AND(E38=1,OR(C38=4,C38=5)),25*12.1/24/D38*1000,0)</f>
        <v>0</v>
      </c>
      <c r="J38" s="5" t="n">
        <f aca="false">VA_base_426_data!C38</f>
        <v>750</v>
      </c>
      <c r="K38" s="5" t="n">
        <f aca="false">H38+I38-J38</f>
        <v>730.848504784283</v>
      </c>
      <c r="L38" s="5" t="n">
        <f aca="false">MIN($W$7,J38+K38)</f>
        <v>1480.84850478428</v>
      </c>
      <c r="M38" s="5" t="n">
        <f aca="false">VA_base_426_data!D38</f>
        <v>700</v>
      </c>
      <c r="N38" s="5" t="n">
        <f aca="false">IF(AND(C38=10,E38=1),$W$6,N37-P37)</f>
        <v>0</v>
      </c>
      <c r="O38" s="5" t="n">
        <f aca="false">IF(ABS(M38-L38)&gt;1,MIN(N38/((L38-M38)*24/12.1/1000),D38),D38)</f>
        <v>0</v>
      </c>
      <c r="P38" s="5" t="n">
        <f aca="false">MIN(IF(AND(G38,E38),(L38-M38)*24/12.1*O38/1000,0),N38)</f>
        <v>0</v>
      </c>
      <c r="Q38" s="5" t="n">
        <f aca="false">IF(P38&gt;0,P38/O38*12.1/24*1000+M38,0)</f>
        <v>0</v>
      </c>
      <c r="R38" s="0" t="n">
        <f aca="false">IF(Q38&gt;0,TRUNC(O38),0)</f>
        <v>0</v>
      </c>
      <c r="S38" s="5" t="n">
        <f aca="false">(M38*(D38-R38)+(Q38*R38))/D38</f>
        <v>700</v>
      </c>
      <c r="T38" s="6" t="n">
        <f aca="false">(Q38-M38)*R38*24/12.1/1000</f>
        <v>-0</v>
      </c>
    </row>
    <row r="39" customFormat="false" ht="14.35" hidden="false" customHeight="false" outlineLevel="0" collapsed="false">
      <c r="A39" s="4" t="n">
        <v>8918</v>
      </c>
      <c r="B39" s="15" t="n">
        <f aca="false">IF(C39&lt;=9,YEAR(A39),YEAR(A39)+1)</f>
        <v>1924</v>
      </c>
      <c r="C39" s="15" t="n">
        <f aca="false">MONTH(A39)</f>
        <v>5</v>
      </c>
      <c r="D39" s="15" t="n">
        <f aca="false">DAY(A39)</f>
        <v>31</v>
      </c>
      <c r="E39" s="15" t="n">
        <f aca="false">VLOOKUP(B39,WYT!$A$2:$L$97,12)</f>
        <v>0</v>
      </c>
      <c r="F39" s="15" t="n">
        <f aca="false">IF(C39=$W$5,1,0)</f>
        <v>0</v>
      </c>
      <c r="G39" s="15" t="n">
        <f aca="false">IF(C39=10,0,IF(F39=1,1,G38))</f>
        <v>1</v>
      </c>
      <c r="H39" s="5" t="n">
        <f aca="false">VA_base_426_data!B39</f>
        <v>2892.91463933273</v>
      </c>
      <c r="I39" s="5" t="n">
        <f aca="false">IF(AND(E39=1,OR(C39=4,C39=5)),25*12.1/24/D39*1000,0)</f>
        <v>0</v>
      </c>
      <c r="J39" s="5" t="n">
        <f aca="false">VA_base_426_data!C39</f>
        <v>750</v>
      </c>
      <c r="K39" s="5" t="n">
        <f aca="false">H39+I39-J39</f>
        <v>2142.91463933273</v>
      </c>
      <c r="L39" s="5" t="n">
        <f aca="false">MIN($W$7,J39+K39)</f>
        <v>2000</v>
      </c>
      <c r="M39" s="5" t="n">
        <f aca="false">VA_base_426_data!D39</f>
        <v>700</v>
      </c>
      <c r="N39" s="5" t="n">
        <f aca="false">IF(AND(C39=10,E39=1),$W$6,N38-P38)</f>
        <v>0</v>
      </c>
      <c r="O39" s="5" t="n">
        <f aca="false">IF(ABS(M39-L39)&gt;1,MIN(N39/((L39-M39)*24/12.1/1000),D39),D39)</f>
        <v>0</v>
      </c>
      <c r="P39" s="5" t="n">
        <f aca="false">MIN(IF(AND(G39,E39),(L39-M39)*24/12.1*O39/1000,0),N39)</f>
        <v>0</v>
      </c>
      <c r="Q39" s="5" t="n">
        <f aca="false">IF(P39&gt;0,P39/O39*12.1/24*1000+M39,0)</f>
        <v>0</v>
      </c>
      <c r="R39" s="0" t="n">
        <f aca="false">IF(Q39&gt;0,TRUNC(O39),0)</f>
        <v>0</v>
      </c>
      <c r="S39" s="5" t="n">
        <f aca="false">(M39*(D39-R39)+(Q39*R39))/D39</f>
        <v>700</v>
      </c>
      <c r="T39" s="6" t="n">
        <f aca="false">(Q39-M39)*R39*24/12.1/1000</f>
        <v>-0</v>
      </c>
    </row>
    <row r="40" customFormat="false" ht="14.35" hidden="false" customHeight="false" outlineLevel="0" collapsed="false">
      <c r="A40" s="4" t="n">
        <v>8948</v>
      </c>
      <c r="B40" s="15" t="n">
        <f aca="false">IF(C40&lt;=9,YEAR(A40),YEAR(A40)+1)</f>
        <v>1924</v>
      </c>
      <c r="C40" s="15" t="n">
        <f aca="false">MONTH(A40)</f>
        <v>6</v>
      </c>
      <c r="D40" s="15" t="n">
        <f aca="false">DAY(A40)</f>
        <v>30</v>
      </c>
      <c r="E40" s="15" t="n">
        <f aca="false">VLOOKUP(B40,WYT!$A$2:$L$97,12)</f>
        <v>0</v>
      </c>
      <c r="F40" s="15" t="n">
        <f aca="false">IF(C40=$W$5,1,0)</f>
        <v>0</v>
      </c>
      <c r="G40" s="15" t="n">
        <f aca="false">IF(C40=10,0,IF(F40=1,1,G39))</f>
        <v>1</v>
      </c>
      <c r="H40" s="5" t="n">
        <f aca="false">VA_base_426_data!B40</f>
        <v>4188.66417761796</v>
      </c>
      <c r="I40" s="5" t="n">
        <f aca="false">IF(AND(E40=1,OR(C40=4,C40=5)),25*12.1/24/D40*1000,0)</f>
        <v>0</v>
      </c>
      <c r="J40" s="5" t="n">
        <f aca="false">VA_base_426_data!C40</f>
        <v>750</v>
      </c>
      <c r="K40" s="5" t="n">
        <f aca="false">H40+I40-J40</f>
        <v>3438.66417761796</v>
      </c>
      <c r="L40" s="5" t="n">
        <f aca="false">MIN($W$7,J40+K40)</f>
        <v>2000</v>
      </c>
      <c r="M40" s="5" t="n">
        <f aca="false">VA_base_426_data!D40</f>
        <v>700</v>
      </c>
      <c r="N40" s="5" t="n">
        <f aca="false">IF(AND(C40=10,E40=1),$W$6,N39-P39)</f>
        <v>0</v>
      </c>
      <c r="O40" s="5" t="n">
        <f aca="false">IF(ABS(M40-L40)&gt;1,MIN(N40/((L40-M40)*24/12.1/1000),D40),D40)</f>
        <v>0</v>
      </c>
      <c r="P40" s="5" t="n">
        <f aca="false">MIN(IF(AND(G40,E40),(L40-M40)*24/12.1*O40/1000,0),N40)</f>
        <v>0</v>
      </c>
      <c r="Q40" s="5" t="n">
        <f aca="false">IF(P40&gt;0,P40/O40*12.1/24*1000+M40,0)</f>
        <v>0</v>
      </c>
      <c r="R40" s="0" t="n">
        <f aca="false">IF(Q40&gt;0,TRUNC(O40),0)</f>
        <v>0</v>
      </c>
      <c r="S40" s="5" t="n">
        <f aca="false">(M40*(D40-R40)+(Q40*R40))/D40</f>
        <v>700</v>
      </c>
      <c r="T40" s="6" t="n">
        <f aca="false">(Q40-M40)*R40*24/12.1/1000</f>
        <v>-0</v>
      </c>
    </row>
    <row r="41" customFormat="false" ht="14.35" hidden="false" customHeight="false" outlineLevel="0" collapsed="false">
      <c r="A41" s="4" t="n">
        <v>8979</v>
      </c>
      <c r="B41" s="15" t="n">
        <f aca="false">IF(C41&lt;=9,YEAR(A41),YEAR(A41)+1)</f>
        <v>1924</v>
      </c>
      <c r="C41" s="15" t="n">
        <f aca="false">MONTH(A41)</f>
        <v>7</v>
      </c>
      <c r="D41" s="15" t="n">
        <f aca="false">DAY(A41)</f>
        <v>31</v>
      </c>
      <c r="E41" s="15" t="n">
        <f aca="false">VLOOKUP(B41,WYT!$A$2:$L$97,12)</f>
        <v>0</v>
      </c>
      <c r="F41" s="15" t="n">
        <f aca="false">IF(C41=$W$5,1,0)</f>
        <v>0</v>
      </c>
      <c r="G41" s="15" t="n">
        <f aca="false">IF(C41=10,0,IF(F41=1,1,G40))</f>
        <v>1</v>
      </c>
      <c r="H41" s="5" t="n">
        <f aca="false">VA_base_426_data!B41</f>
        <v>3906.65386274386</v>
      </c>
      <c r="I41" s="5" t="n">
        <f aca="false">IF(AND(E41=1,OR(C41=4,C41=5)),25*12.1/24/D41*1000,0)</f>
        <v>0</v>
      </c>
      <c r="J41" s="5" t="n">
        <f aca="false">VA_base_426_data!C41</f>
        <v>750</v>
      </c>
      <c r="K41" s="5" t="n">
        <f aca="false">H41+I41-J41</f>
        <v>3156.65386274386</v>
      </c>
      <c r="L41" s="5" t="n">
        <f aca="false">MIN($W$7,J41+K41)</f>
        <v>2000</v>
      </c>
      <c r="M41" s="5" t="n">
        <f aca="false">VA_base_426_data!D41</f>
        <v>700</v>
      </c>
      <c r="N41" s="5" t="n">
        <f aca="false">IF(AND(C41=10,E41=1),$W$6,N40-P40)</f>
        <v>0</v>
      </c>
      <c r="O41" s="5" t="n">
        <f aca="false">IF(ABS(M41-L41)&gt;1,MIN(N41/((L41-M41)*24/12.1/1000),D41),D41)</f>
        <v>0</v>
      </c>
      <c r="P41" s="5" t="n">
        <f aca="false">MIN(IF(AND(G41,E41),(L41-M41)*24/12.1*O41/1000,0),N41)</f>
        <v>0</v>
      </c>
      <c r="Q41" s="5" t="n">
        <f aca="false">IF(P41&gt;0,P41/O41*12.1/24*1000+M41,0)</f>
        <v>0</v>
      </c>
      <c r="R41" s="0" t="n">
        <f aca="false">IF(Q41&gt;0,TRUNC(O41),0)</f>
        <v>0</v>
      </c>
      <c r="S41" s="5" t="n">
        <f aca="false">(M41*(D41-R41)+(Q41*R41))/D41</f>
        <v>700</v>
      </c>
      <c r="T41" s="6" t="n">
        <f aca="false">(Q41-M41)*R41*24/12.1/1000</f>
        <v>-0</v>
      </c>
    </row>
    <row r="42" customFormat="false" ht="14.35" hidden="false" customHeight="false" outlineLevel="0" collapsed="false">
      <c r="A42" s="4" t="n">
        <v>9010</v>
      </c>
      <c r="B42" s="15" t="n">
        <f aca="false">IF(C42&lt;=9,YEAR(A42),YEAR(A42)+1)</f>
        <v>1924</v>
      </c>
      <c r="C42" s="15" t="n">
        <f aca="false">MONTH(A42)</f>
        <v>8</v>
      </c>
      <c r="D42" s="15" t="n">
        <f aca="false">DAY(A42)</f>
        <v>31</v>
      </c>
      <c r="E42" s="15" t="n">
        <f aca="false">VLOOKUP(B42,WYT!$A$2:$L$97,12)</f>
        <v>0</v>
      </c>
      <c r="F42" s="15" t="n">
        <f aca="false">IF(C42=$W$5,1,0)</f>
        <v>0</v>
      </c>
      <c r="G42" s="15" t="n">
        <f aca="false">IF(C42=10,0,IF(F42=1,1,G41))</f>
        <v>1</v>
      </c>
      <c r="H42" s="5" t="n">
        <f aca="false">VA_base_426_data!B42</f>
        <v>2895.82701596613</v>
      </c>
      <c r="I42" s="5" t="n">
        <f aca="false">IF(AND(E42=1,OR(C42=4,C42=5)),25*12.1/24/D42*1000,0)</f>
        <v>0</v>
      </c>
      <c r="J42" s="5" t="n">
        <f aca="false">VA_base_426_data!C42</f>
        <v>750</v>
      </c>
      <c r="K42" s="5" t="n">
        <f aca="false">H42+I42-J42</f>
        <v>2145.82701596613</v>
      </c>
      <c r="L42" s="5" t="n">
        <f aca="false">MIN($W$7,J42+K42)</f>
        <v>2000</v>
      </c>
      <c r="M42" s="5" t="n">
        <f aca="false">VA_base_426_data!D42</f>
        <v>700</v>
      </c>
      <c r="N42" s="5" t="n">
        <f aca="false">IF(AND(C42=10,E42=1),$W$6,N41-P41)</f>
        <v>0</v>
      </c>
      <c r="O42" s="5" t="n">
        <f aca="false">IF(ABS(M42-L42)&gt;1,MIN(N42/((L42-M42)*24/12.1/1000),D42),D42)</f>
        <v>0</v>
      </c>
      <c r="P42" s="5" t="n">
        <f aca="false">MIN(IF(AND(G42,E42),(L42-M42)*24/12.1*O42/1000,0),N42)</f>
        <v>0</v>
      </c>
      <c r="Q42" s="5" t="n">
        <f aca="false">IF(P42&gt;0,P42/O42*12.1/24*1000+M42,0)</f>
        <v>0</v>
      </c>
      <c r="R42" s="0" t="n">
        <f aca="false">IF(Q42&gt;0,TRUNC(O42),0)</f>
        <v>0</v>
      </c>
      <c r="S42" s="5" t="n">
        <f aca="false">(M42*(D42-R42)+(Q42*R42))/D42</f>
        <v>700</v>
      </c>
      <c r="T42" s="6" t="n">
        <f aca="false">(Q42-M42)*R42*24/12.1/1000</f>
        <v>-0</v>
      </c>
    </row>
    <row r="43" customFormat="false" ht="14.35" hidden="false" customHeight="false" outlineLevel="0" collapsed="false">
      <c r="A43" s="4" t="n">
        <v>9040</v>
      </c>
      <c r="B43" s="15" t="n">
        <f aca="false">IF(C43&lt;=9,YEAR(A43),YEAR(A43)+1)</f>
        <v>1924</v>
      </c>
      <c r="C43" s="15" t="n">
        <f aca="false">MONTH(A43)</f>
        <v>9</v>
      </c>
      <c r="D43" s="15" t="n">
        <f aca="false">DAY(A43)</f>
        <v>30</v>
      </c>
      <c r="E43" s="15" t="n">
        <f aca="false">VLOOKUP(B43,WYT!$A$2:$L$97,12)</f>
        <v>0</v>
      </c>
      <c r="F43" s="15" t="n">
        <f aca="false">IF(C43=$W$5,1,0)</f>
        <v>0</v>
      </c>
      <c r="G43" s="15" t="n">
        <f aca="false">IF(C43=10,0,IF(F43=1,1,G42))</f>
        <v>1</v>
      </c>
      <c r="H43" s="5" t="n">
        <f aca="false">VA_base_426_data!B43</f>
        <v>1422.27138451402</v>
      </c>
      <c r="I43" s="5" t="n">
        <f aca="false">IF(AND(E43=1,OR(C43=4,C43=5)),25*12.1/24/D43*1000,0)</f>
        <v>0</v>
      </c>
      <c r="J43" s="5" t="n">
        <f aca="false">VA_base_426_data!C43</f>
        <v>750</v>
      </c>
      <c r="K43" s="5" t="n">
        <f aca="false">H43+I43-J43</f>
        <v>672.271384514022</v>
      </c>
      <c r="L43" s="5" t="n">
        <f aca="false">MIN($W$7,J43+K43)</f>
        <v>1422.27138451402</v>
      </c>
      <c r="M43" s="5" t="n">
        <f aca="false">VA_base_426_data!D43</f>
        <v>773.3333333</v>
      </c>
      <c r="N43" s="5" t="n">
        <f aca="false">IF(AND(C43=10,E43=1),$W$6,N42-P42)</f>
        <v>0</v>
      </c>
      <c r="O43" s="5" t="n">
        <f aca="false">IF(ABS(M43-L43)&gt;1,MIN(N43/((L43-M43)*24/12.1/1000),D43),D43)</f>
        <v>0</v>
      </c>
      <c r="P43" s="5" t="n">
        <f aca="false">MIN(IF(AND(G43,E43),(L43-M43)*24/12.1*O43/1000,0),N43)</f>
        <v>0</v>
      </c>
      <c r="Q43" s="5" t="n">
        <f aca="false">IF(P43&gt;0,P43/O43*12.1/24*1000+M43,0)</f>
        <v>0</v>
      </c>
      <c r="R43" s="0" t="n">
        <f aca="false">IF(Q43&gt;0,TRUNC(O43),0)</f>
        <v>0</v>
      </c>
      <c r="S43" s="5" t="n">
        <f aca="false">(M43*(D43-R43)+(Q43*R43))/D43</f>
        <v>773.3333333</v>
      </c>
      <c r="T43" s="6" t="n">
        <f aca="false">(Q43-M43)*R43*24/12.1/1000</f>
        <v>-0</v>
      </c>
    </row>
    <row r="44" customFormat="false" ht="14.35" hidden="false" customHeight="false" outlineLevel="0" collapsed="false">
      <c r="A44" s="4" t="n">
        <v>9071</v>
      </c>
      <c r="B44" s="15" t="n">
        <f aca="false">IF(C44&lt;=9,YEAR(A44),YEAR(A44)+1)</f>
        <v>1925</v>
      </c>
      <c r="C44" s="15" t="n">
        <f aca="false">MONTH(A44)</f>
        <v>10</v>
      </c>
      <c r="D44" s="15" t="n">
        <f aca="false">DAY(A44)</f>
        <v>31</v>
      </c>
      <c r="E44" s="15" t="n">
        <f aca="false">VLOOKUP(B44,WYT!$A$2:$L$97,12)</f>
        <v>1</v>
      </c>
      <c r="F44" s="15" t="n">
        <f aca="false">IF(C44=$W$5,1,0)</f>
        <v>0</v>
      </c>
      <c r="G44" s="15" t="n">
        <f aca="false">IF(C44=10,0,IF(F44=1,1,G43))</f>
        <v>0</v>
      </c>
      <c r="H44" s="5" t="n">
        <f aca="false">VA_base_426_data!B44</f>
        <v>900</v>
      </c>
      <c r="I44" s="5" t="n">
        <f aca="false">IF(AND(E44=1,OR(C44=4,C44=5)),25*12.1/24/D44*1000,0)</f>
        <v>0</v>
      </c>
      <c r="J44" s="5" t="n">
        <f aca="false">VA_base_426_data!C44</f>
        <v>900</v>
      </c>
      <c r="K44" s="5" t="n">
        <f aca="false">H44+I44-J44</f>
        <v>0</v>
      </c>
      <c r="L44" s="5" t="n">
        <f aca="false">MIN($W$7,J44+K44)</f>
        <v>900</v>
      </c>
      <c r="M44" s="5" t="n">
        <f aca="false">VA_base_426_data!D44</f>
        <v>800</v>
      </c>
      <c r="N44" s="5" t="n">
        <f aca="false">IF(AND(C44=10,E44=1),$W$6,N43-P43)</f>
        <v>43</v>
      </c>
      <c r="O44" s="5" t="n">
        <f aca="false">IF(ABS(M44-L44)&gt;1,MIN(N44/((L44-M44)*24/12.1/1000),D44),D44)</f>
        <v>31</v>
      </c>
      <c r="P44" s="5" t="n">
        <f aca="false">MIN(IF(AND(G44,E44),(L44-M44)*24/12.1*O44/1000,0),N44)</f>
        <v>0</v>
      </c>
      <c r="Q44" s="5" t="n">
        <f aca="false">IF(P44&gt;0,P44/O44*12.1/24*1000+M44,0)</f>
        <v>0</v>
      </c>
      <c r="R44" s="0" t="n">
        <f aca="false">IF(Q44&gt;0,TRUNC(O44),0)</f>
        <v>0</v>
      </c>
      <c r="S44" s="5" t="n">
        <f aca="false">(M44*(D44-R44)+(Q44*R44))/D44</f>
        <v>800</v>
      </c>
      <c r="T44" s="6" t="n">
        <f aca="false">(Q44-M44)*R44*24/12.1/1000</f>
        <v>-0</v>
      </c>
    </row>
    <row r="45" customFormat="false" ht="14.35" hidden="false" customHeight="false" outlineLevel="0" collapsed="false">
      <c r="A45" s="4" t="n">
        <v>9101</v>
      </c>
      <c r="B45" s="15" t="n">
        <f aca="false">IF(C45&lt;=9,YEAR(A45),YEAR(A45)+1)</f>
        <v>1925</v>
      </c>
      <c r="C45" s="15" t="n">
        <f aca="false">MONTH(A45)</f>
        <v>11</v>
      </c>
      <c r="D45" s="15" t="n">
        <f aca="false">DAY(A45)</f>
        <v>30</v>
      </c>
      <c r="E45" s="15" t="n">
        <f aca="false">VLOOKUP(B45,WYT!$A$2:$L$97,12)</f>
        <v>1</v>
      </c>
      <c r="F45" s="15" t="n">
        <f aca="false">IF(C45=$W$5,1,0)</f>
        <v>0</v>
      </c>
      <c r="G45" s="15" t="n">
        <f aca="false">IF(C45=10,0,IF(F45=1,1,G44))</f>
        <v>0</v>
      </c>
      <c r="H45" s="5" t="n">
        <f aca="false">VA_base_426_data!B45</f>
        <v>900</v>
      </c>
      <c r="I45" s="5" t="n">
        <f aca="false">IF(AND(E45=1,OR(C45=4,C45=5)),25*12.1/24/D45*1000,0)</f>
        <v>0</v>
      </c>
      <c r="J45" s="5" t="n">
        <f aca="false">VA_base_426_data!C45</f>
        <v>900</v>
      </c>
      <c r="K45" s="5" t="n">
        <f aca="false">H45+I45-J45</f>
        <v>0</v>
      </c>
      <c r="L45" s="5" t="n">
        <f aca="false">MIN($W$7,J45+K45)</f>
        <v>900</v>
      </c>
      <c r="M45" s="5" t="n">
        <f aca="false">VA_base_426_data!D45</f>
        <v>800</v>
      </c>
      <c r="N45" s="5" t="n">
        <f aca="false">IF(AND(C45=10,E45=1),$W$6,N44-P44)</f>
        <v>43</v>
      </c>
      <c r="O45" s="5" t="n">
        <f aca="false">IF(ABS(M45-L45)&gt;1,MIN(N45/((L45-M45)*24/12.1/1000),D45),D45)</f>
        <v>30</v>
      </c>
      <c r="P45" s="5" t="n">
        <f aca="false">MIN(IF(AND(G45,E45),(L45-M45)*24/12.1*O45/1000,0),N45)</f>
        <v>0</v>
      </c>
      <c r="Q45" s="5" t="n">
        <f aca="false">IF(P45&gt;0,P45/O45*12.1/24*1000+M45,0)</f>
        <v>0</v>
      </c>
      <c r="R45" s="0" t="n">
        <f aca="false">IF(Q45&gt;0,TRUNC(O45),0)</f>
        <v>0</v>
      </c>
      <c r="S45" s="5" t="n">
        <f aca="false">(M45*(D45-R45)+(Q45*R45))/D45</f>
        <v>800</v>
      </c>
      <c r="T45" s="6" t="n">
        <f aca="false">(Q45-M45)*R45*24/12.1/1000</f>
        <v>-0</v>
      </c>
    </row>
    <row r="46" customFormat="false" ht="14.35" hidden="false" customHeight="false" outlineLevel="0" collapsed="false">
      <c r="A46" s="4" t="n">
        <v>9132</v>
      </c>
      <c r="B46" s="15" t="n">
        <f aca="false">IF(C46&lt;=9,YEAR(A46),YEAR(A46)+1)</f>
        <v>1925</v>
      </c>
      <c r="C46" s="15" t="n">
        <f aca="false">MONTH(A46)</f>
        <v>12</v>
      </c>
      <c r="D46" s="15" t="n">
        <f aca="false">DAY(A46)</f>
        <v>31</v>
      </c>
      <c r="E46" s="15" t="n">
        <f aca="false">VLOOKUP(B46,WYT!$A$2:$L$97,12)</f>
        <v>1</v>
      </c>
      <c r="F46" s="15" t="n">
        <f aca="false">IF(C46=$W$5,1,0)</f>
        <v>0</v>
      </c>
      <c r="G46" s="15" t="n">
        <f aca="false">IF(C46=10,0,IF(F46=1,1,G45))</f>
        <v>0</v>
      </c>
      <c r="H46" s="5" t="n">
        <f aca="false">VA_base_426_data!B46</f>
        <v>906.284733850951</v>
      </c>
      <c r="I46" s="5" t="n">
        <f aca="false">IF(AND(E46=1,OR(C46=4,C46=5)),25*12.1/24/D46*1000,0)</f>
        <v>0</v>
      </c>
      <c r="J46" s="5" t="n">
        <f aca="false">VA_base_426_data!C46</f>
        <v>900</v>
      </c>
      <c r="K46" s="5" t="n">
        <f aca="false">H46+I46-J46</f>
        <v>6.28473385095094</v>
      </c>
      <c r="L46" s="5" t="n">
        <f aca="false">MIN($W$7,J46+K46)</f>
        <v>906.284733850951</v>
      </c>
      <c r="M46" s="5" t="n">
        <f aca="false">VA_base_426_data!D46</f>
        <v>800</v>
      </c>
      <c r="N46" s="5" t="n">
        <f aca="false">IF(AND(C46=10,E46=1),$W$6,N45-P45)</f>
        <v>43</v>
      </c>
      <c r="O46" s="5" t="n">
        <f aca="false">IF(ABS(M46-L46)&gt;1,MIN(N46/((L46-M46)*24/12.1/1000),D46),D46)</f>
        <v>31</v>
      </c>
      <c r="P46" s="5" t="n">
        <f aca="false">MIN(IF(AND(G46,E46),(L46-M46)*24/12.1*O46/1000,0),N46)</f>
        <v>0</v>
      </c>
      <c r="Q46" s="5" t="n">
        <f aca="false">IF(P46&gt;0,P46/O46*12.1/24*1000+M46,0)</f>
        <v>0</v>
      </c>
      <c r="R46" s="0" t="n">
        <f aca="false">IF(Q46&gt;0,TRUNC(O46),0)</f>
        <v>0</v>
      </c>
      <c r="S46" s="5" t="n">
        <f aca="false">(M46*(D46-R46)+(Q46*R46))/D46</f>
        <v>800</v>
      </c>
      <c r="T46" s="6" t="n">
        <f aca="false">(Q46-M46)*R46*24/12.1/1000</f>
        <v>-0</v>
      </c>
    </row>
    <row r="47" customFormat="false" ht="14.35" hidden="false" customHeight="false" outlineLevel="0" collapsed="false">
      <c r="A47" s="4" t="n">
        <v>9163</v>
      </c>
      <c r="B47" s="15" t="n">
        <f aca="false">IF(C47&lt;=9,YEAR(A47),YEAR(A47)+1)</f>
        <v>1925</v>
      </c>
      <c r="C47" s="15" t="n">
        <f aca="false">MONTH(A47)</f>
        <v>1</v>
      </c>
      <c r="D47" s="15" t="n">
        <f aca="false">DAY(A47)</f>
        <v>31</v>
      </c>
      <c r="E47" s="15" t="n">
        <f aca="false">VLOOKUP(B47,WYT!$A$2:$L$97,12)</f>
        <v>1</v>
      </c>
      <c r="F47" s="15" t="n">
        <f aca="false">IF(C47=$W$5,1,0)</f>
        <v>0</v>
      </c>
      <c r="G47" s="15" t="n">
        <f aca="false">IF(C47=10,0,IF(F47=1,1,G46))</f>
        <v>0</v>
      </c>
      <c r="H47" s="5" t="n">
        <f aca="false">VA_base_426_data!B47</f>
        <v>900</v>
      </c>
      <c r="I47" s="5" t="n">
        <f aca="false">IF(AND(E47=1,OR(C47=4,C47=5)),25*12.1/24/D47*1000,0)</f>
        <v>0</v>
      </c>
      <c r="J47" s="5" t="n">
        <f aca="false">VA_base_426_data!C47</f>
        <v>900</v>
      </c>
      <c r="K47" s="5" t="n">
        <f aca="false">H47+I47-J47</f>
        <v>0</v>
      </c>
      <c r="L47" s="5" t="n">
        <f aca="false">MIN($W$7,J47+K47)</f>
        <v>900</v>
      </c>
      <c r="M47" s="5" t="n">
        <f aca="false">VA_base_426_data!D47</f>
        <v>800</v>
      </c>
      <c r="N47" s="5" t="n">
        <f aca="false">IF(AND(C47=10,E47=1),$W$6,N46-P46)</f>
        <v>43</v>
      </c>
      <c r="O47" s="5" t="n">
        <f aca="false">IF(ABS(M47-L47)&gt;1,MIN(N47/((L47-M47)*24/12.1/1000),D47),D47)</f>
        <v>31</v>
      </c>
      <c r="P47" s="5" t="n">
        <f aca="false">MIN(IF(AND(G47,E47),(L47-M47)*24/12.1*O47/1000,0),N47)</f>
        <v>0</v>
      </c>
      <c r="Q47" s="5" t="n">
        <f aca="false">IF(P47&gt;0,P47/O47*12.1/24*1000+M47,0)</f>
        <v>0</v>
      </c>
      <c r="R47" s="0" t="n">
        <f aca="false">IF(Q47&gt;0,TRUNC(O47),0)</f>
        <v>0</v>
      </c>
      <c r="S47" s="5" t="n">
        <f aca="false">(M47*(D47-R47)+(Q47*R47))/D47</f>
        <v>800</v>
      </c>
      <c r="T47" s="6" t="n">
        <f aca="false">(Q47-M47)*R47*24/12.1/1000</f>
        <v>-0</v>
      </c>
    </row>
    <row r="48" customFormat="false" ht="14.35" hidden="false" customHeight="false" outlineLevel="0" collapsed="false">
      <c r="A48" s="4" t="n">
        <v>9191</v>
      </c>
      <c r="B48" s="15" t="n">
        <f aca="false">IF(C48&lt;=9,YEAR(A48),YEAR(A48)+1)</f>
        <v>1925</v>
      </c>
      <c r="C48" s="15" t="n">
        <f aca="false">MONTH(A48)</f>
        <v>2</v>
      </c>
      <c r="D48" s="15" t="n">
        <f aca="false">DAY(A48)</f>
        <v>28</v>
      </c>
      <c r="E48" s="15" t="n">
        <f aca="false">VLOOKUP(B48,WYT!$A$2:$L$97,12)</f>
        <v>1</v>
      </c>
      <c r="F48" s="15" t="n">
        <f aca="false">IF(C48=$W$5,1,0)</f>
        <v>1</v>
      </c>
      <c r="G48" s="15" t="n">
        <f aca="false">IF(C48=10,0,IF(F48=1,1,G47))</f>
        <v>1</v>
      </c>
      <c r="H48" s="5" t="n">
        <f aca="false">VA_base_426_data!B48</f>
        <v>900</v>
      </c>
      <c r="I48" s="5" t="n">
        <f aca="false">IF(AND(E48=1,OR(C48=4,C48=5)),25*12.1/24/D48*1000,0)</f>
        <v>0</v>
      </c>
      <c r="J48" s="5" t="n">
        <f aca="false">VA_base_426_data!C48</f>
        <v>900</v>
      </c>
      <c r="K48" s="5" t="n">
        <f aca="false">H48+I48-J48</f>
        <v>0</v>
      </c>
      <c r="L48" s="5" t="n">
        <f aca="false">MIN($W$7,J48+K48)</f>
        <v>900</v>
      </c>
      <c r="M48" s="5" t="n">
        <f aca="false">VA_base_426_data!D48</f>
        <v>800</v>
      </c>
      <c r="N48" s="5" t="n">
        <f aca="false">IF(AND(C48=10,E48=1),$W$6,N47-P47)</f>
        <v>43</v>
      </c>
      <c r="O48" s="5" t="n">
        <f aca="false">IF(ABS(M48-L48)&gt;1,MIN(N48/((L48-M48)*24/12.1/1000),D48),D48)</f>
        <v>28</v>
      </c>
      <c r="P48" s="5" t="n">
        <f aca="false">MIN(IF(AND(G48,E48),(L48-M48)*24/12.1*O48/1000,0),N48)</f>
        <v>5.55371900826446</v>
      </c>
      <c r="Q48" s="5" t="n">
        <f aca="false">IF(P48&gt;0,P48/O48*12.1/24*1000+M48,0)</f>
        <v>900</v>
      </c>
      <c r="R48" s="0" t="n">
        <f aca="false">IF(Q48&gt;0,TRUNC(O48),0)</f>
        <v>28</v>
      </c>
      <c r="S48" s="5" t="n">
        <f aca="false">(M48*(D48-R48)+(Q48*R48))/D48</f>
        <v>900</v>
      </c>
      <c r="T48" s="6" t="n">
        <f aca="false">(Q48-M48)*R48*24/12.1/1000</f>
        <v>5.55371900826446</v>
      </c>
    </row>
    <row r="49" customFormat="false" ht="14.35" hidden="false" customHeight="false" outlineLevel="0" collapsed="false">
      <c r="A49" s="4" t="n">
        <v>9222</v>
      </c>
      <c r="B49" s="15" t="n">
        <f aca="false">IF(C49&lt;=9,YEAR(A49),YEAR(A49)+1)</f>
        <v>1925</v>
      </c>
      <c r="C49" s="15" t="n">
        <f aca="false">MONTH(A49)</f>
        <v>3</v>
      </c>
      <c r="D49" s="15" t="n">
        <f aca="false">DAY(A49)</f>
        <v>31</v>
      </c>
      <c r="E49" s="15" t="n">
        <f aca="false">VLOOKUP(B49,WYT!$A$2:$L$97,12)</f>
        <v>1</v>
      </c>
      <c r="F49" s="15" t="n">
        <f aca="false">IF(C49=$W$5,1,0)</f>
        <v>0</v>
      </c>
      <c r="G49" s="15" t="n">
        <f aca="false">IF(C49=10,0,IF(F49=1,1,G48))</f>
        <v>1</v>
      </c>
      <c r="H49" s="5" t="n">
        <f aca="false">VA_base_426_data!B49</f>
        <v>800</v>
      </c>
      <c r="I49" s="5" t="n">
        <f aca="false">IF(AND(E49=1,OR(C49=4,C49=5)),25*12.1/24/D49*1000,0)</f>
        <v>0</v>
      </c>
      <c r="J49" s="5" t="n">
        <f aca="false">VA_base_426_data!C49</f>
        <v>750</v>
      </c>
      <c r="K49" s="5" t="n">
        <f aca="false">H49+I49-J49</f>
        <v>49.9999999999999</v>
      </c>
      <c r="L49" s="5" t="n">
        <f aca="false">MIN($W$7,J49+K49)</f>
        <v>800</v>
      </c>
      <c r="M49" s="5" t="n">
        <f aca="false">VA_base_426_data!D49</f>
        <v>800</v>
      </c>
      <c r="N49" s="5" t="n">
        <f aca="false">IF(AND(C49=10,E49=1),$W$6,N48-P48)</f>
        <v>37.4462809917355</v>
      </c>
      <c r="O49" s="5" t="n">
        <f aca="false">IF(ABS(M49-L49)&gt;1,MIN(N49/((L49-M49)*24/12.1/1000),D49),D49)</f>
        <v>31</v>
      </c>
      <c r="P49" s="5" t="n">
        <f aca="false">MIN(IF(AND(G49,E49),(L49-M49)*24/12.1*O49/1000,0),N49)</f>
        <v>0</v>
      </c>
      <c r="Q49" s="5" t="n">
        <f aca="false">IF(P49&gt;0,P49/O49*12.1/24*1000+M49,0)</f>
        <v>0</v>
      </c>
      <c r="R49" s="0" t="n">
        <f aca="false">IF(Q49&gt;0,TRUNC(O49),0)</f>
        <v>0</v>
      </c>
      <c r="S49" s="5" t="n">
        <f aca="false">(M49*(D49-R49)+(Q49*R49))/D49</f>
        <v>800</v>
      </c>
      <c r="T49" s="6" t="n">
        <f aca="false">(Q49-M49)*R49*24/12.1/1000</f>
        <v>-0</v>
      </c>
    </row>
    <row r="50" customFormat="false" ht="14.35" hidden="false" customHeight="false" outlineLevel="0" collapsed="false">
      <c r="A50" s="4" t="n">
        <v>9252</v>
      </c>
      <c r="B50" s="15" t="n">
        <f aca="false">IF(C50&lt;=9,YEAR(A50),YEAR(A50)+1)</f>
        <v>1925</v>
      </c>
      <c r="C50" s="15" t="n">
        <f aca="false">MONTH(A50)</f>
        <v>4</v>
      </c>
      <c r="D50" s="15" t="n">
        <f aca="false">DAY(A50)</f>
        <v>30</v>
      </c>
      <c r="E50" s="15" t="n">
        <f aca="false">VLOOKUP(B50,WYT!$A$2:$L$97,12)</f>
        <v>1</v>
      </c>
      <c r="F50" s="15" t="n">
        <f aca="false">IF(C50=$W$5,1,0)</f>
        <v>0</v>
      </c>
      <c r="G50" s="15" t="n">
        <f aca="false">IF(C50=10,0,IF(F50=1,1,G49))</f>
        <v>1</v>
      </c>
      <c r="H50" s="5" t="n">
        <f aca="false">VA_base_426_data!B50</f>
        <v>750</v>
      </c>
      <c r="I50" s="5" t="n">
        <f aca="false">IF(AND(E50=1,OR(C50=4,C50=5)),25*12.1/24/D50*1000,0)</f>
        <v>420.138888888889</v>
      </c>
      <c r="J50" s="5" t="n">
        <f aca="false">VA_base_426_data!C50</f>
        <v>750</v>
      </c>
      <c r="K50" s="5" t="n">
        <f aca="false">H50+I50-J50</f>
        <v>420.138888888889</v>
      </c>
      <c r="L50" s="5" t="n">
        <f aca="false">MIN($W$7,J50+K50)</f>
        <v>1170.13888888889</v>
      </c>
      <c r="M50" s="5" t="n">
        <f aca="false">VA_base_426_data!D50</f>
        <v>700</v>
      </c>
      <c r="N50" s="5" t="n">
        <f aca="false">IF(AND(C50=10,E50=1),$W$6,N49-P49)</f>
        <v>37.4462809917355</v>
      </c>
      <c r="O50" s="5" t="n">
        <f aca="false">IF(ABS(M50-L50)&gt;1,MIN(N50/((L50-M50)*24/12.1/1000),D50),D50)</f>
        <v>30</v>
      </c>
      <c r="P50" s="5" t="n">
        <f aca="false">MIN(IF(AND(G50,E50),(L50-M50)*24/12.1*O50/1000,0),N50)</f>
        <v>27.9752066115702</v>
      </c>
      <c r="Q50" s="5" t="n">
        <f aca="false">IF(P50&gt;0,P50/O50*12.1/24*1000+M50,0)</f>
        <v>1170.13888888889</v>
      </c>
      <c r="R50" s="0" t="n">
        <f aca="false">IF(Q50&gt;0,TRUNC(O50),0)</f>
        <v>30</v>
      </c>
      <c r="S50" s="5" t="n">
        <f aca="false">(M50*(D50-R50)+(Q50*R50))/D50</f>
        <v>1170.13888888889</v>
      </c>
      <c r="T50" s="6" t="n">
        <f aca="false">(Q50-M50)*R50*24/12.1/1000</f>
        <v>27.9752066115702</v>
      </c>
    </row>
    <row r="51" customFormat="false" ht="14.35" hidden="false" customHeight="false" outlineLevel="0" collapsed="false">
      <c r="A51" s="4" t="n">
        <v>9283</v>
      </c>
      <c r="B51" s="15" t="n">
        <f aca="false">IF(C51&lt;=9,YEAR(A51),YEAR(A51)+1)</f>
        <v>1925</v>
      </c>
      <c r="C51" s="15" t="n">
        <f aca="false">MONTH(A51)</f>
        <v>5</v>
      </c>
      <c r="D51" s="15" t="n">
        <f aca="false">DAY(A51)</f>
        <v>31</v>
      </c>
      <c r="E51" s="15" t="n">
        <f aca="false">VLOOKUP(B51,WYT!$A$2:$L$97,12)</f>
        <v>1</v>
      </c>
      <c r="F51" s="15" t="n">
        <f aca="false">IF(C51=$W$5,1,0)</f>
        <v>0</v>
      </c>
      <c r="G51" s="15" t="n">
        <f aca="false">IF(C51=10,0,IF(F51=1,1,G50))</f>
        <v>1</v>
      </c>
      <c r="H51" s="5" t="n">
        <f aca="false">VA_base_426_data!B51</f>
        <v>750</v>
      </c>
      <c r="I51" s="5" t="n">
        <f aca="false">IF(AND(E51=1,OR(C51=4,C51=5)),25*12.1/24/D51*1000,0)</f>
        <v>406.586021505376</v>
      </c>
      <c r="J51" s="5" t="n">
        <f aca="false">VA_base_426_data!C51</f>
        <v>750</v>
      </c>
      <c r="K51" s="5" t="n">
        <f aca="false">H51+I51-J51</f>
        <v>406.586021505376</v>
      </c>
      <c r="L51" s="5" t="n">
        <f aca="false">MIN($W$7,J51+K51)</f>
        <v>1156.58602150538</v>
      </c>
      <c r="M51" s="5" t="n">
        <f aca="false">VA_base_426_data!D51</f>
        <v>700</v>
      </c>
      <c r="N51" s="5" t="n">
        <f aca="false">IF(AND(C51=10,E51=1),$W$6,N50-P50)</f>
        <v>9.4710743801653</v>
      </c>
      <c r="O51" s="5" t="n">
        <f aca="false">IF(ABS(M51-L51)&gt;1,MIN(N51/((L51-M51)*24/12.1/1000),D51),D51)</f>
        <v>10.4580512216662</v>
      </c>
      <c r="P51" s="5" t="n">
        <f aca="false">MIN(IF(AND(G51,E51),(L51-M51)*24/12.1*O51/1000,0),N51)</f>
        <v>9.4710743801653</v>
      </c>
      <c r="Q51" s="5" t="n">
        <f aca="false">IF(P51&gt;0,P51/O51*12.1/24*1000+M51,0)</f>
        <v>1156.58602150538</v>
      </c>
      <c r="R51" s="0" t="n">
        <f aca="false">IF(Q51&gt;0,TRUNC(O51),0)</f>
        <v>10</v>
      </c>
      <c r="S51" s="5" t="n">
        <f aca="false">(M51*(D51-R51)+(Q51*R51))/D51</f>
        <v>847.285813388831</v>
      </c>
      <c r="T51" s="6" t="n">
        <f aca="false">(Q51-M51)*R51*24/12.1/1000</f>
        <v>9.05625166622234</v>
      </c>
    </row>
    <row r="52" customFormat="false" ht="14.35" hidden="false" customHeight="false" outlineLevel="0" collapsed="false">
      <c r="A52" s="4" t="n">
        <v>9313</v>
      </c>
      <c r="B52" s="15" t="n">
        <f aca="false">IF(C52&lt;=9,YEAR(A52),YEAR(A52)+1)</f>
        <v>1925</v>
      </c>
      <c r="C52" s="15" t="n">
        <f aca="false">MONTH(A52)</f>
        <v>6</v>
      </c>
      <c r="D52" s="15" t="n">
        <f aca="false">DAY(A52)</f>
        <v>30</v>
      </c>
      <c r="E52" s="15" t="n">
        <f aca="false">VLOOKUP(B52,WYT!$A$2:$L$97,12)</f>
        <v>1</v>
      </c>
      <c r="F52" s="15" t="n">
        <f aca="false">IF(C52=$W$5,1,0)</f>
        <v>0</v>
      </c>
      <c r="G52" s="15" t="n">
        <f aca="false">IF(C52=10,0,IF(F52=1,1,G51))</f>
        <v>1</v>
      </c>
      <c r="H52" s="5" t="n">
        <f aca="false">VA_base_426_data!B52</f>
        <v>1056.30823662604</v>
      </c>
      <c r="I52" s="5" t="n">
        <f aca="false">IF(AND(E52=1,OR(C52=4,C52=5)),25*12.1/24/D52*1000,0)</f>
        <v>0</v>
      </c>
      <c r="J52" s="5" t="n">
        <f aca="false">VA_base_426_data!C52</f>
        <v>750</v>
      </c>
      <c r="K52" s="5" t="n">
        <f aca="false">H52+I52-J52</f>
        <v>306.308236626036</v>
      </c>
      <c r="L52" s="5" t="n">
        <f aca="false">MIN($W$7,J52+K52)</f>
        <v>1056.30823662604</v>
      </c>
      <c r="M52" s="5" t="n">
        <f aca="false">VA_base_426_data!D52</f>
        <v>700</v>
      </c>
      <c r="N52" s="5" t="n">
        <f aca="false">IF(AND(C52=10,E52=1),$W$6,N51-P51)</f>
        <v>0</v>
      </c>
      <c r="O52" s="5" t="n">
        <f aca="false">IF(ABS(M52-L52)&gt;1,MIN(N52/((L52-M52)*24/12.1/1000),D52),D52)</f>
        <v>0</v>
      </c>
      <c r="P52" s="5" t="n">
        <f aca="false">MIN(IF(AND(G52,E52),(L52-M52)*24/12.1*O52/1000,0),N52)</f>
        <v>0</v>
      </c>
      <c r="Q52" s="5" t="n">
        <f aca="false">IF(P52&gt;0,P52/O52*12.1/24*1000+M52,0)</f>
        <v>0</v>
      </c>
      <c r="R52" s="0" t="n">
        <f aca="false">IF(Q52&gt;0,TRUNC(O52),0)</f>
        <v>0</v>
      </c>
      <c r="S52" s="5" t="n">
        <f aca="false">(M52*(D52-R52)+(Q52*R52))/D52</f>
        <v>700</v>
      </c>
      <c r="T52" s="6" t="n">
        <f aca="false">(Q52-M52)*R52*24/12.1/1000</f>
        <v>-0</v>
      </c>
    </row>
    <row r="53" customFormat="false" ht="14.35" hidden="false" customHeight="false" outlineLevel="0" collapsed="false">
      <c r="A53" s="4" t="n">
        <v>9344</v>
      </c>
      <c r="B53" s="15" t="n">
        <f aca="false">IF(C53&lt;=9,YEAR(A53),YEAR(A53)+1)</f>
        <v>1925</v>
      </c>
      <c r="C53" s="15" t="n">
        <f aca="false">MONTH(A53)</f>
        <v>7</v>
      </c>
      <c r="D53" s="15" t="n">
        <f aca="false">DAY(A53)</f>
        <v>31</v>
      </c>
      <c r="E53" s="15" t="n">
        <f aca="false">VLOOKUP(B53,WYT!$A$2:$L$97,12)</f>
        <v>1</v>
      </c>
      <c r="F53" s="15" t="n">
        <f aca="false">IF(C53=$W$5,1,0)</f>
        <v>0</v>
      </c>
      <c r="G53" s="15" t="n">
        <f aca="false">IF(C53=10,0,IF(F53=1,1,G52))</f>
        <v>1</v>
      </c>
      <c r="H53" s="5" t="n">
        <f aca="false">VA_base_426_data!B53</f>
        <v>6184.13708223553</v>
      </c>
      <c r="I53" s="5" t="n">
        <f aca="false">IF(AND(E53=1,OR(C53=4,C53=5)),25*12.1/24/D53*1000,0)</f>
        <v>0</v>
      </c>
      <c r="J53" s="5" t="n">
        <f aca="false">VA_base_426_data!C53</f>
        <v>750</v>
      </c>
      <c r="K53" s="5" t="n">
        <f aca="false">H53+I53-J53</f>
        <v>5434.13708223553</v>
      </c>
      <c r="L53" s="5" t="n">
        <f aca="false">MIN($W$7,J53+K53)</f>
        <v>2000</v>
      </c>
      <c r="M53" s="5" t="n">
        <f aca="false">VA_base_426_data!D53</f>
        <v>700</v>
      </c>
      <c r="N53" s="5" t="n">
        <f aca="false">IF(AND(C53=10,E53=1),$W$6,N52-P52)</f>
        <v>0</v>
      </c>
      <c r="O53" s="5" t="n">
        <f aca="false">IF(ABS(M53-L53)&gt;1,MIN(N53/((L53-M53)*24/12.1/1000),D53),D53)</f>
        <v>0</v>
      </c>
      <c r="P53" s="5" t="n">
        <f aca="false">MIN(IF(AND(G53,E53),(L53-M53)*24/12.1*O53/1000,0),N53)</f>
        <v>0</v>
      </c>
      <c r="Q53" s="5" t="n">
        <f aca="false">IF(P53&gt;0,P53/O53*12.1/24*1000+M53,0)</f>
        <v>0</v>
      </c>
      <c r="R53" s="0" t="n">
        <f aca="false">IF(Q53&gt;0,TRUNC(O53),0)</f>
        <v>0</v>
      </c>
      <c r="S53" s="5" t="n">
        <f aca="false">(M53*(D53-R53)+(Q53*R53))/D53</f>
        <v>700</v>
      </c>
      <c r="T53" s="6" t="n">
        <f aca="false">(Q53-M53)*R53*24/12.1/1000</f>
        <v>-0</v>
      </c>
    </row>
    <row r="54" customFormat="false" ht="14.35" hidden="false" customHeight="false" outlineLevel="0" collapsed="false">
      <c r="A54" s="4" t="n">
        <v>9375</v>
      </c>
      <c r="B54" s="15" t="n">
        <f aca="false">IF(C54&lt;=9,YEAR(A54),YEAR(A54)+1)</f>
        <v>1925</v>
      </c>
      <c r="C54" s="15" t="n">
        <f aca="false">MONTH(A54)</f>
        <v>8</v>
      </c>
      <c r="D54" s="15" t="n">
        <f aca="false">DAY(A54)</f>
        <v>31</v>
      </c>
      <c r="E54" s="15" t="n">
        <f aca="false">VLOOKUP(B54,WYT!$A$2:$L$97,12)</f>
        <v>1</v>
      </c>
      <c r="F54" s="15" t="n">
        <f aca="false">IF(C54=$W$5,1,0)</f>
        <v>0</v>
      </c>
      <c r="G54" s="15" t="n">
        <f aca="false">IF(C54=10,0,IF(F54=1,1,G53))</f>
        <v>1</v>
      </c>
      <c r="H54" s="5" t="n">
        <f aca="false">VA_base_426_data!B54</f>
        <v>1825.11587035026</v>
      </c>
      <c r="I54" s="5" t="n">
        <f aca="false">IF(AND(E54=1,OR(C54=4,C54=5)),25*12.1/24/D54*1000,0)</f>
        <v>0</v>
      </c>
      <c r="J54" s="5" t="n">
        <f aca="false">VA_base_426_data!C54</f>
        <v>750</v>
      </c>
      <c r="K54" s="5" t="n">
        <f aca="false">H54+I54-J54</f>
        <v>1075.11587035026</v>
      </c>
      <c r="L54" s="5" t="n">
        <f aca="false">MIN($W$7,J54+K54)</f>
        <v>1825.11587035026</v>
      </c>
      <c r="M54" s="5" t="n">
        <f aca="false">VA_base_426_data!D54</f>
        <v>700</v>
      </c>
      <c r="N54" s="5" t="n">
        <f aca="false">IF(AND(C54=10,E54=1),$W$6,N53-P53)</f>
        <v>0</v>
      </c>
      <c r="O54" s="5" t="n">
        <f aca="false">IF(ABS(M54-L54)&gt;1,MIN(N54/((L54-M54)*24/12.1/1000),D54),D54)</f>
        <v>0</v>
      </c>
      <c r="P54" s="5" t="n">
        <f aca="false">MIN(IF(AND(G54,E54),(L54-M54)*24/12.1*O54/1000,0),N54)</f>
        <v>0</v>
      </c>
      <c r="Q54" s="5" t="n">
        <f aca="false">IF(P54&gt;0,P54/O54*12.1/24*1000+M54,0)</f>
        <v>0</v>
      </c>
      <c r="R54" s="0" t="n">
        <f aca="false">IF(Q54&gt;0,TRUNC(O54),0)</f>
        <v>0</v>
      </c>
      <c r="S54" s="5" t="n">
        <f aca="false">(M54*(D54-R54)+(Q54*R54))/D54</f>
        <v>700</v>
      </c>
      <c r="T54" s="6" t="n">
        <f aca="false">(Q54-M54)*R54*24/12.1/1000</f>
        <v>-0</v>
      </c>
    </row>
    <row r="55" customFormat="false" ht="14.35" hidden="false" customHeight="false" outlineLevel="0" collapsed="false">
      <c r="A55" s="4" t="n">
        <v>9405</v>
      </c>
      <c r="B55" s="15" t="n">
        <f aca="false">IF(C55&lt;=9,YEAR(A55),YEAR(A55)+1)</f>
        <v>1925</v>
      </c>
      <c r="C55" s="15" t="n">
        <f aca="false">MONTH(A55)</f>
        <v>9</v>
      </c>
      <c r="D55" s="15" t="n">
        <f aca="false">DAY(A55)</f>
        <v>30</v>
      </c>
      <c r="E55" s="15" t="n">
        <f aca="false">VLOOKUP(B55,WYT!$A$2:$L$97,12)</f>
        <v>1</v>
      </c>
      <c r="F55" s="15" t="n">
        <f aca="false">IF(C55=$W$5,1,0)</f>
        <v>0</v>
      </c>
      <c r="G55" s="15" t="n">
        <f aca="false">IF(C55=10,0,IF(F55=1,1,G54))</f>
        <v>1</v>
      </c>
      <c r="H55" s="5" t="n">
        <f aca="false">VA_base_426_data!B55</f>
        <v>901.291402492888</v>
      </c>
      <c r="I55" s="5" t="n">
        <f aca="false">IF(AND(E55=1,OR(C55=4,C55=5)),25*12.1/24/D55*1000,0)</f>
        <v>0</v>
      </c>
      <c r="J55" s="5" t="n">
        <f aca="false">VA_base_426_data!C55</f>
        <v>750</v>
      </c>
      <c r="K55" s="5" t="n">
        <f aca="false">H55+I55-J55</f>
        <v>151.291402492888</v>
      </c>
      <c r="L55" s="5" t="n">
        <f aca="false">MIN($W$7,J55+K55)</f>
        <v>901.291402492888</v>
      </c>
      <c r="M55" s="5" t="n">
        <f aca="false">VA_base_426_data!D55</f>
        <v>773.3333333</v>
      </c>
      <c r="N55" s="5" t="n">
        <f aca="false">IF(AND(C55=10,E55=1),$W$6,N54-P54)</f>
        <v>0</v>
      </c>
      <c r="O55" s="5" t="n">
        <f aca="false">IF(ABS(M55-L55)&gt;1,MIN(N55/((L55-M55)*24/12.1/1000),D55),D55)</f>
        <v>0</v>
      </c>
      <c r="P55" s="5" t="n">
        <f aca="false">MIN(IF(AND(G55,E55),(L55-M55)*24/12.1*O55/1000,0),N55)</f>
        <v>0</v>
      </c>
      <c r="Q55" s="5" t="n">
        <f aca="false">IF(P55&gt;0,P55/O55*12.1/24*1000+M55,0)</f>
        <v>0</v>
      </c>
      <c r="R55" s="0" t="n">
        <f aca="false">IF(Q55&gt;0,TRUNC(O55),0)</f>
        <v>0</v>
      </c>
      <c r="S55" s="5" t="n">
        <f aca="false">(M55*(D55-R55)+(Q55*R55))/D55</f>
        <v>773.3333333</v>
      </c>
      <c r="T55" s="6" t="n">
        <f aca="false">(Q55-M55)*R55*24/12.1/1000</f>
        <v>-0</v>
      </c>
    </row>
    <row r="56" customFormat="false" ht="14.35" hidden="false" customHeight="false" outlineLevel="0" collapsed="false">
      <c r="A56" s="4" t="n">
        <v>9436</v>
      </c>
      <c r="B56" s="15" t="n">
        <f aca="false">IF(C56&lt;=9,YEAR(A56),YEAR(A56)+1)</f>
        <v>1926</v>
      </c>
      <c r="C56" s="15" t="n">
        <f aca="false">MONTH(A56)</f>
        <v>10</v>
      </c>
      <c r="D56" s="15" t="n">
        <f aca="false">DAY(A56)</f>
        <v>31</v>
      </c>
      <c r="E56" s="15" t="n">
        <f aca="false">VLOOKUP(B56,WYT!$A$2:$L$97,12)</f>
        <v>1</v>
      </c>
      <c r="F56" s="15" t="n">
        <f aca="false">IF(C56=$W$5,1,0)</f>
        <v>0</v>
      </c>
      <c r="G56" s="15" t="n">
        <f aca="false">IF(C56=10,0,IF(F56=1,1,G55))</f>
        <v>0</v>
      </c>
      <c r="H56" s="5" t="n">
        <f aca="false">VA_base_426_data!B56</f>
        <v>900.000000000001</v>
      </c>
      <c r="I56" s="5" t="n">
        <f aca="false">IF(AND(E56=1,OR(C56=4,C56=5)),25*12.1/24/D56*1000,0)</f>
        <v>0</v>
      </c>
      <c r="J56" s="5" t="n">
        <f aca="false">VA_base_426_data!C56</f>
        <v>900</v>
      </c>
      <c r="K56" s="5" t="n">
        <f aca="false">H56+I56-J56</f>
        <v>0</v>
      </c>
      <c r="L56" s="5" t="n">
        <f aca="false">MIN($W$7,J56+K56)</f>
        <v>900</v>
      </c>
      <c r="M56" s="5" t="n">
        <f aca="false">VA_base_426_data!D56</f>
        <v>800</v>
      </c>
      <c r="N56" s="5" t="n">
        <f aca="false">IF(AND(C56=10,E56=1),$W$6,N55-P55)</f>
        <v>43</v>
      </c>
      <c r="O56" s="5" t="n">
        <f aca="false">IF(ABS(M56-L56)&gt;1,MIN(N56/((L56-M56)*24/12.1/1000),D56),D56)</f>
        <v>31</v>
      </c>
      <c r="P56" s="5" t="n">
        <f aca="false">MIN(IF(AND(G56,E56),(L56-M56)*24/12.1*O56/1000,0),N56)</f>
        <v>0</v>
      </c>
      <c r="Q56" s="5" t="n">
        <f aca="false">IF(P56&gt;0,P56/O56*12.1/24*1000+M56,0)</f>
        <v>0</v>
      </c>
      <c r="R56" s="0" t="n">
        <f aca="false">IF(Q56&gt;0,TRUNC(O56),0)</f>
        <v>0</v>
      </c>
      <c r="S56" s="5" t="n">
        <f aca="false">(M56*(D56-R56)+(Q56*R56))/D56</f>
        <v>800</v>
      </c>
      <c r="T56" s="6" t="n">
        <f aca="false">(Q56-M56)*R56*24/12.1/1000</f>
        <v>-0</v>
      </c>
    </row>
    <row r="57" customFormat="false" ht="14.35" hidden="false" customHeight="false" outlineLevel="0" collapsed="false">
      <c r="A57" s="4" t="n">
        <v>9466</v>
      </c>
      <c r="B57" s="15" t="n">
        <f aca="false">IF(C57&lt;=9,YEAR(A57),YEAR(A57)+1)</f>
        <v>1926</v>
      </c>
      <c r="C57" s="15" t="n">
        <f aca="false">MONTH(A57)</f>
        <v>11</v>
      </c>
      <c r="D57" s="15" t="n">
        <f aca="false">DAY(A57)</f>
        <v>30</v>
      </c>
      <c r="E57" s="15" t="n">
        <f aca="false">VLOOKUP(B57,WYT!$A$2:$L$97,12)</f>
        <v>1</v>
      </c>
      <c r="F57" s="15" t="n">
        <f aca="false">IF(C57=$W$5,1,0)</f>
        <v>0</v>
      </c>
      <c r="G57" s="15" t="n">
        <f aca="false">IF(C57=10,0,IF(F57=1,1,G56))</f>
        <v>0</v>
      </c>
      <c r="H57" s="5" t="n">
        <f aca="false">VA_base_426_data!B57</f>
        <v>900</v>
      </c>
      <c r="I57" s="5" t="n">
        <f aca="false">IF(AND(E57=1,OR(C57=4,C57=5)),25*12.1/24/D57*1000,0)</f>
        <v>0</v>
      </c>
      <c r="J57" s="5" t="n">
        <f aca="false">VA_base_426_data!C57</f>
        <v>900</v>
      </c>
      <c r="K57" s="5" t="n">
        <f aca="false">H57+I57-J57</f>
        <v>0</v>
      </c>
      <c r="L57" s="5" t="n">
        <f aca="false">MIN($W$7,J57+K57)</f>
        <v>900</v>
      </c>
      <c r="M57" s="5" t="n">
        <f aca="false">VA_base_426_data!D57</f>
        <v>800</v>
      </c>
      <c r="N57" s="5" t="n">
        <f aca="false">IF(AND(C57=10,E57=1),$W$6,N56-P56)</f>
        <v>43</v>
      </c>
      <c r="O57" s="5" t="n">
        <f aca="false">IF(ABS(M57-L57)&gt;1,MIN(N57/((L57-M57)*24/12.1/1000),D57),D57)</f>
        <v>30</v>
      </c>
      <c r="P57" s="5" t="n">
        <f aca="false">MIN(IF(AND(G57,E57),(L57-M57)*24/12.1*O57/1000,0),N57)</f>
        <v>0</v>
      </c>
      <c r="Q57" s="5" t="n">
        <f aca="false">IF(P57&gt;0,P57/O57*12.1/24*1000+M57,0)</f>
        <v>0</v>
      </c>
      <c r="R57" s="0" t="n">
        <f aca="false">IF(Q57&gt;0,TRUNC(O57),0)</f>
        <v>0</v>
      </c>
      <c r="S57" s="5" t="n">
        <f aca="false">(M57*(D57-R57)+(Q57*R57))/D57</f>
        <v>800</v>
      </c>
      <c r="T57" s="6" t="n">
        <f aca="false">(Q57-M57)*R57*24/12.1/1000</f>
        <v>-0</v>
      </c>
    </row>
    <row r="58" customFormat="false" ht="14.35" hidden="false" customHeight="false" outlineLevel="0" collapsed="false">
      <c r="A58" s="4" t="n">
        <v>9497</v>
      </c>
      <c r="B58" s="15" t="n">
        <f aca="false">IF(C58&lt;=9,YEAR(A58),YEAR(A58)+1)</f>
        <v>1926</v>
      </c>
      <c r="C58" s="15" t="n">
        <f aca="false">MONTH(A58)</f>
        <v>12</v>
      </c>
      <c r="D58" s="15" t="n">
        <f aca="false">DAY(A58)</f>
        <v>31</v>
      </c>
      <c r="E58" s="15" t="n">
        <f aca="false">VLOOKUP(B58,WYT!$A$2:$L$97,12)</f>
        <v>1</v>
      </c>
      <c r="F58" s="15" t="n">
        <f aca="false">IF(C58=$W$5,1,0)</f>
        <v>0</v>
      </c>
      <c r="G58" s="15" t="n">
        <f aca="false">IF(C58=10,0,IF(F58=1,1,G57))</f>
        <v>0</v>
      </c>
      <c r="H58" s="5" t="n">
        <f aca="false">VA_base_426_data!B58</f>
        <v>1744.58118641401</v>
      </c>
      <c r="I58" s="5" t="n">
        <f aca="false">IF(AND(E58=1,OR(C58=4,C58=5)),25*12.1/24/D58*1000,0)</f>
        <v>0</v>
      </c>
      <c r="J58" s="5" t="n">
        <f aca="false">VA_base_426_data!C58</f>
        <v>900</v>
      </c>
      <c r="K58" s="5" t="n">
        <f aca="false">H58+I58-J58</f>
        <v>844.581186414011</v>
      </c>
      <c r="L58" s="5" t="n">
        <f aca="false">MIN($W$7,J58+K58)</f>
        <v>1744.58118641401</v>
      </c>
      <c r="M58" s="5" t="n">
        <f aca="false">VA_base_426_data!D58</f>
        <v>800</v>
      </c>
      <c r="N58" s="5" t="n">
        <f aca="false">IF(AND(C58=10,E58=1),$W$6,N57-P57)</f>
        <v>43</v>
      </c>
      <c r="O58" s="5" t="n">
        <f aca="false">IF(ABS(M58-L58)&gt;1,MIN(N58/((L58-M58)*24/12.1/1000),D58),D58)</f>
        <v>22.9510887772061</v>
      </c>
      <c r="P58" s="5" t="n">
        <f aca="false">MIN(IF(AND(G58,E58),(L58-M58)*24/12.1*O58/1000,0),N58)</f>
        <v>0</v>
      </c>
      <c r="Q58" s="5" t="n">
        <f aca="false">IF(P58&gt;0,P58/O58*12.1/24*1000+M58,0)</f>
        <v>0</v>
      </c>
      <c r="R58" s="0" t="n">
        <f aca="false">IF(Q58&gt;0,TRUNC(O58),0)</f>
        <v>0</v>
      </c>
      <c r="S58" s="5" t="n">
        <f aca="false">(M58*(D58-R58)+(Q58*R58))/D58</f>
        <v>800</v>
      </c>
      <c r="T58" s="6" t="n">
        <f aca="false">(Q58-M58)*R58*24/12.1/1000</f>
        <v>-0</v>
      </c>
    </row>
    <row r="59" customFormat="false" ht="14.35" hidden="false" customHeight="false" outlineLevel="0" collapsed="false">
      <c r="A59" s="4" t="n">
        <v>9528</v>
      </c>
      <c r="B59" s="15" t="n">
        <f aca="false">IF(C59&lt;=9,YEAR(A59),YEAR(A59)+1)</f>
        <v>1926</v>
      </c>
      <c r="C59" s="15" t="n">
        <f aca="false">MONTH(A59)</f>
        <v>1</v>
      </c>
      <c r="D59" s="15" t="n">
        <f aca="false">DAY(A59)</f>
        <v>31</v>
      </c>
      <c r="E59" s="15" t="n">
        <f aca="false">VLOOKUP(B59,WYT!$A$2:$L$97,12)</f>
        <v>1</v>
      </c>
      <c r="F59" s="15" t="n">
        <f aca="false">IF(C59=$W$5,1,0)</f>
        <v>0</v>
      </c>
      <c r="G59" s="15" t="n">
        <f aca="false">IF(C59=10,0,IF(F59=1,1,G58))</f>
        <v>0</v>
      </c>
      <c r="H59" s="5" t="n">
        <f aca="false">VA_base_426_data!B59</f>
        <v>900</v>
      </c>
      <c r="I59" s="5" t="n">
        <f aca="false">IF(AND(E59=1,OR(C59=4,C59=5)),25*12.1/24/D59*1000,0)</f>
        <v>0</v>
      </c>
      <c r="J59" s="5" t="n">
        <f aca="false">VA_base_426_data!C59</f>
        <v>900</v>
      </c>
      <c r="K59" s="5" t="n">
        <f aca="false">H59+I59-J59</f>
        <v>0</v>
      </c>
      <c r="L59" s="5" t="n">
        <f aca="false">MIN($W$7,J59+K59)</f>
        <v>900</v>
      </c>
      <c r="M59" s="5" t="n">
        <f aca="false">VA_base_426_data!D59</f>
        <v>800</v>
      </c>
      <c r="N59" s="5" t="n">
        <f aca="false">IF(AND(C59=10,E59=1),$W$6,N58-P58)</f>
        <v>43</v>
      </c>
      <c r="O59" s="5" t="n">
        <f aca="false">IF(ABS(M59-L59)&gt;1,MIN(N59/((L59-M59)*24/12.1/1000),D59),D59)</f>
        <v>31</v>
      </c>
      <c r="P59" s="5" t="n">
        <f aca="false">MIN(IF(AND(G59,E59),(L59-M59)*24/12.1*O59/1000,0),N59)</f>
        <v>0</v>
      </c>
      <c r="Q59" s="5" t="n">
        <f aca="false">IF(P59&gt;0,P59/O59*12.1/24*1000+M59,0)</f>
        <v>0</v>
      </c>
      <c r="R59" s="0" t="n">
        <f aca="false">IF(Q59&gt;0,TRUNC(O59),0)</f>
        <v>0</v>
      </c>
      <c r="S59" s="5" t="n">
        <f aca="false">(M59*(D59-R59)+(Q59*R59))/D59</f>
        <v>800</v>
      </c>
      <c r="T59" s="6" t="n">
        <f aca="false">(Q59-M59)*R59*24/12.1/1000</f>
        <v>-0</v>
      </c>
    </row>
    <row r="60" customFormat="false" ht="14.35" hidden="false" customHeight="false" outlineLevel="0" collapsed="false">
      <c r="A60" s="4" t="n">
        <v>9556</v>
      </c>
      <c r="B60" s="15" t="n">
        <f aca="false">IF(C60&lt;=9,YEAR(A60),YEAR(A60)+1)</f>
        <v>1926</v>
      </c>
      <c r="C60" s="15" t="n">
        <f aca="false">MONTH(A60)</f>
        <v>2</v>
      </c>
      <c r="D60" s="15" t="n">
        <f aca="false">DAY(A60)</f>
        <v>28</v>
      </c>
      <c r="E60" s="15" t="n">
        <f aca="false">VLOOKUP(B60,WYT!$A$2:$L$97,12)</f>
        <v>1</v>
      </c>
      <c r="F60" s="15" t="n">
        <f aca="false">IF(C60=$W$5,1,0)</f>
        <v>1</v>
      </c>
      <c r="G60" s="15" t="n">
        <f aca="false">IF(C60=10,0,IF(F60=1,1,G59))</f>
        <v>1</v>
      </c>
      <c r="H60" s="5" t="n">
        <f aca="false">VA_base_426_data!B60</f>
        <v>900</v>
      </c>
      <c r="I60" s="5" t="n">
        <f aca="false">IF(AND(E60=1,OR(C60=4,C60=5)),25*12.1/24/D60*1000,0)</f>
        <v>0</v>
      </c>
      <c r="J60" s="5" t="n">
        <f aca="false">VA_base_426_data!C60</f>
        <v>900</v>
      </c>
      <c r="K60" s="5" t="n">
        <f aca="false">H60+I60-J60</f>
        <v>0</v>
      </c>
      <c r="L60" s="5" t="n">
        <f aca="false">MIN($W$7,J60+K60)</f>
        <v>900</v>
      </c>
      <c r="M60" s="5" t="n">
        <f aca="false">VA_base_426_data!D60</f>
        <v>800</v>
      </c>
      <c r="N60" s="5" t="n">
        <f aca="false">IF(AND(C60=10,E60=1),$W$6,N59-P59)</f>
        <v>43</v>
      </c>
      <c r="O60" s="5" t="n">
        <f aca="false">IF(ABS(M60-L60)&gt;1,MIN(N60/((L60-M60)*24/12.1/1000),D60),D60)</f>
        <v>28</v>
      </c>
      <c r="P60" s="5" t="n">
        <f aca="false">MIN(IF(AND(G60,E60),(L60-M60)*24/12.1*O60/1000,0),N60)</f>
        <v>5.55371900826446</v>
      </c>
      <c r="Q60" s="5" t="n">
        <f aca="false">IF(P60&gt;0,P60/O60*12.1/24*1000+M60,0)</f>
        <v>900</v>
      </c>
      <c r="R60" s="0" t="n">
        <f aca="false">IF(Q60&gt;0,TRUNC(O60),0)</f>
        <v>28</v>
      </c>
      <c r="S60" s="5" t="n">
        <f aca="false">(M60*(D60-R60)+(Q60*R60))/D60</f>
        <v>900</v>
      </c>
      <c r="T60" s="6" t="n">
        <f aca="false">(Q60-M60)*R60*24/12.1/1000</f>
        <v>5.55371900826446</v>
      </c>
    </row>
    <row r="61" customFormat="false" ht="14.35" hidden="false" customHeight="false" outlineLevel="0" collapsed="false">
      <c r="A61" s="4" t="n">
        <v>9587</v>
      </c>
      <c r="B61" s="15" t="n">
        <f aca="false">IF(C61&lt;=9,YEAR(A61),YEAR(A61)+1)</f>
        <v>1926</v>
      </c>
      <c r="C61" s="15" t="n">
        <f aca="false">MONTH(A61)</f>
        <v>3</v>
      </c>
      <c r="D61" s="15" t="n">
        <f aca="false">DAY(A61)</f>
        <v>31</v>
      </c>
      <c r="E61" s="15" t="n">
        <f aca="false">VLOOKUP(B61,WYT!$A$2:$L$97,12)</f>
        <v>1</v>
      </c>
      <c r="F61" s="15" t="n">
        <f aca="false">IF(C61=$W$5,1,0)</f>
        <v>0</v>
      </c>
      <c r="G61" s="15" t="n">
        <f aca="false">IF(C61=10,0,IF(F61=1,1,G60))</f>
        <v>1</v>
      </c>
      <c r="H61" s="5" t="n">
        <f aca="false">VA_base_426_data!B61</f>
        <v>1126.7099268621</v>
      </c>
      <c r="I61" s="5" t="n">
        <f aca="false">IF(AND(E61=1,OR(C61=4,C61=5)),25*12.1/24/D61*1000,0)</f>
        <v>0</v>
      </c>
      <c r="J61" s="5" t="n">
        <f aca="false">VA_base_426_data!C61</f>
        <v>750</v>
      </c>
      <c r="K61" s="5" t="n">
        <f aca="false">H61+I61-J61</f>
        <v>376.709926862102</v>
      </c>
      <c r="L61" s="5" t="n">
        <f aca="false">MIN($W$7,J61+K61)</f>
        <v>1126.7099268621</v>
      </c>
      <c r="M61" s="5" t="n">
        <f aca="false">VA_base_426_data!D61</f>
        <v>800</v>
      </c>
      <c r="N61" s="5" t="n">
        <f aca="false">IF(AND(C61=10,E61=1),$W$6,N60-P60)</f>
        <v>37.4462809917355</v>
      </c>
      <c r="O61" s="5" t="n">
        <f aca="false">IF(ABS(M61-L61)&gt;1,MIN(N61/((L61-M61)*24/12.1/1000),D61),D61)</f>
        <v>31</v>
      </c>
      <c r="P61" s="5" t="n">
        <f aca="false">MIN(IF(AND(G61,E61),(L61-M61)*24/12.1*O61/1000,0),N61)</f>
        <v>20.088610378959</v>
      </c>
      <c r="Q61" s="5" t="n">
        <f aca="false">IF(P61&gt;0,P61/O61*12.1/24*1000+M61,0)</f>
        <v>1126.7099268621</v>
      </c>
      <c r="R61" s="0" t="n">
        <f aca="false">IF(Q61&gt;0,TRUNC(O61),0)</f>
        <v>31</v>
      </c>
      <c r="S61" s="5" t="n">
        <f aca="false">(M61*(D61-R61)+(Q61*R61))/D61</f>
        <v>1126.7099268621</v>
      </c>
      <c r="T61" s="6" t="n">
        <f aca="false">(Q61-M61)*R61*24/12.1/1000</f>
        <v>20.088610378959</v>
      </c>
    </row>
    <row r="62" customFormat="false" ht="14.35" hidden="false" customHeight="false" outlineLevel="0" collapsed="false">
      <c r="A62" s="4" t="n">
        <v>9617</v>
      </c>
      <c r="B62" s="15" t="n">
        <f aca="false">IF(C62&lt;=9,YEAR(A62),YEAR(A62)+1)</f>
        <v>1926</v>
      </c>
      <c r="C62" s="15" t="n">
        <f aca="false">MONTH(A62)</f>
        <v>4</v>
      </c>
      <c r="D62" s="15" t="n">
        <f aca="false">DAY(A62)</f>
        <v>30</v>
      </c>
      <c r="E62" s="15" t="n">
        <f aca="false">VLOOKUP(B62,WYT!$A$2:$L$97,12)</f>
        <v>1</v>
      </c>
      <c r="F62" s="15" t="n">
        <f aca="false">IF(C62=$W$5,1,0)</f>
        <v>0</v>
      </c>
      <c r="G62" s="15" t="n">
        <f aca="false">IF(C62=10,0,IF(F62=1,1,G61))</f>
        <v>1</v>
      </c>
      <c r="H62" s="5" t="n">
        <f aca="false">VA_base_426_data!B62</f>
        <v>750</v>
      </c>
      <c r="I62" s="5" t="n">
        <f aca="false">IF(AND(E62=1,OR(C62=4,C62=5)),25*12.1/24/D62*1000,0)</f>
        <v>420.138888888889</v>
      </c>
      <c r="J62" s="5" t="n">
        <f aca="false">VA_base_426_data!C62</f>
        <v>750</v>
      </c>
      <c r="K62" s="5" t="n">
        <f aca="false">H62+I62-J62</f>
        <v>420.138888888889</v>
      </c>
      <c r="L62" s="5" t="n">
        <f aca="false">MIN($W$7,J62+K62)</f>
        <v>1170.13888888889</v>
      </c>
      <c r="M62" s="5" t="n">
        <f aca="false">VA_base_426_data!D62</f>
        <v>700</v>
      </c>
      <c r="N62" s="5" t="n">
        <f aca="false">IF(AND(C62=10,E62=1),$W$6,N61-P61)</f>
        <v>17.3576706127765</v>
      </c>
      <c r="O62" s="5" t="n">
        <f aca="false">IF(ABS(M62-L62)&gt;1,MIN(N62/((L62-M62)*24/12.1/1000),D62),D62)</f>
        <v>18.6139865064635</v>
      </c>
      <c r="P62" s="5" t="n">
        <f aca="false">MIN(IF(AND(G62,E62),(L62-M62)*24/12.1*O62/1000,0),N62)</f>
        <v>17.3576706127765</v>
      </c>
      <c r="Q62" s="5" t="n">
        <f aca="false">IF(P62&gt;0,P62/O62*12.1/24*1000+M62,0)</f>
        <v>1170.13888888889</v>
      </c>
      <c r="R62" s="0" t="n">
        <f aca="false">IF(Q62&gt;0,TRUNC(O62),0)</f>
        <v>18</v>
      </c>
      <c r="S62" s="5" t="n">
        <f aca="false">(M62*(D62-R62)+(Q62*R62))/D62</f>
        <v>982.083333333333</v>
      </c>
      <c r="T62" s="6" t="n">
        <f aca="false">(Q62-M62)*R62*24/12.1/1000</f>
        <v>16.7851239669421</v>
      </c>
    </row>
    <row r="63" customFormat="false" ht="14.35" hidden="false" customHeight="false" outlineLevel="0" collapsed="false">
      <c r="A63" s="4" t="n">
        <v>9648</v>
      </c>
      <c r="B63" s="15" t="n">
        <f aca="false">IF(C63&lt;=9,YEAR(A63),YEAR(A63)+1)</f>
        <v>1926</v>
      </c>
      <c r="C63" s="15" t="n">
        <f aca="false">MONTH(A63)</f>
        <v>5</v>
      </c>
      <c r="D63" s="15" t="n">
        <f aca="false">DAY(A63)</f>
        <v>31</v>
      </c>
      <c r="E63" s="15" t="n">
        <f aca="false">VLOOKUP(B63,WYT!$A$2:$L$97,12)</f>
        <v>1</v>
      </c>
      <c r="F63" s="15" t="n">
        <f aca="false">IF(C63=$W$5,1,0)</f>
        <v>0</v>
      </c>
      <c r="G63" s="15" t="n">
        <f aca="false">IF(C63=10,0,IF(F63=1,1,G62))</f>
        <v>1</v>
      </c>
      <c r="H63" s="5" t="n">
        <f aca="false">VA_base_426_data!B63</f>
        <v>3103.48242879183</v>
      </c>
      <c r="I63" s="5" t="n">
        <f aca="false">IF(AND(E63=1,OR(C63=4,C63=5)),25*12.1/24/D63*1000,0)</f>
        <v>406.586021505376</v>
      </c>
      <c r="J63" s="5" t="n">
        <f aca="false">VA_base_426_data!C63</f>
        <v>750</v>
      </c>
      <c r="K63" s="5" t="n">
        <f aca="false">H63+I63-J63</f>
        <v>2760.06845029721</v>
      </c>
      <c r="L63" s="5" t="n">
        <f aca="false">MIN($W$7,J63+K63)</f>
        <v>2000</v>
      </c>
      <c r="M63" s="5" t="n">
        <f aca="false">VA_base_426_data!D63</f>
        <v>700</v>
      </c>
      <c r="N63" s="5" t="n">
        <f aca="false">IF(AND(C63=10,E63=1),$W$6,N62-P62)</f>
        <v>0</v>
      </c>
      <c r="O63" s="5" t="n">
        <f aca="false">IF(ABS(M63-L63)&gt;1,MIN(N63/((L63-M63)*24/12.1/1000),D63),D63)</f>
        <v>0</v>
      </c>
      <c r="P63" s="5" t="n">
        <f aca="false">MIN(IF(AND(G63,E63),(L63-M63)*24/12.1*O63/1000,0),N63)</f>
        <v>0</v>
      </c>
      <c r="Q63" s="5" t="n">
        <f aca="false">IF(P63&gt;0,P63/O63*12.1/24*1000+M63,0)</f>
        <v>0</v>
      </c>
      <c r="R63" s="0" t="n">
        <f aca="false">IF(Q63&gt;0,TRUNC(O63),0)</f>
        <v>0</v>
      </c>
      <c r="S63" s="5" t="n">
        <f aca="false">(M63*(D63-R63)+(Q63*R63))/D63</f>
        <v>700</v>
      </c>
      <c r="T63" s="6" t="n">
        <f aca="false">(Q63-M63)*R63*24/12.1/1000</f>
        <v>-0</v>
      </c>
    </row>
    <row r="64" customFormat="false" ht="14.35" hidden="false" customHeight="false" outlineLevel="0" collapsed="false">
      <c r="A64" s="4" t="n">
        <v>9678</v>
      </c>
      <c r="B64" s="15" t="n">
        <f aca="false">IF(C64&lt;=9,YEAR(A64),YEAR(A64)+1)</f>
        <v>1926</v>
      </c>
      <c r="C64" s="15" t="n">
        <f aca="false">MONTH(A64)</f>
        <v>6</v>
      </c>
      <c r="D64" s="15" t="n">
        <f aca="false">DAY(A64)</f>
        <v>30</v>
      </c>
      <c r="E64" s="15" t="n">
        <f aca="false">VLOOKUP(B64,WYT!$A$2:$L$97,12)</f>
        <v>1</v>
      </c>
      <c r="F64" s="15" t="n">
        <f aca="false">IF(C64=$W$5,1,0)</f>
        <v>0</v>
      </c>
      <c r="G64" s="15" t="n">
        <f aca="false">IF(C64=10,0,IF(F64=1,1,G63))</f>
        <v>1</v>
      </c>
      <c r="H64" s="5" t="n">
        <f aca="false">VA_base_426_data!B64</f>
        <v>5735.42790999036</v>
      </c>
      <c r="I64" s="5" t="n">
        <f aca="false">IF(AND(E64=1,OR(C64=4,C64=5)),25*12.1/24/D64*1000,0)</f>
        <v>0</v>
      </c>
      <c r="J64" s="5" t="n">
        <f aca="false">VA_base_426_data!C64</f>
        <v>750</v>
      </c>
      <c r="K64" s="5" t="n">
        <f aca="false">H64+I64-J64</f>
        <v>4985.42790999036</v>
      </c>
      <c r="L64" s="5" t="n">
        <f aca="false">MIN($W$7,J64+K64)</f>
        <v>2000</v>
      </c>
      <c r="M64" s="5" t="n">
        <f aca="false">VA_base_426_data!D64</f>
        <v>700</v>
      </c>
      <c r="N64" s="5" t="n">
        <f aca="false">IF(AND(C64=10,E64=1),$W$6,N63-P63)</f>
        <v>0</v>
      </c>
      <c r="O64" s="5" t="n">
        <f aca="false">IF(ABS(M64-L64)&gt;1,MIN(N64/((L64-M64)*24/12.1/1000),D64),D64)</f>
        <v>0</v>
      </c>
      <c r="P64" s="5" t="n">
        <f aca="false">MIN(IF(AND(G64,E64),(L64-M64)*24/12.1*O64/1000,0),N64)</f>
        <v>0</v>
      </c>
      <c r="Q64" s="5" t="n">
        <f aca="false">IF(P64&gt;0,P64/O64*12.1/24*1000+M64,0)</f>
        <v>0</v>
      </c>
      <c r="R64" s="0" t="n">
        <f aca="false">IF(Q64&gt;0,TRUNC(O64),0)</f>
        <v>0</v>
      </c>
      <c r="S64" s="5" t="n">
        <f aca="false">(M64*(D64-R64)+(Q64*R64))/D64</f>
        <v>700</v>
      </c>
      <c r="T64" s="6" t="n">
        <f aca="false">(Q64-M64)*R64*24/12.1/1000</f>
        <v>-0</v>
      </c>
    </row>
    <row r="65" customFormat="false" ht="14.35" hidden="false" customHeight="false" outlineLevel="0" collapsed="false">
      <c r="A65" s="4" t="n">
        <v>9709</v>
      </c>
      <c r="B65" s="15" t="n">
        <f aca="false">IF(C65&lt;=9,YEAR(A65),YEAR(A65)+1)</f>
        <v>1926</v>
      </c>
      <c r="C65" s="15" t="n">
        <f aca="false">MONTH(A65)</f>
        <v>7</v>
      </c>
      <c r="D65" s="15" t="n">
        <f aca="false">DAY(A65)</f>
        <v>31</v>
      </c>
      <c r="E65" s="15" t="n">
        <f aca="false">VLOOKUP(B65,WYT!$A$2:$L$97,12)</f>
        <v>1</v>
      </c>
      <c r="F65" s="15" t="n">
        <f aca="false">IF(C65=$W$5,1,0)</f>
        <v>0</v>
      </c>
      <c r="G65" s="15" t="n">
        <f aca="false">IF(C65=10,0,IF(F65=1,1,G64))</f>
        <v>1</v>
      </c>
      <c r="H65" s="5" t="n">
        <f aca="false">VA_base_426_data!B65</f>
        <v>7615.83156085365</v>
      </c>
      <c r="I65" s="5" t="n">
        <f aca="false">IF(AND(E65=1,OR(C65=4,C65=5)),25*12.1/24/D65*1000,0)</f>
        <v>0</v>
      </c>
      <c r="J65" s="5" t="n">
        <f aca="false">VA_base_426_data!C65</f>
        <v>750</v>
      </c>
      <c r="K65" s="5" t="n">
        <f aca="false">H65+I65-J65</f>
        <v>6865.83156085365</v>
      </c>
      <c r="L65" s="5" t="n">
        <f aca="false">MIN($W$7,J65+K65)</f>
        <v>2000</v>
      </c>
      <c r="M65" s="5" t="n">
        <f aca="false">VA_base_426_data!D65</f>
        <v>700</v>
      </c>
      <c r="N65" s="5" t="n">
        <f aca="false">IF(AND(C65=10,E65=1),$W$6,N64-P64)</f>
        <v>0</v>
      </c>
      <c r="O65" s="5" t="n">
        <f aca="false">IF(ABS(M65-L65)&gt;1,MIN(N65/((L65-M65)*24/12.1/1000),D65),D65)</f>
        <v>0</v>
      </c>
      <c r="P65" s="5" t="n">
        <f aca="false">MIN(IF(AND(G65,E65),(L65-M65)*24/12.1*O65/1000,0),N65)</f>
        <v>0</v>
      </c>
      <c r="Q65" s="5" t="n">
        <f aca="false">IF(P65&gt;0,P65/O65*12.1/24*1000+M65,0)</f>
        <v>0</v>
      </c>
      <c r="R65" s="0" t="n">
        <f aca="false">IF(Q65&gt;0,TRUNC(O65),0)</f>
        <v>0</v>
      </c>
      <c r="S65" s="5" t="n">
        <f aca="false">(M65*(D65-R65)+(Q65*R65))/D65</f>
        <v>700</v>
      </c>
      <c r="T65" s="6" t="n">
        <f aca="false">(Q65-M65)*R65*24/12.1/1000</f>
        <v>-0</v>
      </c>
    </row>
    <row r="66" customFormat="false" ht="14.35" hidden="false" customHeight="false" outlineLevel="0" collapsed="false">
      <c r="A66" s="4" t="n">
        <v>9740</v>
      </c>
      <c r="B66" s="15" t="n">
        <f aca="false">IF(C66&lt;=9,YEAR(A66),YEAR(A66)+1)</f>
        <v>1926</v>
      </c>
      <c r="C66" s="15" t="n">
        <f aca="false">MONTH(A66)</f>
        <v>8</v>
      </c>
      <c r="D66" s="15" t="n">
        <f aca="false">DAY(A66)</f>
        <v>31</v>
      </c>
      <c r="E66" s="15" t="n">
        <f aca="false">VLOOKUP(B66,WYT!$A$2:$L$97,12)</f>
        <v>1</v>
      </c>
      <c r="F66" s="15" t="n">
        <f aca="false">IF(C66=$W$5,1,0)</f>
        <v>0</v>
      </c>
      <c r="G66" s="15" t="n">
        <f aca="false">IF(C66=10,0,IF(F66=1,1,G65))</f>
        <v>1</v>
      </c>
      <c r="H66" s="5" t="n">
        <f aca="false">VA_base_426_data!B66</f>
        <v>2105.99342307134</v>
      </c>
      <c r="I66" s="5" t="n">
        <f aca="false">IF(AND(E66=1,OR(C66=4,C66=5)),25*12.1/24/D66*1000,0)</f>
        <v>0</v>
      </c>
      <c r="J66" s="5" t="n">
        <f aca="false">VA_base_426_data!C66</f>
        <v>750</v>
      </c>
      <c r="K66" s="5" t="n">
        <f aca="false">H66+I66-J66</f>
        <v>1355.99342307134</v>
      </c>
      <c r="L66" s="5" t="n">
        <f aca="false">MIN($W$7,J66+K66)</f>
        <v>2000</v>
      </c>
      <c r="M66" s="5" t="n">
        <f aca="false">VA_base_426_data!D66</f>
        <v>700</v>
      </c>
      <c r="N66" s="5" t="n">
        <f aca="false">IF(AND(C66=10,E66=1),$W$6,N65-P65)</f>
        <v>0</v>
      </c>
      <c r="O66" s="5" t="n">
        <f aca="false">IF(ABS(M66-L66)&gt;1,MIN(N66/((L66-M66)*24/12.1/1000),D66),D66)</f>
        <v>0</v>
      </c>
      <c r="P66" s="5" t="n">
        <f aca="false">MIN(IF(AND(G66,E66),(L66-M66)*24/12.1*O66/1000,0),N66)</f>
        <v>0</v>
      </c>
      <c r="Q66" s="5" t="n">
        <f aca="false">IF(P66&gt;0,P66/O66*12.1/24*1000+M66,0)</f>
        <v>0</v>
      </c>
      <c r="R66" s="0" t="n">
        <f aca="false">IF(Q66&gt;0,TRUNC(O66),0)</f>
        <v>0</v>
      </c>
      <c r="S66" s="5" t="n">
        <f aca="false">(M66*(D66-R66)+(Q66*R66))/D66</f>
        <v>700</v>
      </c>
      <c r="T66" s="6" t="n">
        <f aca="false">(Q66-M66)*R66*24/12.1/1000</f>
        <v>-0</v>
      </c>
    </row>
    <row r="67" customFormat="false" ht="14.35" hidden="false" customHeight="false" outlineLevel="0" collapsed="false">
      <c r="A67" s="4" t="n">
        <v>9770</v>
      </c>
      <c r="B67" s="15" t="n">
        <f aca="false">IF(C67&lt;=9,YEAR(A67),YEAR(A67)+1)</f>
        <v>1926</v>
      </c>
      <c r="C67" s="15" t="n">
        <f aca="false">MONTH(A67)</f>
        <v>9</v>
      </c>
      <c r="D67" s="15" t="n">
        <f aca="false">DAY(A67)</f>
        <v>30</v>
      </c>
      <c r="E67" s="15" t="n">
        <f aca="false">VLOOKUP(B67,WYT!$A$2:$L$97,12)</f>
        <v>1</v>
      </c>
      <c r="F67" s="15" t="n">
        <f aca="false">IF(C67=$W$5,1,0)</f>
        <v>0</v>
      </c>
      <c r="G67" s="15" t="n">
        <f aca="false">IF(C67=10,0,IF(F67=1,1,G66))</f>
        <v>1</v>
      </c>
      <c r="H67" s="5" t="n">
        <f aca="false">VA_base_426_data!B67</f>
        <v>992.376431051323</v>
      </c>
      <c r="I67" s="5" t="n">
        <f aca="false">IF(AND(E67=1,OR(C67=4,C67=5)),25*12.1/24/D67*1000,0)</f>
        <v>0</v>
      </c>
      <c r="J67" s="5" t="n">
        <f aca="false">VA_base_426_data!C67</f>
        <v>750</v>
      </c>
      <c r="K67" s="5" t="n">
        <f aca="false">H67+I67-J67</f>
        <v>242.376431051323</v>
      </c>
      <c r="L67" s="5" t="n">
        <f aca="false">MIN($W$7,J67+K67)</f>
        <v>992.376431051323</v>
      </c>
      <c r="M67" s="5" t="n">
        <f aca="false">VA_base_426_data!D67</f>
        <v>773.3333333</v>
      </c>
      <c r="N67" s="5" t="n">
        <f aca="false">IF(AND(C67=10,E67=1),$W$6,N66-P66)</f>
        <v>0</v>
      </c>
      <c r="O67" s="5" t="n">
        <f aca="false">IF(ABS(M67-L67)&gt;1,MIN(N67/((L67-M67)*24/12.1/1000),D67),D67)</f>
        <v>0</v>
      </c>
      <c r="P67" s="5" t="n">
        <f aca="false">MIN(IF(AND(G67,E67),(L67-M67)*24/12.1*O67/1000,0),N67)</f>
        <v>0</v>
      </c>
      <c r="Q67" s="5" t="n">
        <f aca="false">IF(P67&gt;0,P67/O67*12.1/24*1000+M67,0)</f>
        <v>0</v>
      </c>
      <c r="R67" s="0" t="n">
        <f aca="false">IF(Q67&gt;0,TRUNC(O67),0)</f>
        <v>0</v>
      </c>
      <c r="S67" s="5" t="n">
        <f aca="false">(M67*(D67-R67)+(Q67*R67))/D67</f>
        <v>773.3333333</v>
      </c>
      <c r="T67" s="6" t="n">
        <f aca="false">(Q67-M67)*R67*24/12.1/1000</f>
        <v>-0</v>
      </c>
    </row>
    <row r="68" customFormat="false" ht="14.35" hidden="false" customHeight="false" outlineLevel="0" collapsed="false">
      <c r="A68" s="4" t="n">
        <v>9801</v>
      </c>
      <c r="B68" s="15" t="n">
        <f aca="false">IF(C68&lt;=9,YEAR(A68),YEAR(A68)+1)</f>
        <v>1927</v>
      </c>
      <c r="C68" s="15" t="n">
        <f aca="false">MONTH(A68)</f>
        <v>10</v>
      </c>
      <c r="D68" s="15" t="n">
        <f aca="false">DAY(A68)</f>
        <v>31</v>
      </c>
      <c r="E68" s="15" t="n">
        <f aca="false">VLOOKUP(B68,WYT!$A$2:$L$97,12)</f>
        <v>0</v>
      </c>
      <c r="F68" s="15" t="n">
        <f aca="false">IF(C68=$W$5,1,0)</f>
        <v>0</v>
      </c>
      <c r="G68" s="15" t="n">
        <f aca="false">IF(C68=10,0,IF(F68=1,1,G67))</f>
        <v>0</v>
      </c>
      <c r="H68" s="5" t="n">
        <f aca="false">VA_base_426_data!B68</f>
        <v>900.000000000001</v>
      </c>
      <c r="I68" s="5" t="n">
        <f aca="false">IF(AND(E68=1,OR(C68=4,C68=5)),25*12.1/24/D68*1000,0)</f>
        <v>0</v>
      </c>
      <c r="J68" s="5" t="n">
        <f aca="false">VA_base_426_data!C68</f>
        <v>900</v>
      </c>
      <c r="K68" s="5" t="n">
        <f aca="false">H68+I68-J68</f>
        <v>0</v>
      </c>
      <c r="L68" s="5" t="n">
        <f aca="false">MIN($W$7,J68+K68)</f>
        <v>900</v>
      </c>
      <c r="M68" s="5" t="n">
        <f aca="false">VA_base_426_data!D68</f>
        <v>800</v>
      </c>
      <c r="N68" s="5" t="n">
        <f aca="false">IF(AND(C68=10,E68=1),$W$6,N67-P67)</f>
        <v>0</v>
      </c>
      <c r="O68" s="5" t="n">
        <f aca="false">IF(ABS(M68-L68)&gt;1,MIN(N68/((L68-M68)*24/12.1/1000),D68),D68)</f>
        <v>0</v>
      </c>
      <c r="P68" s="5" t="n">
        <f aca="false">MIN(IF(AND(G68,E68),(L68-M68)*24/12.1*O68/1000,0),N68)</f>
        <v>0</v>
      </c>
      <c r="Q68" s="5" t="n">
        <f aca="false">IF(P68&gt;0,P68/O68*12.1/24*1000+M68,0)</f>
        <v>0</v>
      </c>
      <c r="R68" s="0" t="n">
        <f aca="false">IF(Q68&gt;0,TRUNC(O68),0)</f>
        <v>0</v>
      </c>
      <c r="S68" s="5" t="n">
        <f aca="false">(M68*(D68-R68)+(Q68*R68))/D68</f>
        <v>800</v>
      </c>
      <c r="T68" s="6" t="n">
        <f aca="false">(Q68-M68)*R68*24/12.1/1000</f>
        <v>-0</v>
      </c>
    </row>
    <row r="69" customFormat="false" ht="14.35" hidden="false" customHeight="false" outlineLevel="0" collapsed="false">
      <c r="A69" s="4" t="n">
        <v>9831</v>
      </c>
      <c r="B69" s="15" t="n">
        <f aca="false">IF(C69&lt;=9,YEAR(A69),YEAR(A69)+1)</f>
        <v>1927</v>
      </c>
      <c r="C69" s="15" t="n">
        <f aca="false">MONTH(A69)</f>
        <v>11</v>
      </c>
      <c r="D69" s="15" t="n">
        <f aca="false">DAY(A69)</f>
        <v>30</v>
      </c>
      <c r="E69" s="15" t="n">
        <f aca="false">VLOOKUP(B69,WYT!$A$2:$L$97,12)</f>
        <v>0</v>
      </c>
      <c r="F69" s="15" t="n">
        <f aca="false">IF(C69=$W$5,1,0)</f>
        <v>0</v>
      </c>
      <c r="G69" s="15" t="n">
        <f aca="false">IF(C69=10,0,IF(F69=1,1,G68))</f>
        <v>0</v>
      </c>
      <c r="H69" s="5" t="n">
        <f aca="false">VA_base_426_data!B69</f>
        <v>900</v>
      </c>
      <c r="I69" s="5" t="n">
        <f aca="false">IF(AND(E69=1,OR(C69=4,C69=5)),25*12.1/24/D69*1000,0)</f>
        <v>0</v>
      </c>
      <c r="J69" s="5" t="n">
        <f aca="false">VA_base_426_data!C69</f>
        <v>900</v>
      </c>
      <c r="K69" s="5" t="n">
        <f aca="false">H69+I69-J69</f>
        <v>0</v>
      </c>
      <c r="L69" s="5" t="n">
        <f aca="false">MIN($W$7,J69+K69)</f>
        <v>900</v>
      </c>
      <c r="M69" s="5" t="n">
        <f aca="false">VA_base_426_data!D69</f>
        <v>800</v>
      </c>
      <c r="N69" s="5" t="n">
        <f aca="false">IF(AND(C69=10,E69=1),$W$6,N68-P68)</f>
        <v>0</v>
      </c>
      <c r="O69" s="5" t="n">
        <f aca="false">IF(ABS(M69-L69)&gt;1,MIN(N69/((L69-M69)*24/12.1/1000),D69),D69)</f>
        <v>0</v>
      </c>
      <c r="P69" s="5" t="n">
        <f aca="false">MIN(IF(AND(G69,E69),(L69-M69)*24/12.1*O69/1000,0),N69)</f>
        <v>0</v>
      </c>
      <c r="Q69" s="5" t="n">
        <f aca="false">IF(P69&gt;0,P69/O69*12.1/24*1000+M69,0)</f>
        <v>0</v>
      </c>
      <c r="R69" s="0" t="n">
        <f aca="false">IF(Q69&gt;0,TRUNC(O69),0)</f>
        <v>0</v>
      </c>
      <c r="S69" s="5" t="n">
        <f aca="false">(M69*(D69-R69)+(Q69*R69))/D69</f>
        <v>800</v>
      </c>
      <c r="T69" s="6" t="n">
        <f aca="false">(Q69-M69)*R69*24/12.1/1000</f>
        <v>-0</v>
      </c>
    </row>
    <row r="70" customFormat="false" ht="14.35" hidden="false" customHeight="false" outlineLevel="0" collapsed="false">
      <c r="A70" s="4" t="n">
        <v>9862</v>
      </c>
      <c r="B70" s="15" t="n">
        <f aca="false">IF(C70&lt;=9,YEAR(A70),YEAR(A70)+1)</f>
        <v>1927</v>
      </c>
      <c r="C70" s="15" t="n">
        <f aca="false">MONTH(A70)</f>
        <v>12</v>
      </c>
      <c r="D70" s="15" t="n">
        <f aca="false">DAY(A70)</f>
        <v>31</v>
      </c>
      <c r="E70" s="15" t="n">
        <f aca="false">VLOOKUP(B70,WYT!$A$2:$L$97,12)</f>
        <v>0</v>
      </c>
      <c r="F70" s="15" t="n">
        <f aca="false">IF(C70=$W$5,1,0)</f>
        <v>0</v>
      </c>
      <c r="G70" s="15" t="n">
        <f aca="false">IF(C70=10,0,IF(F70=1,1,G69))</f>
        <v>0</v>
      </c>
      <c r="H70" s="5" t="n">
        <f aca="false">VA_base_426_data!B70</f>
        <v>3769.73339966359</v>
      </c>
      <c r="I70" s="5" t="n">
        <f aca="false">IF(AND(E70=1,OR(C70=4,C70=5)),25*12.1/24/D70*1000,0)</f>
        <v>0</v>
      </c>
      <c r="J70" s="5" t="n">
        <f aca="false">VA_base_426_data!C70</f>
        <v>900</v>
      </c>
      <c r="K70" s="5" t="n">
        <f aca="false">H70+I70-J70</f>
        <v>2869.73339966359</v>
      </c>
      <c r="L70" s="5" t="n">
        <f aca="false">MIN($W$7,J70+K70)</f>
        <v>2000</v>
      </c>
      <c r="M70" s="5" t="n">
        <f aca="false">VA_base_426_data!D70</f>
        <v>800</v>
      </c>
      <c r="N70" s="5" t="n">
        <f aca="false">IF(AND(C70=10,E70=1),$W$6,N69-P69)</f>
        <v>0</v>
      </c>
      <c r="O70" s="5" t="n">
        <f aca="false">IF(ABS(M70-L70)&gt;1,MIN(N70/((L70-M70)*24/12.1/1000),D70),D70)</f>
        <v>0</v>
      </c>
      <c r="P70" s="5" t="n">
        <f aca="false">MIN(IF(AND(G70,E70),(L70-M70)*24/12.1*O70/1000,0),N70)</f>
        <v>0</v>
      </c>
      <c r="Q70" s="5" t="n">
        <f aca="false">IF(P70&gt;0,P70/O70*12.1/24*1000+M70,0)</f>
        <v>0</v>
      </c>
      <c r="R70" s="0" t="n">
        <f aca="false">IF(Q70&gt;0,TRUNC(O70),0)</f>
        <v>0</v>
      </c>
      <c r="S70" s="5" t="n">
        <f aca="false">(M70*(D70-R70)+(Q70*R70))/D70</f>
        <v>800</v>
      </c>
      <c r="T70" s="6" t="n">
        <f aca="false">(Q70-M70)*R70*24/12.1/1000</f>
        <v>-0</v>
      </c>
    </row>
    <row r="71" customFormat="false" ht="14.35" hidden="false" customHeight="false" outlineLevel="0" collapsed="false">
      <c r="A71" s="4" t="n">
        <v>9893</v>
      </c>
      <c r="B71" s="15" t="n">
        <f aca="false">IF(C71&lt;=9,YEAR(A71),YEAR(A71)+1)</f>
        <v>1927</v>
      </c>
      <c r="C71" s="15" t="n">
        <f aca="false">MONTH(A71)</f>
        <v>1</v>
      </c>
      <c r="D71" s="15" t="n">
        <f aca="false">DAY(A71)</f>
        <v>31</v>
      </c>
      <c r="E71" s="15" t="n">
        <f aca="false">VLOOKUP(B71,WYT!$A$2:$L$97,12)</f>
        <v>0</v>
      </c>
      <c r="F71" s="15" t="n">
        <f aca="false">IF(C71=$W$5,1,0)</f>
        <v>0</v>
      </c>
      <c r="G71" s="15" t="n">
        <f aca="false">IF(C71=10,0,IF(F71=1,1,G70))</f>
        <v>0</v>
      </c>
      <c r="H71" s="5" t="n">
        <f aca="false">VA_base_426_data!B71</f>
        <v>900</v>
      </c>
      <c r="I71" s="5" t="n">
        <f aca="false">IF(AND(E71=1,OR(C71=4,C71=5)),25*12.1/24/D71*1000,0)</f>
        <v>0</v>
      </c>
      <c r="J71" s="5" t="n">
        <f aca="false">VA_base_426_data!C71</f>
        <v>900</v>
      </c>
      <c r="K71" s="5" t="n">
        <f aca="false">H71+I71-J71</f>
        <v>0</v>
      </c>
      <c r="L71" s="5" t="n">
        <f aca="false">MIN($W$7,J71+K71)</f>
        <v>900</v>
      </c>
      <c r="M71" s="5" t="n">
        <f aca="false">VA_base_426_data!D71</f>
        <v>800</v>
      </c>
      <c r="N71" s="5" t="n">
        <f aca="false">IF(AND(C71=10,E71=1),$W$6,N70-P70)</f>
        <v>0</v>
      </c>
      <c r="O71" s="5" t="n">
        <f aca="false">IF(ABS(M71-L71)&gt;1,MIN(N71/((L71-M71)*24/12.1/1000),D71),D71)</f>
        <v>0</v>
      </c>
      <c r="P71" s="5" t="n">
        <f aca="false">MIN(IF(AND(G71,E71),(L71-M71)*24/12.1*O71/1000,0),N71)</f>
        <v>0</v>
      </c>
      <c r="Q71" s="5" t="n">
        <f aca="false">IF(P71&gt;0,P71/O71*12.1/24*1000+M71,0)</f>
        <v>0</v>
      </c>
      <c r="R71" s="0" t="n">
        <f aca="false">IF(Q71&gt;0,TRUNC(O71),0)</f>
        <v>0</v>
      </c>
      <c r="S71" s="5" t="n">
        <f aca="false">(M71*(D71-R71)+(Q71*R71))/D71</f>
        <v>800</v>
      </c>
      <c r="T71" s="6" t="n">
        <f aca="false">(Q71-M71)*R71*24/12.1/1000</f>
        <v>-0</v>
      </c>
    </row>
    <row r="72" customFormat="false" ht="14.35" hidden="false" customHeight="false" outlineLevel="0" collapsed="false">
      <c r="A72" s="4" t="n">
        <v>9921</v>
      </c>
      <c r="B72" s="15" t="n">
        <f aca="false">IF(C72&lt;=9,YEAR(A72),YEAR(A72)+1)</f>
        <v>1927</v>
      </c>
      <c r="C72" s="15" t="n">
        <f aca="false">MONTH(A72)</f>
        <v>2</v>
      </c>
      <c r="D72" s="15" t="n">
        <f aca="false">DAY(A72)</f>
        <v>28</v>
      </c>
      <c r="E72" s="15" t="n">
        <f aca="false">VLOOKUP(B72,WYT!$A$2:$L$97,12)</f>
        <v>0</v>
      </c>
      <c r="F72" s="15" t="n">
        <f aca="false">IF(C72=$W$5,1,0)</f>
        <v>1</v>
      </c>
      <c r="G72" s="15" t="n">
        <f aca="false">IF(C72=10,0,IF(F72=1,1,G71))</f>
        <v>1</v>
      </c>
      <c r="H72" s="5" t="n">
        <f aca="false">VA_base_426_data!B72</f>
        <v>900</v>
      </c>
      <c r="I72" s="5" t="n">
        <f aca="false">IF(AND(E72=1,OR(C72=4,C72=5)),25*12.1/24/D72*1000,0)</f>
        <v>0</v>
      </c>
      <c r="J72" s="5" t="n">
        <f aca="false">VA_base_426_data!C72</f>
        <v>900</v>
      </c>
      <c r="K72" s="5" t="n">
        <f aca="false">H72+I72-J72</f>
        <v>0</v>
      </c>
      <c r="L72" s="5" t="n">
        <f aca="false">MIN($W$7,J72+K72)</f>
        <v>900</v>
      </c>
      <c r="M72" s="5" t="n">
        <f aca="false">VA_base_426_data!D72</f>
        <v>800</v>
      </c>
      <c r="N72" s="5" t="n">
        <f aca="false">IF(AND(C72=10,E72=1),$W$6,N71-P71)</f>
        <v>0</v>
      </c>
      <c r="O72" s="5" t="n">
        <f aca="false">IF(ABS(M72-L72)&gt;1,MIN(N72/((L72-M72)*24/12.1/1000),D72),D72)</f>
        <v>0</v>
      </c>
      <c r="P72" s="5" t="n">
        <f aca="false">MIN(IF(AND(G72,E72),(L72-M72)*24/12.1*O72/1000,0),N72)</f>
        <v>0</v>
      </c>
      <c r="Q72" s="5" t="n">
        <f aca="false">IF(P72&gt;0,P72/O72*12.1/24*1000+M72,0)</f>
        <v>0</v>
      </c>
      <c r="R72" s="0" t="n">
        <f aca="false">IF(Q72&gt;0,TRUNC(O72),0)</f>
        <v>0</v>
      </c>
      <c r="S72" s="5" t="n">
        <f aca="false">(M72*(D72-R72)+(Q72*R72))/D72</f>
        <v>800</v>
      </c>
      <c r="T72" s="6" t="n">
        <f aca="false">(Q72-M72)*R72*24/12.1/1000</f>
        <v>-0</v>
      </c>
    </row>
    <row r="73" customFormat="false" ht="14.35" hidden="false" customHeight="false" outlineLevel="0" collapsed="false">
      <c r="A73" s="4" t="n">
        <v>9952</v>
      </c>
      <c r="B73" s="15" t="n">
        <f aca="false">IF(C73&lt;=9,YEAR(A73),YEAR(A73)+1)</f>
        <v>1927</v>
      </c>
      <c r="C73" s="15" t="n">
        <f aca="false">MONTH(A73)</f>
        <v>3</v>
      </c>
      <c r="D73" s="15" t="n">
        <f aca="false">DAY(A73)</f>
        <v>31</v>
      </c>
      <c r="E73" s="15" t="n">
        <f aca="false">VLOOKUP(B73,WYT!$A$2:$L$97,12)</f>
        <v>0</v>
      </c>
      <c r="F73" s="15" t="n">
        <f aca="false">IF(C73=$W$5,1,0)</f>
        <v>0</v>
      </c>
      <c r="G73" s="15" t="n">
        <f aca="false">IF(C73=10,0,IF(F73=1,1,G72))</f>
        <v>1</v>
      </c>
      <c r="H73" s="5" t="n">
        <f aca="false">VA_base_426_data!B73</f>
        <v>4824.50401000756</v>
      </c>
      <c r="I73" s="5" t="n">
        <f aca="false">IF(AND(E73=1,OR(C73=4,C73=5)),25*12.1/24/D73*1000,0)</f>
        <v>0</v>
      </c>
      <c r="J73" s="5" t="n">
        <f aca="false">VA_base_426_data!C73</f>
        <v>750</v>
      </c>
      <c r="K73" s="5" t="n">
        <f aca="false">H73+I73-J73</f>
        <v>4074.50401000756</v>
      </c>
      <c r="L73" s="5" t="n">
        <f aca="false">MIN($W$7,J73+K73)</f>
        <v>2000</v>
      </c>
      <c r="M73" s="5" t="n">
        <f aca="false">VA_base_426_data!D73</f>
        <v>800</v>
      </c>
      <c r="N73" s="5" t="n">
        <f aca="false">IF(AND(C73=10,E73=1),$W$6,N72-P72)</f>
        <v>0</v>
      </c>
      <c r="O73" s="5" t="n">
        <f aca="false">IF(ABS(M73-L73)&gt;1,MIN(N73/((L73-M73)*24/12.1/1000),D73),D73)</f>
        <v>0</v>
      </c>
      <c r="P73" s="5" t="n">
        <f aca="false">MIN(IF(AND(G73,E73),(L73-M73)*24/12.1*O73/1000,0),N73)</f>
        <v>0</v>
      </c>
      <c r="Q73" s="5" t="n">
        <f aca="false">IF(P73&gt;0,P73/O73*12.1/24*1000+M73,0)</f>
        <v>0</v>
      </c>
      <c r="R73" s="0" t="n">
        <f aca="false">IF(Q73&gt;0,TRUNC(O73),0)</f>
        <v>0</v>
      </c>
      <c r="S73" s="5" t="n">
        <f aca="false">(M73*(D73-R73)+(Q73*R73))/D73</f>
        <v>800</v>
      </c>
      <c r="T73" s="6" t="n">
        <f aca="false">(Q73-M73)*R73*24/12.1/1000</f>
        <v>-0</v>
      </c>
    </row>
    <row r="74" customFormat="false" ht="14.35" hidden="false" customHeight="false" outlineLevel="0" collapsed="false">
      <c r="A74" s="4" t="n">
        <v>9982</v>
      </c>
      <c r="B74" s="15" t="n">
        <f aca="false">IF(C74&lt;=9,YEAR(A74),YEAR(A74)+1)</f>
        <v>1927</v>
      </c>
      <c r="C74" s="15" t="n">
        <f aca="false">MONTH(A74)</f>
        <v>4</v>
      </c>
      <c r="D74" s="15" t="n">
        <f aca="false">DAY(A74)</f>
        <v>30</v>
      </c>
      <c r="E74" s="15" t="n">
        <f aca="false">VLOOKUP(B74,WYT!$A$2:$L$97,12)</f>
        <v>0</v>
      </c>
      <c r="F74" s="15" t="n">
        <f aca="false">IF(C74=$W$5,1,0)</f>
        <v>0</v>
      </c>
      <c r="G74" s="15" t="n">
        <f aca="false">IF(C74=10,0,IF(F74=1,1,G73))</f>
        <v>1</v>
      </c>
      <c r="H74" s="5" t="n">
        <f aca="false">VA_base_426_data!B74</f>
        <v>4780.42510376718</v>
      </c>
      <c r="I74" s="5" t="n">
        <f aca="false">IF(AND(E74=1,OR(C74=4,C74=5)),25*12.1/24/D74*1000,0)</f>
        <v>0</v>
      </c>
      <c r="J74" s="5" t="n">
        <f aca="false">VA_base_426_data!C74</f>
        <v>1000</v>
      </c>
      <c r="K74" s="5" t="n">
        <f aca="false">H74+I74-J74</f>
        <v>3780.42510376718</v>
      </c>
      <c r="L74" s="5" t="n">
        <f aca="false">MIN($W$7,J74+K74)</f>
        <v>2000</v>
      </c>
      <c r="M74" s="5" t="n">
        <f aca="false">VA_base_426_data!D74</f>
        <v>700</v>
      </c>
      <c r="N74" s="5" t="n">
        <f aca="false">IF(AND(C74=10,E74=1),$W$6,N73-P73)</f>
        <v>0</v>
      </c>
      <c r="O74" s="5" t="n">
        <f aca="false">IF(ABS(M74-L74)&gt;1,MIN(N74/((L74-M74)*24/12.1/1000),D74),D74)</f>
        <v>0</v>
      </c>
      <c r="P74" s="5" t="n">
        <f aca="false">MIN(IF(AND(G74,E74),(L74-M74)*24/12.1*O74/1000,0),N74)</f>
        <v>0</v>
      </c>
      <c r="Q74" s="5" t="n">
        <f aca="false">IF(P74&gt;0,P74/O74*12.1/24*1000+M74,0)</f>
        <v>0</v>
      </c>
      <c r="R74" s="0" t="n">
        <f aca="false">IF(Q74&gt;0,TRUNC(O74),0)</f>
        <v>0</v>
      </c>
      <c r="S74" s="5" t="n">
        <f aca="false">(M74*(D74-R74)+(Q74*R74))/D74</f>
        <v>700</v>
      </c>
      <c r="T74" s="6" t="n">
        <f aca="false">(Q74-M74)*R74*24/12.1/1000</f>
        <v>-0</v>
      </c>
    </row>
    <row r="75" customFormat="false" ht="14.35" hidden="false" customHeight="false" outlineLevel="0" collapsed="false">
      <c r="A75" s="4" t="n">
        <v>10013</v>
      </c>
      <c r="B75" s="15" t="n">
        <f aca="false">IF(C75&lt;=9,YEAR(A75),YEAR(A75)+1)</f>
        <v>1927</v>
      </c>
      <c r="C75" s="15" t="n">
        <f aca="false">MONTH(A75)</f>
        <v>5</v>
      </c>
      <c r="D75" s="15" t="n">
        <f aca="false">DAY(A75)</f>
        <v>31</v>
      </c>
      <c r="E75" s="15" t="n">
        <f aca="false">VLOOKUP(B75,WYT!$A$2:$L$97,12)</f>
        <v>0</v>
      </c>
      <c r="F75" s="15" t="n">
        <f aca="false">IF(C75=$W$5,1,0)</f>
        <v>0</v>
      </c>
      <c r="G75" s="15" t="n">
        <f aca="false">IF(C75=10,0,IF(F75=1,1,G74))</f>
        <v>1</v>
      </c>
      <c r="H75" s="5" t="n">
        <f aca="false">VA_base_426_data!B75</f>
        <v>4032.72453605766</v>
      </c>
      <c r="I75" s="5" t="n">
        <f aca="false">IF(AND(E75=1,OR(C75=4,C75=5)),25*12.1/24/D75*1000,0)</f>
        <v>0</v>
      </c>
      <c r="J75" s="5" t="n">
        <f aca="false">VA_base_426_data!C75</f>
        <v>1000</v>
      </c>
      <c r="K75" s="5" t="n">
        <f aca="false">H75+I75-J75</f>
        <v>3032.72453605766</v>
      </c>
      <c r="L75" s="5" t="n">
        <f aca="false">MIN($W$7,J75+K75)</f>
        <v>2000</v>
      </c>
      <c r="M75" s="5" t="n">
        <f aca="false">VA_base_426_data!D75</f>
        <v>700</v>
      </c>
      <c r="N75" s="5" t="n">
        <f aca="false">IF(AND(C75=10,E75=1),$W$6,N74-P74)</f>
        <v>0</v>
      </c>
      <c r="O75" s="5" t="n">
        <f aca="false">IF(ABS(M75-L75)&gt;1,MIN(N75/((L75-M75)*24/12.1/1000),D75),D75)</f>
        <v>0</v>
      </c>
      <c r="P75" s="5" t="n">
        <f aca="false">MIN(IF(AND(G75,E75),(L75-M75)*24/12.1*O75/1000,0),N75)</f>
        <v>0</v>
      </c>
      <c r="Q75" s="5" t="n">
        <f aca="false">IF(P75&gt;0,P75/O75*12.1/24*1000+M75,0)</f>
        <v>0</v>
      </c>
      <c r="R75" s="0" t="n">
        <f aca="false">IF(Q75&gt;0,TRUNC(O75),0)</f>
        <v>0</v>
      </c>
      <c r="S75" s="5" t="n">
        <f aca="false">(M75*(D75-R75)+(Q75*R75))/D75</f>
        <v>700</v>
      </c>
      <c r="T75" s="6" t="n">
        <f aca="false">(Q75-M75)*R75*24/12.1/1000</f>
        <v>-0</v>
      </c>
    </row>
    <row r="76" customFormat="false" ht="14.35" hidden="false" customHeight="false" outlineLevel="0" collapsed="false">
      <c r="A76" s="4" t="n">
        <v>10043</v>
      </c>
      <c r="B76" s="15" t="n">
        <f aca="false">IF(C76&lt;=9,YEAR(A76),YEAR(A76)+1)</f>
        <v>1927</v>
      </c>
      <c r="C76" s="15" t="n">
        <f aca="false">MONTH(A76)</f>
        <v>6</v>
      </c>
      <c r="D76" s="15" t="n">
        <f aca="false">DAY(A76)</f>
        <v>30</v>
      </c>
      <c r="E76" s="15" t="n">
        <f aca="false">VLOOKUP(B76,WYT!$A$2:$L$97,12)</f>
        <v>0</v>
      </c>
      <c r="F76" s="15" t="n">
        <f aca="false">IF(C76=$W$5,1,0)</f>
        <v>0</v>
      </c>
      <c r="G76" s="15" t="n">
        <f aca="false">IF(C76=10,0,IF(F76=1,1,G75))</f>
        <v>1</v>
      </c>
      <c r="H76" s="5" t="n">
        <f aca="false">VA_base_426_data!B76</f>
        <v>2024.27816832632</v>
      </c>
      <c r="I76" s="5" t="n">
        <f aca="false">IF(AND(E76=1,OR(C76=4,C76=5)),25*12.1/24/D76*1000,0)</f>
        <v>0</v>
      </c>
      <c r="J76" s="5" t="n">
        <f aca="false">VA_base_426_data!C76</f>
        <v>1000</v>
      </c>
      <c r="K76" s="5" t="n">
        <f aca="false">H76+I76-J76</f>
        <v>1024.27816832632</v>
      </c>
      <c r="L76" s="5" t="n">
        <f aca="false">MIN($W$7,J76+K76)</f>
        <v>2000</v>
      </c>
      <c r="M76" s="5" t="n">
        <f aca="false">VA_base_426_data!D76</f>
        <v>700</v>
      </c>
      <c r="N76" s="5" t="n">
        <f aca="false">IF(AND(C76=10,E76=1),$W$6,N75-P75)</f>
        <v>0</v>
      </c>
      <c r="O76" s="5" t="n">
        <f aca="false">IF(ABS(M76-L76)&gt;1,MIN(N76/((L76-M76)*24/12.1/1000),D76),D76)</f>
        <v>0</v>
      </c>
      <c r="P76" s="5" t="n">
        <f aca="false">MIN(IF(AND(G76,E76),(L76-M76)*24/12.1*O76/1000,0),N76)</f>
        <v>0</v>
      </c>
      <c r="Q76" s="5" t="n">
        <f aca="false">IF(P76&gt;0,P76/O76*12.1/24*1000+M76,0)</f>
        <v>0</v>
      </c>
      <c r="R76" s="0" t="n">
        <f aca="false">IF(Q76&gt;0,TRUNC(O76),0)</f>
        <v>0</v>
      </c>
      <c r="S76" s="5" t="n">
        <f aca="false">(M76*(D76-R76)+(Q76*R76))/D76</f>
        <v>700</v>
      </c>
      <c r="T76" s="6" t="n">
        <f aca="false">(Q76-M76)*R76*24/12.1/1000</f>
        <v>-0</v>
      </c>
    </row>
    <row r="77" customFormat="false" ht="14.35" hidden="false" customHeight="false" outlineLevel="0" collapsed="false">
      <c r="A77" s="4" t="n">
        <v>10074</v>
      </c>
      <c r="B77" s="15" t="n">
        <f aca="false">IF(C77&lt;=9,YEAR(A77),YEAR(A77)+1)</f>
        <v>1927</v>
      </c>
      <c r="C77" s="15" t="n">
        <f aca="false">MONTH(A77)</f>
        <v>7</v>
      </c>
      <c r="D77" s="15" t="n">
        <f aca="false">DAY(A77)</f>
        <v>31</v>
      </c>
      <c r="E77" s="15" t="n">
        <f aca="false">VLOOKUP(B77,WYT!$A$2:$L$97,12)</f>
        <v>0</v>
      </c>
      <c r="F77" s="15" t="n">
        <f aca="false">IF(C77=$W$5,1,0)</f>
        <v>0</v>
      </c>
      <c r="G77" s="15" t="n">
        <f aca="false">IF(C77=10,0,IF(F77=1,1,G76))</f>
        <v>1</v>
      </c>
      <c r="H77" s="5" t="n">
        <f aca="false">VA_base_426_data!B77</f>
        <v>8798.50132386267</v>
      </c>
      <c r="I77" s="5" t="n">
        <f aca="false">IF(AND(E77=1,OR(C77=4,C77=5)),25*12.1/24/D77*1000,0)</f>
        <v>0</v>
      </c>
      <c r="J77" s="5" t="n">
        <f aca="false">VA_base_426_data!C77</f>
        <v>1000</v>
      </c>
      <c r="K77" s="5" t="n">
        <f aca="false">H77+I77-J77</f>
        <v>7798.50132386267</v>
      </c>
      <c r="L77" s="5" t="n">
        <f aca="false">MIN($W$7,J77+K77)</f>
        <v>2000</v>
      </c>
      <c r="M77" s="5" t="n">
        <f aca="false">VA_base_426_data!D77</f>
        <v>700</v>
      </c>
      <c r="N77" s="5" t="n">
        <f aca="false">IF(AND(C77=10,E77=1),$W$6,N76-P76)</f>
        <v>0</v>
      </c>
      <c r="O77" s="5" t="n">
        <f aca="false">IF(ABS(M77-L77)&gt;1,MIN(N77/((L77-M77)*24/12.1/1000),D77),D77)</f>
        <v>0</v>
      </c>
      <c r="P77" s="5" t="n">
        <f aca="false">MIN(IF(AND(G77,E77),(L77-M77)*24/12.1*O77/1000,0),N77)</f>
        <v>0</v>
      </c>
      <c r="Q77" s="5" t="n">
        <f aca="false">IF(P77&gt;0,P77/O77*12.1/24*1000+M77,0)</f>
        <v>0</v>
      </c>
      <c r="R77" s="0" t="n">
        <f aca="false">IF(Q77&gt;0,TRUNC(O77),0)</f>
        <v>0</v>
      </c>
      <c r="S77" s="5" t="n">
        <f aca="false">(M77*(D77-R77)+(Q77*R77))/D77</f>
        <v>700</v>
      </c>
      <c r="T77" s="6" t="n">
        <f aca="false">(Q77-M77)*R77*24/12.1/1000</f>
        <v>-0</v>
      </c>
    </row>
    <row r="78" customFormat="false" ht="14.35" hidden="false" customHeight="false" outlineLevel="0" collapsed="false">
      <c r="A78" s="4" t="n">
        <v>10105</v>
      </c>
      <c r="B78" s="15" t="n">
        <f aca="false">IF(C78&lt;=9,YEAR(A78),YEAR(A78)+1)</f>
        <v>1927</v>
      </c>
      <c r="C78" s="15" t="n">
        <f aca="false">MONTH(A78)</f>
        <v>8</v>
      </c>
      <c r="D78" s="15" t="n">
        <f aca="false">DAY(A78)</f>
        <v>31</v>
      </c>
      <c r="E78" s="15" t="n">
        <f aca="false">VLOOKUP(B78,WYT!$A$2:$L$97,12)</f>
        <v>0</v>
      </c>
      <c r="F78" s="15" t="n">
        <f aca="false">IF(C78=$W$5,1,0)</f>
        <v>0</v>
      </c>
      <c r="G78" s="15" t="n">
        <f aca="false">IF(C78=10,0,IF(F78=1,1,G77))</f>
        <v>1</v>
      </c>
      <c r="H78" s="5" t="n">
        <f aca="false">VA_base_426_data!B78</f>
        <v>8179.57422635813</v>
      </c>
      <c r="I78" s="5" t="n">
        <f aca="false">IF(AND(E78=1,OR(C78=4,C78=5)),25*12.1/24/D78*1000,0)</f>
        <v>0</v>
      </c>
      <c r="J78" s="5" t="n">
        <f aca="false">VA_base_426_data!C78</f>
        <v>1000</v>
      </c>
      <c r="K78" s="5" t="n">
        <f aca="false">H78+I78-J78</f>
        <v>7179.57422635813</v>
      </c>
      <c r="L78" s="5" t="n">
        <f aca="false">MIN($W$7,J78+K78)</f>
        <v>2000</v>
      </c>
      <c r="M78" s="5" t="n">
        <f aca="false">VA_base_426_data!D78</f>
        <v>700</v>
      </c>
      <c r="N78" s="5" t="n">
        <f aca="false">IF(AND(C78=10,E78=1),$W$6,N77-P77)</f>
        <v>0</v>
      </c>
      <c r="O78" s="5" t="n">
        <f aca="false">IF(ABS(M78-L78)&gt;1,MIN(N78/((L78-M78)*24/12.1/1000),D78),D78)</f>
        <v>0</v>
      </c>
      <c r="P78" s="5" t="n">
        <f aca="false">MIN(IF(AND(G78,E78),(L78-M78)*24/12.1*O78/1000,0),N78)</f>
        <v>0</v>
      </c>
      <c r="Q78" s="5" t="n">
        <f aca="false">IF(P78&gt;0,P78/O78*12.1/24*1000+M78,0)</f>
        <v>0</v>
      </c>
      <c r="R78" s="0" t="n">
        <f aca="false">IF(Q78&gt;0,TRUNC(O78),0)</f>
        <v>0</v>
      </c>
      <c r="S78" s="5" t="n">
        <f aca="false">(M78*(D78-R78)+(Q78*R78))/D78</f>
        <v>700</v>
      </c>
      <c r="T78" s="6" t="n">
        <f aca="false">(Q78-M78)*R78*24/12.1/1000</f>
        <v>-0</v>
      </c>
    </row>
    <row r="79" customFormat="false" ht="14.35" hidden="false" customHeight="false" outlineLevel="0" collapsed="false">
      <c r="A79" s="4" t="n">
        <v>10135</v>
      </c>
      <c r="B79" s="15" t="n">
        <f aca="false">IF(C79&lt;=9,YEAR(A79),YEAR(A79)+1)</f>
        <v>1927</v>
      </c>
      <c r="C79" s="15" t="n">
        <f aca="false">MONTH(A79)</f>
        <v>9</v>
      </c>
      <c r="D79" s="15" t="n">
        <f aca="false">DAY(A79)</f>
        <v>30</v>
      </c>
      <c r="E79" s="15" t="n">
        <f aca="false">VLOOKUP(B79,WYT!$A$2:$L$97,12)</f>
        <v>0</v>
      </c>
      <c r="F79" s="15" t="n">
        <f aca="false">IF(C79=$W$5,1,0)</f>
        <v>0</v>
      </c>
      <c r="G79" s="15" t="n">
        <f aca="false">IF(C79=10,0,IF(F79=1,1,G78))</f>
        <v>1</v>
      </c>
      <c r="H79" s="5" t="n">
        <f aca="false">VA_base_426_data!B79</f>
        <v>9351.6764676552</v>
      </c>
      <c r="I79" s="5" t="n">
        <f aca="false">IF(AND(E79=1,OR(C79=4,C79=5)),25*12.1/24/D79*1000,0)</f>
        <v>0</v>
      </c>
      <c r="J79" s="5" t="n">
        <f aca="false">VA_base_426_data!C79</f>
        <v>1000</v>
      </c>
      <c r="K79" s="5" t="n">
        <f aca="false">H79+I79-J79</f>
        <v>8351.6764676552</v>
      </c>
      <c r="L79" s="5" t="n">
        <f aca="false">MIN($W$7,J79+K79)</f>
        <v>2000</v>
      </c>
      <c r="M79" s="5" t="n">
        <f aca="false">VA_base_426_data!D79</f>
        <v>773.3333333</v>
      </c>
      <c r="N79" s="5" t="n">
        <f aca="false">IF(AND(C79=10,E79=1),$W$6,N78-P78)</f>
        <v>0</v>
      </c>
      <c r="O79" s="5" t="n">
        <f aca="false">IF(ABS(M79-L79)&gt;1,MIN(N79/((L79-M79)*24/12.1/1000),D79),D79)</f>
        <v>0</v>
      </c>
      <c r="P79" s="5" t="n">
        <f aca="false">MIN(IF(AND(G79,E79),(L79-M79)*24/12.1*O79/1000,0),N79)</f>
        <v>0</v>
      </c>
      <c r="Q79" s="5" t="n">
        <f aca="false">IF(P79&gt;0,P79/O79*12.1/24*1000+M79,0)</f>
        <v>0</v>
      </c>
      <c r="R79" s="0" t="n">
        <f aca="false">IF(Q79&gt;0,TRUNC(O79),0)</f>
        <v>0</v>
      </c>
      <c r="S79" s="5" t="n">
        <f aca="false">(M79*(D79-R79)+(Q79*R79))/D79</f>
        <v>773.3333333</v>
      </c>
      <c r="T79" s="6" t="n">
        <f aca="false">(Q79-M79)*R79*24/12.1/1000</f>
        <v>-0</v>
      </c>
    </row>
    <row r="80" customFormat="false" ht="14.35" hidden="false" customHeight="false" outlineLevel="0" collapsed="false">
      <c r="A80" s="4" t="n">
        <v>10166</v>
      </c>
      <c r="B80" s="15" t="n">
        <f aca="false">IF(C80&lt;=9,YEAR(A80),YEAR(A80)+1)</f>
        <v>1928</v>
      </c>
      <c r="C80" s="15" t="n">
        <f aca="false">MONTH(A80)</f>
        <v>10</v>
      </c>
      <c r="D80" s="15" t="n">
        <f aca="false">DAY(A80)</f>
        <v>31</v>
      </c>
      <c r="E80" s="15" t="n">
        <f aca="false">VLOOKUP(B80,WYT!$A$2:$L$97,12)</f>
        <v>1</v>
      </c>
      <c r="F80" s="15" t="n">
        <f aca="false">IF(C80=$W$5,1,0)</f>
        <v>0</v>
      </c>
      <c r="G80" s="15" t="n">
        <f aca="false">IF(C80=10,0,IF(F80=1,1,G79))</f>
        <v>0</v>
      </c>
      <c r="H80" s="5" t="n">
        <f aca="false">VA_base_426_data!B80</f>
        <v>4000</v>
      </c>
      <c r="I80" s="5" t="n">
        <f aca="false">IF(AND(E80=1,OR(C80=4,C80=5)),25*12.1/24/D80*1000,0)</f>
        <v>0</v>
      </c>
      <c r="J80" s="5" t="n">
        <f aca="false">VA_base_426_data!C80</f>
        <v>1700</v>
      </c>
      <c r="K80" s="5" t="n">
        <f aca="false">H80+I80-J80</f>
        <v>2300</v>
      </c>
      <c r="L80" s="5" t="n">
        <f aca="false">MIN($W$7,J80+K80)</f>
        <v>2000</v>
      </c>
      <c r="M80" s="5" t="n">
        <f aca="false">VA_base_426_data!D80</f>
        <v>800</v>
      </c>
      <c r="N80" s="5" t="n">
        <f aca="false">IF(AND(C80=10,E80=1),$W$6,N79-P79)</f>
        <v>43</v>
      </c>
      <c r="O80" s="5" t="n">
        <f aca="false">IF(ABS(M80-L80)&gt;1,MIN(N80/((L80-M80)*24/12.1/1000),D80),D80)</f>
        <v>18.0659722222222</v>
      </c>
      <c r="P80" s="5" t="n">
        <f aca="false">MIN(IF(AND(G80,E80),(L80-M80)*24/12.1*O80/1000,0),N80)</f>
        <v>0</v>
      </c>
      <c r="Q80" s="5" t="n">
        <f aca="false">IF(P80&gt;0,P80/O80*12.1/24*1000+M80,0)</f>
        <v>0</v>
      </c>
      <c r="R80" s="0" t="n">
        <f aca="false">IF(Q80&gt;0,TRUNC(O80),0)</f>
        <v>0</v>
      </c>
      <c r="S80" s="5" t="n">
        <f aca="false">(M80*(D80-R80)+(Q80*R80))/D80</f>
        <v>800</v>
      </c>
      <c r="T80" s="6" t="n">
        <f aca="false">(Q80-M80)*R80*24/12.1/1000</f>
        <v>-0</v>
      </c>
    </row>
    <row r="81" customFormat="false" ht="14.35" hidden="false" customHeight="false" outlineLevel="0" collapsed="false">
      <c r="A81" s="4" t="n">
        <v>10196</v>
      </c>
      <c r="B81" s="15" t="n">
        <f aca="false">IF(C81&lt;=9,YEAR(A81),YEAR(A81)+1)</f>
        <v>1928</v>
      </c>
      <c r="C81" s="15" t="n">
        <f aca="false">MONTH(A81)</f>
        <v>11</v>
      </c>
      <c r="D81" s="15" t="n">
        <f aca="false">DAY(A81)</f>
        <v>30</v>
      </c>
      <c r="E81" s="15" t="n">
        <f aca="false">VLOOKUP(B81,WYT!$A$2:$L$97,12)</f>
        <v>1</v>
      </c>
      <c r="F81" s="15" t="n">
        <f aca="false">IF(C81=$W$5,1,0)</f>
        <v>0</v>
      </c>
      <c r="G81" s="15" t="n">
        <f aca="false">IF(C81=10,0,IF(F81=1,1,G80))</f>
        <v>0</v>
      </c>
      <c r="H81" s="5" t="n">
        <f aca="false">VA_base_426_data!B81</f>
        <v>2500</v>
      </c>
      <c r="I81" s="5" t="n">
        <f aca="false">IF(AND(E81=1,OR(C81=4,C81=5)),25*12.1/24/D81*1000,0)</f>
        <v>0</v>
      </c>
      <c r="J81" s="5" t="n">
        <f aca="false">VA_base_426_data!C81</f>
        <v>1700</v>
      </c>
      <c r="K81" s="5" t="n">
        <f aca="false">H81+I81-J81</f>
        <v>800</v>
      </c>
      <c r="L81" s="5" t="n">
        <f aca="false">MIN($W$7,J81+K81)</f>
        <v>2000</v>
      </c>
      <c r="M81" s="5" t="n">
        <f aca="false">VA_base_426_data!D81</f>
        <v>800</v>
      </c>
      <c r="N81" s="5" t="n">
        <f aca="false">IF(AND(C81=10,E81=1),$W$6,N80-P80)</f>
        <v>43</v>
      </c>
      <c r="O81" s="5" t="n">
        <f aca="false">IF(ABS(M81-L81)&gt;1,MIN(N81/((L81-M81)*24/12.1/1000),D81),D81)</f>
        <v>18.0659722222222</v>
      </c>
      <c r="P81" s="5" t="n">
        <f aca="false">MIN(IF(AND(G81,E81),(L81-M81)*24/12.1*O81/1000,0),N81)</f>
        <v>0</v>
      </c>
      <c r="Q81" s="5" t="n">
        <f aca="false">IF(P81&gt;0,P81/O81*12.1/24*1000+M81,0)</f>
        <v>0</v>
      </c>
      <c r="R81" s="0" t="n">
        <f aca="false">IF(Q81&gt;0,TRUNC(O81),0)</f>
        <v>0</v>
      </c>
      <c r="S81" s="5" t="n">
        <f aca="false">(M81*(D81-R81)+(Q81*R81))/D81</f>
        <v>800</v>
      </c>
      <c r="T81" s="6" t="n">
        <f aca="false">(Q81-M81)*R81*24/12.1/1000</f>
        <v>-0</v>
      </c>
    </row>
    <row r="82" customFormat="false" ht="14.35" hidden="false" customHeight="false" outlineLevel="0" collapsed="false">
      <c r="A82" s="4" t="n">
        <v>10227</v>
      </c>
      <c r="B82" s="15" t="n">
        <f aca="false">IF(C82&lt;=9,YEAR(A82),YEAR(A82)+1)</f>
        <v>1928</v>
      </c>
      <c r="C82" s="15" t="n">
        <f aca="false">MONTH(A82)</f>
        <v>12</v>
      </c>
      <c r="D82" s="15" t="n">
        <f aca="false">DAY(A82)</f>
        <v>31</v>
      </c>
      <c r="E82" s="15" t="n">
        <f aca="false">VLOOKUP(B82,WYT!$A$2:$L$97,12)</f>
        <v>1</v>
      </c>
      <c r="F82" s="15" t="n">
        <f aca="false">IF(C82=$W$5,1,0)</f>
        <v>0</v>
      </c>
      <c r="G82" s="15" t="n">
        <f aca="false">IF(C82=10,0,IF(F82=1,1,G81))</f>
        <v>0</v>
      </c>
      <c r="H82" s="5" t="n">
        <f aca="false">VA_base_426_data!B82</f>
        <v>2936.4421571439</v>
      </c>
      <c r="I82" s="5" t="n">
        <f aca="false">IF(AND(E82=1,OR(C82=4,C82=5)),25*12.1/24/D82*1000,0)</f>
        <v>0</v>
      </c>
      <c r="J82" s="5" t="n">
        <f aca="false">VA_base_426_data!C82</f>
        <v>1700</v>
      </c>
      <c r="K82" s="5" t="n">
        <f aca="false">H82+I82-J82</f>
        <v>1236.4421571439</v>
      </c>
      <c r="L82" s="5" t="n">
        <f aca="false">MIN($W$7,J82+K82)</f>
        <v>2000</v>
      </c>
      <c r="M82" s="5" t="n">
        <f aca="false">VA_base_426_data!D82</f>
        <v>800</v>
      </c>
      <c r="N82" s="5" t="n">
        <f aca="false">IF(AND(C82=10,E82=1),$W$6,N81-P81)</f>
        <v>43</v>
      </c>
      <c r="O82" s="5" t="n">
        <f aca="false">IF(ABS(M82-L82)&gt;1,MIN(N82/((L82-M82)*24/12.1/1000),D82),D82)</f>
        <v>18.0659722222222</v>
      </c>
      <c r="P82" s="5" t="n">
        <f aca="false">MIN(IF(AND(G82,E82),(L82-M82)*24/12.1*O82/1000,0),N82)</f>
        <v>0</v>
      </c>
      <c r="Q82" s="5" t="n">
        <f aca="false">IF(P82&gt;0,P82/O82*12.1/24*1000+M82,0)</f>
        <v>0</v>
      </c>
      <c r="R82" s="0" t="n">
        <f aca="false">IF(Q82&gt;0,TRUNC(O82),0)</f>
        <v>0</v>
      </c>
      <c r="S82" s="5" t="n">
        <f aca="false">(M82*(D82-R82)+(Q82*R82))/D82</f>
        <v>800</v>
      </c>
      <c r="T82" s="6" t="n">
        <f aca="false">(Q82-M82)*R82*24/12.1/1000</f>
        <v>-0</v>
      </c>
    </row>
    <row r="83" customFormat="false" ht="14.35" hidden="false" customHeight="false" outlineLevel="0" collapsed="false">
      <c r="A83" s="4" t="n">
        <v>10258</v>
      </c>
      <c r="B83" s="15" t="n">
        <f aca="false">IF(C83&lt;=9,YEAR(A83),YEAR(A83)+1)</f>
        <v>1928</v>
      </c>
      <c r="C83" s="15" t="n">
        <f aca="false">MONTH(A83)</f>
        <v>1</v>
      </c>
      <c r="D83" s="15" t="n">
        <f aca="false">DAY(A83)</f>
        <v>31</v>
      </c>
      <c r="E83" s="15" t="n">
        <f aca="false">VLOOKUP(B83,WYT!$A$2:$L$97,12)</f>
        <v>1</v>
      </c>
      <c r="F83" s="15" t="n">
        <f aca="false">IF(C83=$W$5,1,0)</f>
        <v>0</v>
      </c>
      <c r="G83" s="15" t="n">
        <f aca="false">IF(C83=10,0,IF(F83=1,1,G82))</f>
        <v>0</v>
      </c>
      <c r="H83" s="5" t="n">
        <f aca="false">VA_base_426_data!B83</f>
        <v>1700</v>
      </c>
      <c r="I83" s="5" t="n">
        <f aca="false">IF(AND(E83=1,OR(C83=4,C83=5)),25*12.1/24/D83*1000,0)</f>
        <v>0</v>
      </c>
      <c r="J83" s="5" t="n">
        <f aca="false">VA_base_426_data!C83</f>
        <v>1700</v>
      </c>
      <c r="K83" s="5" t="n">
        <f aca="false">H83+I83-J83</f>
        <v>0</v>
      </c>
      <c r="L83" s="5" t="n">
        <f aca="false">MIN($W$7,J83+K83)</f>
        <v>1700</v>
      </c>
      <c r="M83" s="5" t="n">
        <f aca="false">VA_base_426_data!D83</f>
        <v>800</v>
      </c>
      <c r="N83" s="5" t="n">
        <f aca="false">IF(AND(C83=10,E83=1),$W$6,N82-P82)</f>
        <v>43</v>
      </c>
      <c r="O83" s="5" t="n">
        <f aca="false">IF(ABS(M83-L83)&gt;1,MIN(N83/((L83-M83)*24/12.1/1000),D83),D83)</f>
        <v>24.087962962963</v>
      </c>
      <c r="P83" s="5" t="n">
        <f aca="false">MIN(IF(AND(G83,E83),(L83-M83)*24/12.1*O83/1000,0),N83)</f>
        <v>0</v>
      </c>
      <c r="Q83" s="5" t="n">
        <f aca="false">IF(P83&gt;0,P83/O83*12.1/24*1000+M83,0)</f>
        <v>0</v>
      </c>
      <c r="R83" s="0" t="n">
        <f aca="false">IF(Q83&gt;0,TRUNC(O83),0)</f>
        <v>0</v>
      </c>
      <c r="S83" s="5" t="n">
        <f aca="false">(M83*(D83-R83)+(Q83*R83))/D83</f>
        <v>800</v>
      </c>
      <c r="T83" s="6" t="n">
        <f aca="false">(Q83-M83)*R83*24/12.1/1000</f>
        <v>-0</v>
      </c>
    </row>
    <row r="84" customFormat="false" ht="14.35" hidden="false" customHeight="false" outlineLevel="0" collapsed="false">
      <c r="A84" s="4" t="n">
        <v>10287</v>
      </c>
      <c r="B84" s="15" t="n">
        <f aca="false">IF(C84&lt;=9,YEAR(A84),YEAR(A84)+1)</f>
        <v>1928</v>
      </c>
      <c r="C84" s="15" t="n">
        <f aca="false">MONTH(A84)</f>
        <v>2</v>
      </c>
      <c r="D84" s="15" t="n">
        <f aca="false">DAY(A84)</f>
        <v>29</v>
      </c>
      <c r="E84" s="15" t="n">
        <f aca="false">VLOOKUP(B84,WYT!$A$2:$L$97,12)</f>
        <v>1</v>
      </c>
      <c r="F84" s="15" t="n">
        <f aca="false">IF(C84=$W$5,1,0)</f>
        <v>1</v>
      </c>
      <c r="G84" s="15" t="n">
        <f aca="false">IF(C84=10,0,IF(F84=1,1,G83))</f>
        <v>1</v>
      </c>
      <c r="H84" s="5" t="n">
        <f aca="false">VA_base_426_data!B84</f>
        <v>3732.89315394379</v>
      </c>
      <c r="I84" s="5" t="n">
        <f aca="false">IF(AND(E84=1,OR(C84=4,C84=5)),25*12.1/24/D84*1000,0)</f>
        <v>0</v>
      </c>
      <c r="J84" s="5" t="n">
        <f aca="false">VA_base_426_data!C84</f>
        <v>1700</v>
      </c>
      <c r="K84" s="5" t="n">
        <f aca="false">H84+I84-J84</f>
        <v>2032.89315394379</v>
      </c>
      <c r="L84" s="5" t="n">
        <f aca="false">MIN($W$7,J84+K84)</f>
        <v>2000</v>
      </c>
      <c r="M84" s="5" t="n">
        <f aca="false">VA_base_426_data!D84</f>
        <v>800</v>
      </c>
      <c r="N84" s="5" t="n">
        <f aca="false">IF(AND(C84=10,E84=1),$W$6,N83-P83)</f>
        <v>43</v>
      </c>
      <c r="O84" s="5" t="n">
        <f aca="false">IF(ABS(M84-L84)&gt;1,MIN(N84/((L84-M84)*24/12.1/1000),D84),D84)</f>
        <v>18.0659722222222</v>
      </c>
      <c r="P84" s="5" t="n">
        <f aca="false">MIN(IF(AND(G84,E84),(L84-M84)*24/12.1*O84/1000,0),N84)</f>
        <v>43</v>
      </c>
      <c r="Q84" s="5" t="n">
        <f aca="false">IF(P84&gt;0,P84/O84*12.1/24*1000+M84,0)</f>
        <v>2000</v>
      </c>
      <c r="R84" s="0" t="n">
        <f aca="false">IF(Q84&gt;0,TRUNC(O84),0)</f>
        <v>18</v>
      </c>
      <c r="S84" s="5" t="n">
        <f aca="false">(M84*(D84-R84)+(Q84*R84))/D84</f>
        <v>1544.8275862069</v>
      </c>
      <c r="T84" s="6" t="n">
        <f aca="false">(Q84-M84)*R84*24/12.1/1000</f>
        <v>42.8429752066116</v>
      </c>
    </row>
    <row r="85" customFormat="false" ht="14.35" hidden="false" customHeight="false" outlineLevel="0" collapsed="false">
      <c r="A85" s="4" t="n">
        <v>10318</v>
      </c>
      <c r="B85" s="15" t="n">
        <f aca="false">IF(C85&lt;=9,YEAR(A85),YEAR(A85)+1)</f>
        <v>1928</v>
      </c>
      <c r="C85" s="15" t="n">
        <f aca="false">MONTH(A85)</f>
        <v>3</v>
      </c>
      <c r="D85" s="15" t="n">
        <f aca="false">DAY(A85)</f>
        <v>31</v>
      </c>
      <c r="E85" s="15" t="n">
        <f aca="false">VLOOKUP(B85,WYT!$A$2:$L$97,12)</f>
        <v>1</v>
      </c>
      <c r="F85" s="15" t="n">
        <f aca="false">IF(C85=$W$5,1,0)</f>
        <v>0</v>
      </c>
      <c r="G85" s="15" t="n">
        <f aca="false">IF(C85=10,0,IF(F85=1,1,G84))</f>
        <v>1</v>
      </c>
      <c r="H85" s="5" t="n">
        <f aca="false">VA_base_426_data!B85</f>
        <v>4843.97382655866</v>
      </c>
      <c r="I85" s="5" t="n">
        <f aca="false">IF(AND(E85=1,OR(C85=4,C85=5)),25*12.1/24/D85*1000,0)</f>
        <v>0</v>
      </c>
      <c r="J85" s="5" t="n">
        <f aca="false">VA_base_426_data!C85</f>
        <v>1700</v>
      </c>
      <c r="K85" s="5" t="n">
        <f aca="false">H85+I85-J85</f>
        <v>3143.97382655866</v>
      </c>
      <c r="L85" s="5" t="n">
        <f aca="false">MIN($W$7,J85+K85)</f>
        <v>2000</v>
      </c>
      <c r="M85" s="5" t="n">
        <f aca="false">VA_base_426_data!D85</f>
        <v>800</v>
      </c>
      <c r="N85" s="5" t="n">
        <f aca="false">IF(AND(C85=10,E85=1),$W$6,N84-P84)</f>
        <v>0</v>
      </c>
      <c r="O85" s="5" t="n">
        <f aca="false">IF(ABS(M85-L85)&gt;1,MIN(N85/((L85-M85)*24/12.1/1000),D85),D85)</f>
        <v>0</v>
      </c>
      <c r="P85" s="5" t="n">
        <f aca="false">MIN(IF(AND(G85,E85),(L85-M85)*24/12.1*O85/1000,0),N85)</f>
        <v>0</v>
      </c>
      <c r="Q85" s="5" t="n">
        <f aca="false">IF(P85&gt;0,P85/O85*12.1/24*1000+M85,0)</f>
        <v>0</v>
      </c>
      <c r="R85" s="0" t="n">
        <f aca="false">IF(Q85&gt;0,TRUNC(O85),0)</f>
        <v>0</v>
      </c>
      <c r="S85" s="5" t="n">
        <f aca="false">(M85*(D85-R85)+(Q85*R85))/D85</f>
        <v>800</v>
      </c>
      <c r="T85" s="6" t="n">
        <f aca="false">(Q85-M85)*R85*24/12.1/1000</f>
        <v>-0</v>
      </c>
    </row>
    <row r="86" customFormat="false" ht="14.35" hidden="false" customHeight="false" outlineLevel="0" collapsed="false">
      <c r="A86" s="4" t="n">
        <v>10348</v>
      </c>
      <c r="B86" s="15" t="n">
        <f aca="false">IF(C86&lt;=9,YEAR(A86),YEAR(A86)+1)</f>
        <v>1928</v>
      </c>
      <c r="C86" s="15" t="n">
        <f aca="false">MONTH(A86)</f>
        <v>4</v>
      </c>
      <c r="D86" s="15" t="n">
        <f aca="false">DAY(A86)</f>
        <v>30</v>
      </c>
      <c r="E86" s="15" t="n">
        <f aca="false">VLOOKUP(B86,WYT!$A$2:$L$97,12)</f>
        <v>1</v>
      </c>
      <c r="F86" s="15" t="n">
        <f aca="false">IF(C86=$W$5,1,0)</f>
        <v>0</v>
      </c>
      <c r="G86" s="15" t="n">
        <f aca="false">IF(C86=10,0,IF(F86=1,1,G85))</f>
        <v>1</v>
      </c>
      <c r="H86" s="5" t="n">
        <f aca="false">VA_base_426_data!B86</f>
        <v>1000</v>
      </c>
      <c r="I86" s="5" t="n">
        <f aca="false">IF(AND(E86=1,OR(C86=4,C86=5)),25*12.1/24/D86*1000,0)</f>
        <v>420.138888888889</v>
      </c>
      <c r="J86" s="5" t="n">
        <f aca="false">VA_base_426_data!C86</f>
        <v>1000</v>
      </c>
      <c r="K86" s="5" t="n">
        <f aca="false">H86+I86-J86</f>
        <v>420.138888888889</v>
      </c>
      <c r="L86" s="5" t="n">
        <f aca="false">MIN($W$7,J86+K86)</f>
        <v>1420.13888888889</v>
      </c>
      <c r="M86" s="5" t="n">
        <f aca="false">VA_base_426_data!D86</f>
        <v>700</v>
      </c>
      <c r="N86" s="5" t="n">
        <f aca="false">IF(AND(C86=10,E86=1),$W$6,N85-P85)</f>
        <v>0</v>
      </c>
      <c r="O86" s="5" t="n">
        <f aca="false">IF(ABS(M86-L86)&gt;1,MIN(N86/((L86-M86)*24/12.1/1000),D86),D86)</f>
        <v>0</v>
      </c>
      <c r="P86" s="5" t="n">
        <f aca="false">MIN(IF(AND(G86,E86),(L86-M86)*24/12.1*O86/1000,0),N86)</f>
        <v>0</v>
      </c>
      <c r="Q86" s="5" t="n">
        <f aca="false">IF(P86&gt;0,P86/O86*12.1/24*1000+M86,0)</f>
        <v>0</v>
      </c>
      <c r="R86" s="0" t="n">
        <f aca="false">IF(Q86&gt;0,TRUNC(O86),0)</f>
        <v>0</v>
      </c>
      <c r="S86" s="5" t="n">
        <f aca="false">(M86*(D86-R86)+(Q86*R86))/D86</f>
        <v>700</v>
      </c>
      <c r="T86" s="6" t="n">
        <f aca="false">(Q86-M86)*R86*24/12.1/1000</f>
        <v>-0</v>
      </c>
    </row>
    <row r="87" customFormat="false" ht="14.35" hidden="false" customHeight="false" outlineLevel="0" collapsed="false">
      <c r="A87" s="4" t="n">
        <v>10379</v>
      </c>
      <c r="B87" s="15" t="n">
        <f aca="false">IF(C87&lt;=9,YEAR(A87),YEAR(A87)+1)</f>
        <v>1928</v>
      </c>
      <c r="C87" s="15" t="n">
        <f aca="false">MONTH(A87)</f>
        <v>5</v>
      </c>
      <c r="D87" s="15" t="n">
        <f aca="false">DAY(A87)</f>
        <v>31</v>
      </c>
      <c r="E87" s="15" t="n">
        <f aca="false">VLOOKUP(B87,WYT!$A$2:$L$97,12)</f>
        <v>1</v>
      </c>
      <c r="F87" s="15" t="n">
        <f aca="false">IF(C87=$W$5,1,0)</f>
        <v>0</v>
      </c>
      <c r="G87" s="15" t="n">
        <f aca="false">IF(C87=10,0,IF(F87=1,1,G86))</f>
        <v>1</v>
      </c>
      <c r="H87" s="5" t="n">
        <f aca="false">VA_base_426_data!B87</f>
        <v>1000</v>
      </c>
      <c r="I87" s="5" t="n">
        <f aca="false">IF(AND(E87=1,OR(C87=4,C87=5)),25*12.1/24/D87*1000,0)</f>
        <v>406.586021505376</v>
      </c>
      <c r="J87" s="5" t="n">
        <f aca="false">VA_base_426_data!C87</f>
        <v>1000</v>
      </c>
      <c r="K87" s="5" t="n">
        <f aca="false">H87+I87-J87</f>
        <v>406.586021505376</v>
      </c>
      <c r="L87" s="5" t="n">
        <f aca="false">MIN($W$7,J87+K87)</f>
        <v>1406.58602150538</v>
      </c>
      <c r="M87" s="5" t="n">
        <f aca="false">VA_base_426_data!D87</f>
        <v>700</v>
      </c>
      <c r="N87" s="5" t="n">
        <f aca="false">IF(AND(C87=10,E87=1),$W$6,N86-P86)</f>
        <v>0</v>
      </c>
      <c r="O87" s="5" t="n">
        <f aca="false">IF(ABS(M87-L87)&gt;1,MIN(N87/((L87-M87)*24/12.1/1000),D87),D87)</f>
        <v>0</v>
      </c>
      <c r="P87" s="5" t="n">
        <f aca="false">MIN(IF(AND(G87,E87),(L87-M87)*24/12.1*O87/1000,0),N87)</f>
        <v>0</v>
      </c>
      <c r="Q87" s="5" t="n">
        <f aca="false">IF(P87&gt;0,P87/O87*12.1/24*1000+M87,0)</f>
        <v>0</v>
      </c>
      <c r="R87" s="0" t="n">
        <f aca="false">IF(Q87&gt;0,TRUNC(O87),0)</f>
        <v>0</v>
      </c>
      <c r="S87" s="5" t="n">
        <f aca="false">(M87*(D87-R87)+(Q87*R87))/D87</f>
        <v>700</v>
      </c>
      <c r="T87" s="6" t="n">
        <f aca="false">(Q87-M87)*R87*24/12.1/1000</f>
        <v>-0</v>
      </c>
    </row>
    <row r="88" customFormat="false" ht="14.35" hidden="false" customHeight="false" outlineLevel="0" collapsed="false">
      <c r="A88" s="4" t="n">
        <v>10409</v>
      </c>
      <c r="B88" s="15" t="n">
        <f aca="false">IF(C88&lt;=9,YEAR(A88),YEAR(A88)+1)</f>
        <v>1928</v>
      </c>
      <c r="C88" s="15" t="n">
        <f aca="false">MONTH(A88)</f>
        <v>6</v>
      </c>
      <c r="D88" s="15" t="n">
        <f aca="false">DAY(A88)</f>
        <v>30</v>
      </c>
      <c r="E88" s="15" t="n">
        <f aca="false">VLOOKUP(B88,WYT!$A$2:$L$97,12)</f>
        <v>1</v>
      </c>
      <c r="F88" s="15" t="n">
        <f aca="false">IF(C88=$W$5,1,0)</f>
        <v>0</v>
      </c>
      <c r="G88" s="15" t="n">
        <f aca="false">IF(C88=10,0,IF(F88=1,1,G87))</f>
        <v>1</v>
      </c>
      <c r="H88" s="5" t="n">
        <f aca="false">VA_base_426_data!B88</f>
        <v>3463.25724535071</v>
      </c>
      <c r="I88" s="5" t="n">
        <f aca="false">IF(AND(E88=1,OR(C88=4,C88=5)),25*12.1/24/D88*1000,0)</f>
        <v>0</v>
      </c>
      <c r="J88" s="5" t="n">
        <f aca="false">VA_base_426_data!C88</f>
        <v>1000</v>
      </c>
      <c r="K88" s="5" t="n">
        <f aca="false">H88+I88-J88</f>
        <v>2463.25724535071</v>
      </c>
      <c r="L88" s="5" t="n">
        <f aca="false">MIN($W$7,J88+K88)</f>
        <v>2000</v>
      </c>
      <c r="M88" s="5" t="n">
        <f aca="false">VA_base_426_data!D88</f>
        <v>700</v>
      </c>
      <c r="N88" s="5" t="n">
        <f aca="false">IF(AND(C88=10,E88=1),$W$6,N87-P87)</f>
        <v>0</v>
      </c>
      <c r="O88" s="5" t="n">
        <f aca="false">IF(ABS(M88-L88)&gt;1,MIN(N88/((L88-M88)*24/12.1/1000),D88),D88)</f>
        <v>0</v>
      </c>
      <c r="P88" s="5" t="n">
        <f aca="false">MIN(IF(AND(G88,E88),(L88-M88)*24/12.1*O88/1000,0),N88)</f>
        <v>0</v>
      </c>
      <c r="Q88" s="5" t="n">
        <f aca="false">IF(P88&gt;0,P88/O88*12.1/24*1000+M88,0)</f>
        <v>0</v>
      </c>
      <c r="R88" s="0" t="n">
        <f aca="false">IF(Q88&gt;0,TRUNC(O88),0)</f>
        <v>0</v>
      </c>
      <c r="S88" s="5" t="n">
        <f aca="false">(M88*(D88-R88)+(Q88*R88))/D88</f>
        <v>700</v>
      </c>
      <c r="T88" s="6" t="n">
        <f aca="false">(Q88-M88)*R88*24/12.1/1000</f>
        <v>-0</v>
      </c>
    </row>
    <row r="89" customFormat="false" ht="14.35" hidden="false" customHeight="false" outlineLevel="0" collapsed="false">
      <c r="A89" s="4" t="n">
        <v>10440</v>
      </c>
      <c r="B89" s="15" t="n">
        <f aca="false">IF(C89&lt;=9,YEAR(A89),YEAR(A89)+1)</f>
        <v>1928</v>
      </c>
      <c r="C89" s="15" t="n">
        <f aca="false">MONTH(A89)</f>
        <v>7</v>
      </c>
      <c r="D89" s="15" t="n">
        <f aca="false">DAY(A89)</f>
        <v>31</v>
      </c>
      <c r="E89" s="15" t="n">
        <f aca="false">VLOOKUP(B89,WYT!$A$2:$L$97,12)</f>
        <v>1</v>
      </c>
      <c r="F89" s="15" t="n">
        <f aca="false">IF(C89=$W$5,1,0)</f>
        <v>0</v>
      </c>
      <c r="G89" s="15" t="n">
        <f aca="false">IF(C89=10,0,IF(F89=1,1,G88))</f>
        <v>1</v>
      </c>
      <c r="H89" s="5" t="n">
        <f aca="false">VA_base_426_data!B89</f>
        <v>9483.1251105978</v>
      </c>
      <c r="I89" s="5" t="n">
        <f aca="false">IF(AND(E89=1,OR(C89=4,C89=5)),25*12.1/24/D89*1000,0)</f>
        <v>0</v>
      </c>
      <c r="J89" s="5" t="n">
        <f aca="false">VA_base_426_data!C89</f>
        <v>1000</v>
      </c>
      <c r="K89" s="5" t="n">
        <f aca="false">H89+I89-J89</f>
        <v>8483.1251105978</v>
      </c>
      <c r="L89" s="5" t="n">
        <f aca="false">MIN($W$7,J89+K89)</f>
        <v>2000</v>
      </c>
      <c r="M89" s="5" t="n">
        <f aca="false">VA_base_426_data!D89</f>
        <v>700</v>
      </c>
      <c r="N89" s="5" t="n">
        <f aca="false">IF(AND(C89=10,E89=1),$W$6,N88-P88)</f>
        <v>0</v>
      </c>
      <c r="O89" s="5" t="n">
        <f aca="false">IF(ABS(M89-L89)&gt;1,MIN(N89/((L89-M89)*24/12.1/1000),D89),D89)</f>
        <v>0</v>
      </c>
      <c r="P89" s="5" t="n">
        <f aca="false">MIN(IF(AND(G89,E89),(L89-M89)*24/12.1*O89/1000,0),N89)</f>
        <v>0</v>
      </c>
      <c r="Q89" s="5" t="n">
        <f aca="false">IF(P89&gt;0,P89/O89*12.1/24*1000+M89,0)</f>
        <v>0</v>
      </c>
      <c r="R89" s="0" t="n">
        <f aca="false">IF(Q89&gt;0,TRUNC(O89),0)</f>
        <v>0</v>
      </c>
      <c r="S89" s="5" t="n">
        <f aca="false">(M89*(D89-R89)+(Q89*R89))/D89</f>
        <v>700</v>
      </c>
      <c r="T89" s="6" t="n">
        <f aca="false">(Q89-M89)*R89*24/12.1/1000</f>
        <v>-0</v>
      </c>
    </row>
    <row r="90" customFormat="false" ht="14.35" hidden="false" customHeight="false" outlineLevel="0" collapsed="false">
      <c r="A90" s="4" t="n">
        <v>10471</v>
      </c>
      <c r="B90" s="15" t="n">
        <f aca="false">IF(C90&lt;=9,YEAR(A90),YEAR(A90)+1)</f>
        <v>1928</v>
      </c>
      <c r="C90" s="15" t="n">
        <f aca="false">MONTH(A90)</f>
        <v>8</v>
      </c>
      <c r="D90" s="15" t="n">
        <f aca="false">DAY(A90)</f>
        <v>31</v>
      </c>
      <c r="E90" s="15" t="n">
        <f aca="false">VLOOKUP(B90,WYT!$A$2:$L$97,12)</f>
        <v>1</v>
      </c>
      <c r="F90" s="15" t="n">
        <f aca="false">IF(C90=$W$5,1,0)</f>
        <v>0</v>
      </c>
      <c r="G90" s="15" t="n">
        <f aca="false">IF(C90=10,0,IF(F90=1,1,G89))</f>
        <v>1</v>
      </c>
      <c r="H90" s="5" t="n">
        <f aca="false">VA_base_426_data!B90</f>
        <v>8221.99595556094</v>
      </c>
      <c r="I90" s="5" t="n">
        <f aca="false">IF(AND(E90=1,OR(C90=4,C90=5)),25*12.1/24/D90*1000,0)</f>
        <v>0</v>
      </c>
      <c r="J90" s="5" t="n">
        <f aca="false">VA_base_426_data!C90</f>
        <v>1000</v>
      </c>
      <c r="K90" s="5" t="n">
        <f aca="false">H90+I90-J90</f>
        <v>7221.99595556094</v>
      </c>
      <c r="L90" s="5" t="n">
        <f aca="false">MIN($W$7,J90+K90)</f>
        <v>2000</v>
      </c>
      <c r="M90" s="5" t="n">
        <f aca="false">VA_base_426_data!D90</f>
        <v>700</v>
      </c>
      <c r="N90" s="5" t="n">
        <f aca="false">IF(AND(C90=10,E90=1),$W$6,N89-P89)</f>
        <v>0</v>
      </c>
      <c r="O90" s="5" t="n">
        <f aca="false">IF(ABS(M90-L90)&gt;1,MIN(N90/((L90-M90)*24/12.1/1000),D90),D90)</f>
        <v>0</v>
      </c>
      <c r="P90" s="5" t="n">
        <f aca="false">MIN(IF(AND(G90,E90),(L90-M90)*24/12.1*O90/1000,0),N90)</f>
        <v>0</v>
      </c>
      <c r="Q90" s="5" t="n">
        <f aca="false">IF(P90&gt;0,P90/O90*12.1/24*1000+M90,0)</f>
        <v>0</v>
      </c>
      <c r="R90" s="0" t="n">
        <f aca="false">IF(Q90&gt;0,TRUNC(O90),0)</f>
        <v>0</v>
      </c>
      <c r="S90" s="5" t="n">
        <f aca="false">(M90*(D90-R90)+(Q90*R90))/D90</f>
        <v>700</v>
      </c>
      <c r="T90" s="6" t="n">
        <f aca="false">(Q90-M90)*R90*24/12.1/1000</f>
        <v>-0</v>
      </c>
    </row>
    <row r="91" customFormat="false" ht="14.35" hidden="false" customHeight="false" outlineLevel="0" collapsed="false">
      <c r="A91" s="4" t="n">
        <v>10501</v>
      </c>
      <c r="B91" s="15" t="n">
        <f aca="false">IF(C91&lt;=9,YEAR(A91),YEAR(A91)+1)</f>
        <v>1928</v>
      </c>
      <c r="C91" s="15" t="n">
        <f aca="false">MONTH(A91)</f>
        <v>9</v>
      </c>
      <c r="D91" s="15" t="n">
        <f aca="false">DAY(A91)</f>
        <v>30</v>
      </c>
      <c r="E91" s="15" t="n">
        <f aca="false">VLOOKUP(B91,WYT!$A$2:$L$97,12)</f>
        <v>1</v>
      </c>
      <c r="F91" s="15" t="n">
        <f aca="false">IF(C91=$W$5,1,0)</f>
        <v>0</v>
      </c>
      <c r="G91" s="15" t="n">
        <f aca="false">IF(C91=10,0,IF(F91=1,1,G90))</f>
        <v>1</v>
      </c>
      <c r="H91" s="5" t="n">
        <f aca="false">VA_base_426_data!B91</f>
        <v>7560.5900326036</v>
      </c>
      <c r="I91" s="5" t="n">
        <f aca="false">IF(AND(E91=1,OR(C91=4,C91=5)),25*12.1/24/D91*1000,0)</f>
        <v>0</v>
      </c>
      <c r="J91" s="5" t="n">
        <f aca="false">VA_base_426_data!C91</f>
        <v>1000</v>
      </c>
      <c r="K91" s="5" t="n">
        <f aca="false">H91+I91-J91</f>
        <v>6560.5900326036</v>
      </c>
      <c r="L91" s="5" t="n">
        <f aca="false">MIN($W$7,J91+K91)</f>
        <v>2000</v>
      </c>
      <c r="M91" s="5" t="n">
        <f aca="false">VA_base_426_data!D91</f>
        <v>773.3333333</v>
      </c>
      <c r="N91" s="5" t="n">
        <f aca="false">IF(AND(C91=10,E91=1),$W$6,N90-P90)</f>
        <v>0</v>
      </c>
      <c r="O91" s="5" t="n">
        <f aca="false">IF(ABS(M91-L91)&gt;1,MIN(N91/((L91-M91)*24/12.1/1000),D91),D91)</f>
        <v>0</v>
      </c>
      <c r="P91" s="5" t="n">
        <f aca="false">MIN(IF(AND(G91,E91),(L91-M91)*24/12.1*O91/1000,0),N91)</f>
        <v>0</v>
      </c>
      <c r="Q91" s="5" t="n">
        <f aca="false">IF(P91&gt;0,P91/O91*12.1/24*1000+M91,0)</f>
        <v>0</v>
      </c>
      <c r="R91" s="0" t="n">
        <f aca="false">IF(Q91&gt;0,TRUNC(O91),0)</f>
        <v>0</v>
      </c>
      <c r="S91" s="5" t="n">
        <f aca="false">(M91*(D91-R91)+(Q91*R91))/D91</f>
        <v>773.3333333</v>
      </c>
      <c r="T91" s="6" t="n">
        <f aca="false">(Q91-M91)*R91*24/12.1/1000</f>
        <v>-0</v>
      </c>
    </row>
    <row r="92" customFormat="false" ht="14.35" hidden="false" customHeight="false" outlineLevel="0" collapsed="false">
      <c r="A92" s="4" t="n">
        <v>10532</v>
      </c>
      <c r="B92" s="15" t="n">
        <f aca="false">IF(C92&lt;=9,YEAR(A92),YEAR(A92)+1)</f>
        <v>1929</v>
      </c>
      <c r="C92" s="15" t="n">
        <f aca="false">MONTH(A92)</f>
        <v>10</v>
      </c>
      <c r="D92" s="15" t="n">
        <f aca="false">DAY(A92)</f>
        <v>31</v>
      </c>
      <c r="E92" s="15" t="n">
        <f aca="false">VLOOKUP(B92,WYT!$A$2:$L$97,12)</f>
        <v>0</v>
      </c>
      <c r="F92" s="15" t="n">
        <f aca="false">IF(C92=$W$5,1,0)</f>
        <v>0</v>
      </c>
      <c r="G92" s="15" t="n">
        <f aca="false">IF(C92=10,0,IF(F92=1,1,G91))</f>
        <v>0</v>
      </c>
      <c r="H92" s="5" t="n">
        <f aca="false">VA_base_426_data!B92</f>
        <v>1700</v>
      </c>
      <c r="I92" s="5" t="n">
        <f aca="false">IF(AND(E92=1,OR(C92=4,C92=5)),25*12.1/24/D92*1000,0)</f>
        <v>0</v>
      </c>
      <c r="J92" s="5" t="n">
        <f aca="false">VA_base_426_data!C92</f>
        <v>1700</v>
      </c>
      <c r="K92" s="5" t="n">
        <f aca="false">H92+I92-J92</f>
        <v>0</v>
      </c>
      <c r="L92" s="5" t="n">
        <f aca="false">MIN($W$7,J92+K92)</f>
        <v>1700</v>
      </c>
      <c r="M92" s="5" t="n">
        <f aca="false">VA_base_426_data!D92</f>
        <v>800</v>
      </c>
      <c r="N92" s="5" t="n">
        <f aca="false">IF(AND(C92=10,E92=1),$W$6,N91-P91)</f>
        <v>0</v>
      </c>
      <c r="O92" s="5" t="n">
        <f aca="false">IF(ABS(M92-L92)&gt;1,MIN(N92/((L92-M92)*24/12.1/1000),D92),D92)</f>
        <v>0</v>
      </c>
      <c r="P92" s="5" t="n">
        <f aca="false">MIN(IF(AND(G92,E92),(L92-M92)*24/12.1*O92/1000,0),N92)</f>
        <v>0</v>
      </c>
      <c r="Q92" s="5" t="n">
        <f aca="false">IF(P92&gt;0,P92/O92*12.1/24*1000+M92,0)</f>
        <v>0</v>
      </c>
      <c r="R92" s="0" t="n">
        <f aca="false">IF(Q92&gt;0,TRUNC(O92),0)</f>
        <v>0</v>
      </c>
      <c r="S92" s="5" t="n">
        <f aca="false">(M92*(D92-R92)+(Q92*R92))/D92</f>
        <v>800</v>
      </c>
      <c r="T92" s="6" t="n">
        <f aca="false">(Q92-M92)*R92*24/12.1/1000</f>
        <v>-0</v>
      </c>
    </row>
    <row r="93" customFormat="false" ht="14.35" hidden="false" customHeight="false" outlineLevel="0" collapsed="false">
      <c r="A93" s="4" t="n">
        <v>10562</v>
      </c>
      <c r="B93" s="15" t="n">
        <f aca="false">IF(C93&lt;=9,YEAR(A93),YEAR(A93)+1)</f>
        <v>1929</v>
      </c>
      <c r="C93" s="15" t="n">
        <f aca="false">MONTH(A93)</f>
        <v>11</v>
      </c>
      <c r="D93" s="15" t="n">
        <f aca="false">DAY(A93)</f>
        <v>30</v>
      </c>
      <c r="E93" s="15" t="n">
        <f aca="false">VLOOKUP(B93,WYT!$A$2:$L$97,12)</f>
        <v>0</v>
      </c>
      <c r="F93" s="15" t="n">
        <f aca="false">IF(C93=$W$5,1,0)</f>
        <v>0</v>
      </c>
      <c r="G93" s="15" t="n">
        <f aca="false">IF(C93=10,0,IF(F93=1,1,G92))</f>
        <v>0</v>
      </c>
      <c r="H93" s="5" t="n">
        <f aca="false">VA_base_426_data!B93</f>
        <v>1823.55027872742</v>
      </c>
      <c r="I93" s="5" t="n">
        <f aca="false">IF(AND(E93=1,OR(C93=4,C93=5)),25*12.1/24/D93*1000,0)</f>
        <v>0</v>
      </c>
      <c r="J93" s="5" t="n">
        <f aca="false">VA_base_426_data!C93</f>
        <v>1700</v>
      </c>
      <c r="K93" s="5" t="n">
        <f aca="false">H93+I93-J93</f>
        <v>123.550278727418</v>
      </c>
      <c r="L93" s="5" t="n">
        <f aca="false">MIN($W$7,J93+K93)</f>
        <v>1823.55027872742</v>
      </c>
      <c r="M93" s="5" t="n">
        <f aca="false">VA_base_426_data!D93</f>
        <v>800</v>
      </c>
      <c r="N93" s="5" t="n">
        <f aca="false">IF(AND(C93=10,E93=1),$W$6,N92-P92)</f>
        <v>0</v>
      </c>
      <c r="O93" s="5" t="n">
        <f aca="false">IF(ABS(M93-L93)&gt;1,MIN(N93/((L93-M93)*24/12.1/1000),D93),D93)</f>
        <v>0</v>
      </c>
      <c r="P93" s="5" t="n">
        <f aca="false">MIN(IF(AND(G93,E93),(L93-M93)*24/12.1*O93/1000,0),N93)</f>
        <v>0</v>
      </c>
      <c r="Q93" s="5" t="n">
        <f aca="false">IF(P93&gt;0,P93/O93*12.1/24*1000+M93,0)</f>
        <v>0</v>
      </c>
      <c r="R93" s="0" t="n">
        <f aca="false">IF(Q93&gt;0,TRUNC(O93),0)</f>
        <v>0</v>
      </c>
      <c r="S93" s="5" t="n">
        <f aca="false">(M93*(D93-R93)+(Q93*R93))/D93</f>
        <v>800</v>
      </c>
      <c r="T93" s="6" t="n">
        <f aca="false">(Q93-M93)*R93*24/12.1/1000</f>
        <v>-0</v>
      </c>
    </row>
    <row r="94" customFormat="false" ht="14.35" hidden="false" customHeight="false" outlineLevel="0" collapsed="false">
      <c r="A94" s="4" t="n">
        <v>10593</v>
      </c>
      <c r="B94" s="15" t="n">
        <f aca="false">IF(C94&lt;=9,YEAR(A94),YEAR(A94)+1)</f>
        <v>1929</v>
      </c>
      <c r="C94" s="15" t="n">
        <f aca="false">MONTH(A94)</f>
        <v>12</v>
      </c>
      <c r="D94" s="15" t="n">
        <f aca="false">DAY(A94)</f>
        <v>31</v>
      </c>
      <c r="E94" s="15" t="n">
        <f aca="false">VLOOKUP(B94,WYT!$A$2:$L$97,12)</f>
        <v>0</v>
      </c>
      <c r="F94" s="15" t="n">
        <f aca="false">IF(C94=$W$5,1,0)</f>
        <v>0</v>
      </c>
      <c r="G94" s="15" t="n">
        <f aca="false">IF(C94=10,0,IF(F94=1,1,G93))</f>
        <v>0</v>
      </c>
      <c r="H94" s="5" t="n">
        <f aca="false">VA_base_426_data!B94</f>
        <v>1699.99999999999</v>
      </c>
      <c r="I94" s="5" t="n">
        <f aca="false">IF(AND(E94=1,OR(C94=4,C94=5)),25*12.1/24/D94*1000,0)</f>
        <v>0</v>
      </c>
      <c r="J94" s="5" t="n">
        <f aca="false">VA_base_426_data!C94</f>
        <v>1700</v>
      </c>
      <c r="K94" s="5" t="n">
        <f aca="false">H94+I94-J94</f>
        <v>-7.73070496506989E-012</v>
      </c>
      <c r="L94" s="5" t="n">
        <f aca="false">MIN($W$7,J94+K94)</f>
        <v>1699.99999999999</v>
      </c>
      <c r="M94" s="5" t="n">
        <f aca="false">VA_base_426_data!D94</f>
        <v>800</v>
      </c>
      <c r="N94" s="5" t="n">
        <f aca="false">IF(AND(C94=10,E94=1),$W$6,N93-P93)</f>
        <v>0</v>
      </c>
      <c r="O94" s="5" t="n">
        <f aca="false">IF(ABS(M94-L94)&gt;1,MIN(N94/((L94-M94)*24/12.1/1000),D94),D94)</f>
        <v>0</v>
      </c>
      <c r="P94" s="5" t="n">
        <f aca="false">MIN(IF(AND(G94,E94),(L94-M94)*24/12.1*O94/1000,0),N94)</f>
        <v>0</v>
      </c>
      <c r="Q94" s="5" t="n">
        <f aca="false">IF(P94&gt;0,P94/O94*12.1/24*1000+M94,0)</f>
        <v>0</v>
      </c>
      <c r="R94" s="0" t="n">
        <f aca="false">IF(Q94&gt;0,TRUNC(O94),0)</f>
        <v>0</v>
      </c>
      <c r="S94" s="5" t="n">
        <f aca="false">(M94*(D94-R94)+(Q94*R94))/D94</f>
        <v>800</v>
      </c>
      <c r="T94" s="6" t="n">
        <f aca="false">(Q94-M94)*R94*24/12.1/1000</f>
        <v>-0</v>
      </c>
    </row>
    <row r="95" customFormat="false" ht="14.35" hidden="false" customHeight="false" outlineLevel="0" collapsed="false">
      <c r="A95" s="4" t="n">
        <v>10624</v>
      </c>
      <c r="B95" s="15" t="n">
        <f aca="false">IF(C95&lt;=9,YEAR(A95),YEAR(A95)+1)</f>
        <v>1929</v>
      </c>
      <c r="C95" s="15" t="n">
        <f aca="false">MONTH(A95)</f>
        <v>1</v>
      </c>
      <c r="D95" s="15" t="n">
        <f aca="false">DAY(A95)</f>
        <v>31</v>
      </c>
      <c r="E95" s="15" t="n">
        <f aca="false">VLOOKUP(B95,WYT!$A$2:$L$97,12)</f>
        <v>0</v>
      </c>
      <c r="F95" s="15" t="n">
        <f aca="false">IF(C95=$W$5,1,0)</f>
        <v>0</v>
      </c>
      <c r="G95" s="15" t="n">
        <f aca="false">IF(C95=10,0,IF(F95=1,1,G94))</f>
        <v>0</v>
      </c>
      <c r="H95" s="5" t="n">
        <f aca="false">VA_base_426_data!B95</f>
        <v>1700</v>
      </c>
      <c r="I95" s="5" t="n">
        <f aca="false">IF(AND(E95=1,OR(C95=4,C95=5)),25*12.1/24/D95*1000,0)</f>
        <v>0</v>
      </c>
      <c r="J95" s="5" t="n">
        <f aca="false">VA_base_426_data!C95</f>
        <v>1700</v>
      </c>
      <c r="K95" s="5" t="n">
        <f aca="false">H95+I95-J95</f>
        <v>0</v>
      </c>
      <c r="L95" s="5" t="n">
        <f aca="false">MIN($W$7,J95+K95)</f>
        <v>1700</v>
      </c>
      <c r="M95" s="5" t="n">
        <f aca="false">VA_base_426_data!D95</f>
        <v>800</v>
      </c>
      <c r="N95" s="5" t="n">
        <f aca="false">IF(AND(C95=10,E95=1),$W$6,N94-P94)</f>
        <v>0</v>
      </c>
      <c r="O95" s="5" t="n">
        <f aca="false">IF(ABS(M95-L95)&gt;1,MIN(N95/((L95-M95)*24/12.1/1000),D95),D95)</f>
        <v>0</v>
      </c>
      <c r="P95" s="5" t="n">
        <f aca="false">MIN(IF(AND(G95,E95),(L95-M95)*24/12.1*O95/1000,0),N95)</f>
        <v>0</v>
      </c>
      <c r="Q95" s="5" t="n">
        <f aca="false">IF(P95&gt;0,P95/O95*12.1/24*1000+M95,0)</f>
        <v>0</v>
      </c>
      <c r="R95" s="0" t="n">
        <f aca="false">IF(Q95&gt;0,TRUNC(O95),0)</f>
        <v>0</v>
      </c>
      <c r="S95" s="5" t="n">
        <f aca="false">(M95*(D95-R95)+(Q95*R95))/D95</f>
        <v>800</v>
      </c>
      <c r="T95" s="6" t="n">
        <f aca="false">(Q95-M95)*R95*24/12.1/1000</f>
        <v>-0</v>
      </c>
    </row>
    <row r="96" customFormat="false" ht="14.35" hidden="false" customHeight="false" outlineLevel="0" collapsed="false">
      <c r="A96" s="4" t="n">
        <v>10652</v>
      </c>
      <c r="B96" s="15" t="n">
        <f aca="false">IF(C96&lt;=9,YEAR(A96),YEAR(A96)+1)</f>
        <v>1929</v>
      </c>
      <c r="C96" s="15" t="n">
        <f aca="false">MONTH(A96)</f>
        <v>2</v>
      </c>
      <c r="D96" s="15" t="n">
        <f aca="false">DAY(A96)</f>
        <v>28</v>
      </c>
      <c r="E96" s="15" t="n">
        <f aca="false">VLOOKUP(B96,WYT!$A$2:$L$97,12)</f>
        <v>0</v>
      </c>
      <c r="F96" s="15" t="n">
        <f aca="false">IF(C96=$W$5,1,0)</f>
        <v>1</v>
      </c>
      <c r="G96" s="15" t="n">
        <f aca="false">IF(C96=10,0,IF(F96=1,1,G95))</f>
        <v>1</v>
      </c>
      <c r="H96" s="5" t="n">
        <f aca="false">VA_base_426_data!B96</f>
        <v>1700</v>
      </c>
      <c r="I96" s="5" t="n">
        <f aca="false">IF(AND(E96=1,OR(C96=4,C96=5)),25*12.1/24/D96*1000,0)</f>
        <v>0</v>
      </c>
      <c r="J96" s="5" t="n">
        <f aca="false">VA_base_426_data!C96</f>
        <v>1700</v>
      </c>
      <c r="K96" s="5" t="n">
        <f aca="false">H96+I96-J96</f>
        <v>0</v>
      </c>
      <c r="L96" s="5" t="n">
        <f aca="false">MIN($W$7,J96+K96)</f>
        <v>1700</v>
      </c>
      <c r="M96" s="5" t="n">
        <f aca="false">VA_base_426_data!D96</f>
        <v>800</v>
      </c>
      <c r="N96" s="5" t="n">
        <f aca="false">IF(AND(C96=10,E96=1),$W$6,N95-P95)</f>
        <v>0</v>
      </c>
      <c r="O96" s="5" t="n">
        <f aca="false">IF(ABS(M96-L96)&gt;1,MIN(N96/((L96-M96)*24/12.1/1000),D96),D96)</f>
        <v>0</v>
      </c>
      <c r="P96" s="5" t="n">
        <f aca="false">MIN(IF(AND(G96,E96),(L96-M96)*24/12.1*O96/1000,0),N96)</f>
        <v>0</v>
      </c>
      <c r="Q96" s="5" t="n">
        <f aca="false">IF(P96&gt;0,P96/O96*12.1/24*1000+M96,0)</f>
        <v>0</v>
      </c>
      <c r="R96" s="0" t="n">
        <f aca="false">IF(Q96&gt;0,TRUNC(O96),0)</f>
        <v>0</v>
      </c>
      <c r="S96" s="5" t="n">
        <f aca="false">(M96*(D96-R96)+(Q96*R96))/D96</f>
        <v>800</v>
      </c>
      <c r="T96" s="6" t="n">
        <f aca="false">(Q96-M96)*R96*24/12.1/1000</f>
        <v>-0</v>
      </c>
    </row>
    <row r="97" customFormat="false" ht="14.35" hidden="false" customHeight="false" outlineLevel="0" collapsed="false">
      <c r="A97" s="4" t="n">
        <v>10683</v>
      </c>
      <c r="B97" s="15" t="n">
        <f aca="false">IF(C97&lt;=9,YEAR(A97),YEAR(A97)+1)</f>
        <v>1929</v>
      </c>
      <c r="C97" s="15" t="n">
        <f aca="false">MONTH(A97)</f>
        <v>3</v>
      </c>
      <c r="D97" s="15" t="n">
        <f aca="false">DAY(A97)</f>
        <v>31</v>
      </c>
      <c r="E97" s="15" t="n">
        <f aca="false">VLOOKUP(B97,WYT!$A$2:$L$97,12)</f>
        <v>0</v>
      </c>
      <c r="F97" s="15" t="n">
        <f aca="false">IF(C97=$W$5,1,0)</f>
        <v>0</v>
      </c>
      <c r="G97" s="15" t="n">
        <f aca="false">IF(C97=10,0,IF(F97=1,1,G96))</f>
        <v>1</v>
      </c>
      <c r="H97" s="5" t="n">
        <f aca="false">VA_base_426_data!B97</f>
        <v>1700</v>
      </c>
      <c r="I97" s="5" t="n">
        <f aca="false">IF(AND(E97=1,OR(C97=4,C97=5)),25*12.1/24/D97*1000,0)</f>
        <v>0</v>
      </c>
      <c r="J97" s="5" t="n">
        <f aca="false">VA_base_426_data!C97</f>
        <v>1700</v>
      </c>
      <c r="K97" s="5" t="n">
        <f aca="false">H97+I97-J97</f>
        <v>0</v>
      </c>
      <c r="L97" s="5" t="n">
        <f aca="false">MIN($W$7,J97+K97)</f>
        <v>1700</v>
      </c>
      <c r="M97" s="5" t="n">
        <f aca="false">VA_base_426_data!D97</f>
        <v>800</v>
      </c>
      <c r="N97" s="5" t="n">
        <f aca="false">IF(AND(C97=10,E97=1),$W$6,N96-P96)</f>
        <v>0</v>
      </c>
      <c r="O97" s="5" t="n">
        <f aca="false">IF(ABS(M97-L97)&gt;1,MIN(N97/((L97-M97)*24/12.1/1000),D97),D97)</f>
        <v>0</v>
      </c>
      <c r="P97" s="5" t="n">
        <f aca="false">MIN(IF(AND(G97,E97),(L97-M97)*24/12.1*O97/1000,0),N97)</f>
        <v>0</v>
      </c>
      <c r="Q97" s="5" t="n">
        <f aca="false">IF(P97&gt;0,P97/O97*12.1/24*1000+M97,0)</f>
        <v>0</v>
      </c>
      <c r="R97" s="0" t="n">
        <f aca="false">IF(Q97&gt;0,TRUNC(O97),0)</f>
        <v>0</v>
      </c>
      <c r="S97" s="5" t="n">
        <f aca="false">(M97*(D97-R97)+(Q97*R97))/D97</f>
        <v>800</v>
      </c>
      <c r="T97" s="6" t="n">
        <f aca="false">(Q97-M97)*R97*24/12.1/1000</f>
        <v>-0</v>
      </c>
    </row>
    <row r="98" customFormat="false" ht="14.35" hidden="false" customHeight="false" outlineLevel="0" collapsed="false">
      <c r="A98" s="4" t="n">
        <v>10713</v>
      </c>
      <c r="B98" s="15" t="n">
        <f aca="false">IF(C98&lt;=9,YEAR(A98),YEAR(A98)+1)</f>
        <v>1929</v>
      </c>
      <c r="C98" s="15" t="n">
        <f aca="false">MONTH(A98)</f>
        <v>4</v>
      </c>
      <c r="D98" s="15" t="n">
        <f aca="false">DAY(A98)</f>
        <v>30</v>
      </c>
      <c r="E98" s="15" t="n">
        <f aca="false">VLOOKUP(B98,WYT!$A$2:$L$97,12)</f>
        <v>0</v>
      </c>
      <c r="F98" s="15" t="n">
        <f aca="false">IF(C98=$W$5,1,0)</f>
        <v>0</v>
      </c>
      <c r="G98" s="15" t="n">
        <f aca="false">IF(C98=10,0,IF(F98=1,1,G97))</f>
        <v>1</v>
      </c>
      <c r="H98" s="5" t="n">
        <f aca="false">VA_base_426_data!B98</f>
        <v>1938.57576970086</v>
      </c>
      <c r="I98" s="5" t="n">
        <f aca="false">IF(AND(E98=1,OR(C98=4,C98=5)),25*12.1/24/D98*1000,0)</f>
        <v>0</v>
      </c>
      <c r="J98" s="5" t="n">
        <f aca="false">VA_base_426_data!C98</f>
        <v>750</v>
      </c>
      <c r="K98" s="5" t="n">
        <f aca="false">H98+I98-J98</f>
        <v>1188.57576970086</v>
      </c>
      <c r="L98" s="5" t="n">
        <f aca="false">MIN($W$7,J98+K98)</f>
        <v>1938.57576970086</v>
      </c>
      <c r="M98" s="5" t="n">
        <f aca="false">VA_base_426_data!D98</f>
        <v>700</v>
      </c>
      <c r="N98" s="5" t="n">
        <f aca="false">IF(AND(C98=10,E98=1),$W$6,N97-P97)</f>
        <v>0</v>
      </c>
      <c r="O98" s="5" t="n">
        <f aca="false">IF(ABS(M98-L98)&gt;1,MIN(N98/((L98-M98)*24/12.1/1000),D98),D98)</f>
        <v>0</v>
      </c>
      <c r="P98" s="5" t="n">
        <f aca="false">MIN(IF(AND(G98,E98),(L98-M98)*24/12.1*O98/1000,0),N98)</f>
        <v>0</v>
      </c>
      <c r="Q98" s="5" t="n">
        <f aca="false">IF(P98&gt;0,P98/O98*12.1/24*1000+M98,0)</f>
        <v>0</v>
      </c>
      <c r="R98" s="0" t="n">
        <f aca="false">IF(Q98&gt;0,TRUNC(O98),0)</f>
        <v>0</v>
      </c>
      <c r="S98" s="5" t="n">
        <f aca="false">(M98*(D98-R98)+(Q98*R98))/D98</f>
        <v>700</v>
      </c>
      <c r="T98" s="6" t="n">
        <f aca="false">(Q98-M98)*R98*24/12.1/1000</f>
        <v>-0</v>
      </c>
    </row>
    <row r="99" customFormat="false" ht="14.35" hidden="false" customHeight="false" outlineLevel="0" collapsed="false">
      <c r="A99" s="4" t="n">
        <v>10744</v>
      </c>
      <c r="B99" s="15" t="n">
        <f aca="false">IF(C99&lt;=9,YEAR(A99),YEAR(A99)+1)</f>
        <v>1929</v>
      </c>
      <c r="C99" s="15" t="n">
        <f aca="false">MONTH(A99)</f>
        <v>5</v>
      </c>
      <c r="D99" s="15" t="n">
        <f aca="false">DAY(A99)</f>
        <v>31</v>
      </c>
      <c r="E99" s="15" t="n">
        <f aca="false">VLOOKUP(B99,WYT!$A$2:$L$97,12)</f>
        <v>0</v>
      </c>
      <c r="F99" s="15" t="n">
        <f aca="false">IF(C99=$W$5,1,0)</f>
        <v>0</v>
      </c>
      <c r="G99" s="15" t="n">
        <f aca="false">IF(C99=10,0,IF(F99=1,1,G98))</f>
        <v>1</v>
      </c>
      <c r="H99" s="5" t="n">
        <f aca="false">VA_base_426_data!B99</f>
        <v>2590.09159339847</v>
      </c>
      <c r="I99" s="5" t="n">
        <f aca="false">IF(AND(E99=1,OR(C99=4,C99=5)),25*12.1/24/D99*1000,0)</f>
        <v>0</v>
      </c>
      <c r="J99" s="5" t="n">
        <f aca="false">VA_base_426_data!C99</f>
        <v>750</v>
      </c>
      <c r="K99" s="5" t="n">
        <f aca="false">H99+I99-J99</f>
        <v>1840.09159339847</v>
      </c>
      <c r="L99" s="5" t="n">
        <f aca="false">MIN($W$7,J99+K99)</f>
        <v>2000</v>
      </c>
      <c r="M99" s="5" t="n">
        <f aca="false">VA_base_426_data!D99</f>
        <v>700</v>
      </c>
      <c r="N99" s="5" t="n">
        <f aca="false">IF(AND(C99=10,E99=1),$W$6,N98-P98)</f>
        <v>0</v>
      </c>
      <c r="O99" s="5" t="n">
        <f aca="false">IF(ABS(M99-L99)&gt;1,MIN(N99/((L99-M99)*24/12.1/1000),D99),D99)</f>
        <v>0</v>
      </c>
      <c r="P99" s="5" t="n">
        <f aca="false">MIN(IF(AND(G99,E99),(L99-M99)*24/12.1*O99/1000,0),N99)</f>
        <v>0</v>
      </c>
      <c r="Q99" s="5" t="n">
        <f aca="false">IF(P99&gt;0,P99/O99*12.1/24*1000+M99,0)</f>
        <v>0</v>
      </c>
      <c r="R99" s="0" t="n">
        <f aca="false">IF(Q99&gt;0,TRUNC(O99),0)</f>
        <v>0</v>
      </c>
      <c r="S99" s="5" t="n">
        <f aca="false">(M99*(D99-R99)+(Q99*R99))/D99</f>
        <v>700</v>
      </c>
      <c r="T99" s="6" t="n">
        <f aca="false">(Q99-M99)*R99*24/12.1/1000</f>
        <v>-0</v>
      </c>
    </row>
    <row r="100" customFormat="false" ht="14.35" hidden="false" customHeight="false" outlineLevel="0" collapsed="false">
      <c r="A100" s="4" t="n">
        <v>10774</v>
      </c>
      <c r="B100" s="15" t="n">
        <f aca="false">IF(C100&lt;=9,YEAR(A100),YEAR(A100)+1)</f>
        <v>1929</v>
      </c>
      <c r="C100" s="15" t="n">
        <f aca="false">MONTH(A100)</f>
        <v>6</v>
      </c>
      <c r="D100" s="15" t="n">
        <f aca="false">DAY(A100)</f>
        <v>30</v>
      </c>
      <c r="E100" s="15" t="n">
        <f aca="false">VLOOKUP(B100,WYT!$A$2:$L$97,12)</f>
        <v>0</v>
      </c>
      <c r="F100" s="15" t="n">
        <f aca="false">IF(C100=$W$5,1,0)</f>
        <v>0</v>
      </c>
      <c r="G100" s="15" t="n">
        <f aca="false">IF(C100=10,0,IF(F100=1,1,G99))</f>
        <v>1</v>
      </c>
      <c r="H100" s="5" t="n">
        <f aca="false">VA_base_426_data!B100</f>
        <v>3230.51438733272</v>
      </c>
      <c r="I100" s="5" t="n">
        <f aca="false">IF(AND(E100=1,OR(C100=4,C100=5)),25*12.1/24/D100*1000,0)</f>
        <v>0</v>
      </c>
      <c r="J100" s="5" t="n">
        <f aca="false">VA_base_426_data!C100</f>
        <v>750</v>
      </c>
      <c r="K100" s="5" t="n">
        <f aca="false">H100+I100-J100</f>
        <v>2480.51438733272</v>
      </c>
      <c r="L100" s="5" t="n">
        <f aca="false">MIN($W$7,J100+K100)</f>
        <v>2000</v>
      </c>
      <c r="M100" s="5" t="n">
        <f aca="false">VA_base_426_data!D100</f>
        <v>700</v>
      </c>
      <c r="N100" s="5" t="n">
        <f aca="false">IF(AND(C100=10,E100=1),$W$6,N99-P99)</f>
        <v>0</v>
      </c>
      <c r="O100" s="5" t="n">
        <f aca="false">IF(ABS(M100-L100)&gt;1,MIN(N100/((L100-M100)*24/12.1/1000),D100),D100)</f>
        <v>0</v>
      </c>
      <c r="P100" s="5" t="n">
        <f aca="false">MIN(IF(AND(G100,E100),(L100-M100)*24/12.1*O100/1000,0),N100)</f>
        <v>0</v>
      </c>
      <c r="Q100" s="5" t="n">
        <f aca="false">IF(P100&gt;0,P100/O100*12.1/24*1000+M100,0)</f>
        <v>0</v>
      </c>
      <c r="R100" s="0" t="n">
        <f aca="false">IF(Q100&gt;0,TRUNC(O100),0)</f>
        <v>0</v>
      </c>
      <c r="S100" s="5" t="n">
        <f aca="false">(M100*(D100-R100)+(Q100*R100))/D100</f>
        <v>700</v>
      </c>
      <c r="T100" s="6" t="n">
        <f aca="false">(Q100-M100)*R100*24/12.1/1000</f>
        <v>-0</v>
      </c>
    </row>
    <row r="101" customFormat="false" ht="14.35" hidden="false" customHeight="false" outlineLevel="0" collapsed="false">
      <c r="A101" s="4" t="n">
        <v>10805</v>
      </c>
      <c r="B101" s="15" t="n">
        <f aca="false">IF(C101&lt;=9,YEAR(A101),YEAR(A101)+1)</f>
        <v>1929</v>
      </c>
      <c r="C101" s="15" t="n">
        <f aca="false">MONTH(A101)</f>
        <v>7</v>
      </c>
      <c r="D101" s="15" t="n">
        <f aca="false">DAY(A101)</f>
        <v>31</v>
      </c>
      <c r="E101" s="15" t="n">
        <f aca="false">VLOOKUP(B101,WYT!$A$2:$L$97,12)</f>
        <v>0</v>
      </c>
      <c r="F101" s="15" t="n">
        <f aca="false">IF(C101=$W$5,1,0)</f>
        <v>0</v>
      </c>
      <c r="G101" s="15" t="n">
        <f aca="false">IF(C101=10,0,IF(F101=1,1,G100))</f>
        <v>1</v>
      </c>
      <c r="H101" s="5" t="n">
        <f aca="false">VA_base_426_data!B101</f>
        <v>2996.89444213349</v>
      </c>
      <c r="I101" s="5" t="n">
        <f aca="false">IF(AND(E101=1,OR(C101=4,C101=5)),25*12.1/24/D101*1000,0)</f>
        <v>0</v>
      </c>
      <c r="J101" s="5" t="n">
        <f aca="false">VA_base_426_data!C101</f>
        <v>750</v>
      </c>
      <c r="K101" s="5" t="n">
        <f aca="false">H101+I101-J101</f>
        <v>2246.89444213349</v>
      </c>
      <c r="L101" s="5" t="n">
        <f aca="false">MIN($W$7,J101+K101)</f>
        <v>2000</v>
      </c>
      <c r="M101" s="5" t="n">
        <f aca="false">VA_base_426_data!D101</f>
        <v>700</v>
      </c>
      <c r="N101" s="5" t="n">
        <f aca="false">IF(AND(C101=10,E101=1),$W$6,N100-P100)</f>
        <v>0</v>
      </c>
      <c r="O101" s="5" t="n">
        <f aca="false">IF(ABS(M101-L101)&gt;1,MIN(N101/((L101-M101)*24/12.1/1000),D101),D101)</f>
        <v>0</v>
      </c>
      <c r="P101" s="5" t="n">
        <f aca="false">MIN(IF(AND(G101,E101),(L101-M101)*24/12.1*O101/1000,0),N101)</f>
        <v>0</v>
      </c>
      <c r="Q101" s="5" t="n">
        <f aca="false">IF(P101&gt;0,P101/O101*12.1/24*1000+M101,0)</f>
        <v>0</v>
      </c>
      <c r="R101" s="0" t="n">
        <f aca="false">IF(Q101&gt;0,TRUNC(O101),0)</f>
        <v>0</v>
      </c>
      <c r="S101" s="5" t="n">
        <f aca="false">(M101*(D101-R101)+(Q101*R101))/D101</f>
        <v>700</v>
      </c>
      <c r="T101" s="6" t="n">
        <f aca="false">(Q101-M101)*R101*24/12.1/1000</f>
        <v>-0</v>
      </c>
    </row>
    <row r="102" customFormat="false" ht="14.35" hidden="false" customHeight="false" outlineLevel="0" collapsed="false">
      <c r="A102" s="4" t="n">
        <v>10836</v>
      </c>
      <c r="B102" s="15" t="n">
        <f aca="false">IF(C102&lt;=9,YEAR(A102),YEAR(A102)+1)</f>
        <v>1929</v>
      </c>
      <c r="C102" s="15" t="n">
        <f aca="false">MONTH(A102)</f>
        <v>8</v>
      </c>
      <c r="D102" s="15" t="n">
        <f aca="false">DAY(A102)</f>
        <v>31</v>
      </c>
      <c r="E102" s="15" t="n">
        <f aca="false">VLOOKUP(B102,WYT!$A$2:$L$97,12)</f>
        <v>0</v>
      </c>
      <c r="F102" s="15" t="n">
        <f aca="false">IF(C102=$W$5,1,0)</f>
        <v>0</v>
      </c>
      <c r="G102" s="15" t="n">
        <f aca="false">IF(C102=10,0,IF(F102=1,1,G101))</f>
        <v>1</v>
      </c>
      <c r="H102" s="5" t="n">
        <f aca="false">VA_base_426_data!B102</f>
        <v>2039.80681329411</v>
      </c>
      <c r="I102" s="5" t="n">
        <f aca="false">IF(AND(E102=1,OR(C102=4,C102=5)),25*12.1/24/D102*1000,0)</f>
        <v>0</v>
      </c>
      <c r="J102" s="5" t="n">
        <f aca="false">VA_base_426_data!C102</f>
        <v>750</v>
      </c>
      <c r="K102" s="5" t="n">
        <f aca="false">H102+I102-J102</f>
        <v>1289.80681329411</v>
      </c>
      <c r="L102" s="5" t="n">
        <f aca="false">MIN($W$7,J102+K102)</f>
        <v>2000</v>
      </c>
      <c r="M102" s="5" t="n">
        <f aca="false">VA_base_426_data!D102</f>
        <v>700</v>
      </c>
      <c r="N102" s="5" t="n">
        <f aca="false">IF(AND(C102=10,E102=1),$W$6,N101-P101)</f>
        <v>0</v>
      </c>
      <c r="O102" s="5" t="n">
        <f aca="false">IF(ABS(M102-L102)&gt;1,MIN(N102/((L102-M102)*24/12.1/1000),D102),D102)</f>
        <v>0</v>
      </c>
      <c r="P102" s="5" t="n">
        <f aca="false">MIN(IF(AND(G102,E102),(L102-M102)*24/12.1*O102/1000,0),N102)</f>
        <v>0</v>
      </c>
      <c r="Q102" s="5" t="n">
        <f aca="false">IF(P102&gt;0,P102/O102*12.1/24*1000+M102,0)</f>
        <v>0</v>
      </c>
      <c r="R102" s="0" t="n">
        <f aca="false">IF(Q102&gt;0,TRUNC(O102),0)</f>
        <v>0</v>
      </c>
      <c r="S102" s="5" t="n">
        <f aca="false">(M102*(D102-R102)+(Q102*R102))/D102</f>
        <v>700</v>
      </c>
      <c r="T102" s="6" t="n">
        <f aca="false">(Q102-M102)*R102*24/12.1/1000</f>
        <v>-0</v>
      </c>
    </row>
    <row r="103" customFormat="false" ht="14.35" hidden="false" customHeight="false" outlineLevel="0" collapsed="false">
      <c r="A103" s="4" t="n">
        <v>10866</v>
      </c>
      <c r="B103" s="15" t="n">
        <f aca="false">IF(C103&lt;=9,YEAR(A103),YEAR(A103)+1)</f>
        <v>1929</v>
      </c>
      <c r="C103" s="15" t="n">
        <f aca="false">MONTH(A103)</f>
        <v>9</v>
      </c>
      <c r="D103" s="15" t="n">
        <f aca="false">DAY(A103)</f>
        <v>30</v>
      </c>
      <c r="E103" s="15" t="n">
        <f aca="false">VLOOKUP(B103,WYT!$A$2:$L$97,12)</f>
        <v>0</v>
      </c>
      <c r="F103" s="15" t="n">
        <f aca="false">IF(C103=$W$5,1,0)</f>
        <v>0</v>
      </c>
      <c r="G103" s="15" t="n">
        <f aca="false">IF(C103=10,0,IF(F103=1,1,G102))</f>
        <v>1</v>
      </c>
      <c r="H103" s="5" t="n">
        <f aca="false">VA_base_426_data!B103</f>
        <v>773.333333299997</v>
      </c>
      <c r="I103" s="5" t="n">
        <f aca="false">IF(AND(E103=1,OR(C103=4,C103=5)),25*12.1/24/D103*1000,0)</f>
        <v>0</v>
      </c>
      <c r="J103" s="5" t="n">
        <f aca="false">VA_base_426_data!C103</f>
        <v>750</v>
      </c>
      <c r="K103" s="5" t="n">
        <f aca="false">H103+I103-J103</f>
        <v>23.3333332999969</v>
      </c>
      <c r="L103" s="5" t="n">
        <f aca="false">MIN($W$7,J103+K103)</f>
        <v>773.333333299997</v>
      </c>
      <c r="M103" s="5" t="n">
        <f aca="false">VA_base_426_data!D103</f>
        <v>773.3333333</v>
      </c>
      <c r="N103" s="5" t="n">
        <f aca="false">IF(AND(C103=10,E103=1),$W$6,N102-P102)</f>
        <v>0</v>
      </c>
      <c r="O103" s="5" t="n">
        <f aca="false">IF(ABS(M103-L103)&gt;1,MIN(N103/((L103-M103)*24/12.1/1000),D103),D103)</f>
        <v>30</v>
      </c>
      <c r="P103" s="5" t="n">
        <f aca="false">MIN(IF(AND(G103,E103),(L103-M103)*24/12.1*O103/1000,0),N103)</f>
        <v>0</v>
      </c>
      <c r="Q103" s="5" t="n">
        <f aca="false">IF(P103&gt;0,P103/O103*12.1/24*1000+M103,0)</f>
        <v>0</v>
      </c>
      <c r="R103" s="0" t="n">
        <f aca="false">IF(Q103&gt;0,TRUNC(O103),0)</f>
        <v>0</v>
      </c>
      <c r="S103" s="5" t="n">
        <f aca="false">(M103*(D103-R103)+(Q103*R103))/D103</f>
        <v>773.3333333</v>
      </c>
      <c r="T103" s="6" t="n">
        <f aca="false">(Q103-M103)*R103*24/12.1/1000</f>
        <v>-0</v>
      </c>
    </row>
    <row r="104" customFormat="false" ht="14.35" hidden="false" customHeight="false" outlineLevel="0" collapsed="false">
      <c r="A104" s="4" t="n">
        <v>10897</v>
      </c>
      <c r="B104" s="15" t="n">
        <f aca="false">IF(C104&lt;=9,YEAR(A104),YEAR(A104)+1)</f>
        <v>1930</v>
      </c>
      <c r="C104" s="15" t="n">
        <f aca="false">MONTH(A104)</f>
        <v>10</v>
      </c>
      <c r="D104" s="15" t="n">
        <f aca="false">DAY(A104)</f>
        <v>31</v>
      </c>
      <c r="E104" s="15" t="n">
        <f aca="false">VLOOKUP(B104,WYT!$A$2:$L$97,12)</f>
        <v>1</v>
      </c>
      <c r="F104" s="15" t="n">
        <f aca="false">IF(C104=$W$5,1,0)</f>
        <v>0</v>
      </c>
      <c r="G104" s="15" t="n">
        <f aca="false">IF(C104=10,0,IF(F104=1,1,G103))</f>
        <v>0</v>
      </c>
      <c r="H104" s="5" t="n">
        <f aca="false">VA_base_426_data!B104</f>
        <v>899.999999999994</v>
      </c>
      <c r="I104" s="5" t="n">
        <f aca="false">IF(AND(E104=1,OR(C104=4,C104=5)),25*12.1/24/D104*1000,0)</f>
        <v>0</v>
      </c>
      <c r="J104" s="5" t="n">
        <f aca="false">VA_base_426_data!C104</f>
        <v>900</v>
      </c>
      <c r="K104" s="5" t="n">
        <f aca="false">H104+I104-J104</f>
        <v>-5.6843418860808E-012</v>
      </c>
      <c r="L104" s="5" t="n">
        <f aca="false">MIN($W$7,J104+K104)</f>
        <v>899.999999999994</v>
      </c>
      <c r="M104" s="5" t="n">
        <f aca="false">VA_base_426_data!D104</f>
        <v>800</v>
      </c>
      <c r="N104" s="5" t="n">
        <f aca="false">IF(AND(C104=10,E104=1),$W$6,N103-P103)</f>
        <v>43</v>
      </c>
      <c r="O104" s="5" t="n">
        <f aca="false">IF(ABS(M104-L104)&gt;1,MIN(N104/((L104-M104)*24/12.1/1000),D104),D104)</f>
        <v>31</v>
      </c>
      <c r="P104" s="5" t="n">
        <f aca="false">MIN(IF(AND(G104,E104),(L104-M104)*24/12.1*O104/1000,0),N104)</f>
        <v>0</v>
      </c>
      <c r="Q104" s="5" t="n">
        <f aca="false">IF(P104&gt;0,P104/O104*12.1/24*1000+M104,0)</f>
        <v>0</v>
      </c>
      <c r="R104" s="0" t="n">
        <f aca="false">IF(Q104&gt;0,TRUNC(O104),0)</f>
        <v>0</v>
      </c>
      <c r="S104" s="5" t="n">
        <f aca="false">(M104*(D104-R104)+(Q104*R104))/D104</f>
        <v>800</v>
      </c>
      <c r="T104" s="6" t="n">
        <f aca="false">(Q104-M104)*R104*24/12.1/1000</f>
        <v>-0</v>
      </c>
    </row>
    <row r="105" customFormat="false" ht="14.35" hidden="false" customHeight="false" outlineLevel="0" collapsed="false">
      <c r="A105" s="4" t="n">
        <v>10927</v>
      </c>
      <c r="B105" s="15" t="n">
        <f aca="false">IF(C105&lt;=9,YEAR(A105),YEAR(A105)+1)</f>
        <v>1930</v>
      </c>
      <c r="C105" s="15" t="n">
        <f aca="false">MONTH(A105)</f>
        <v>11</v>
      </c>
      <c r="D105" s="15" t="n">
        <f aca="false">DAY(A105)</f>
        <v>30</v>
      </c>
      <c r="E105" s="15" t="n">
        <f aca="false">VLOOKUP(B105,WYT!$A$2:$L$97,12)</f>
        <v>1</v>
      </c>
      <c r="F105" s="15" t="n">
        <f aca="false">IF(C105=$W$5,1,0)</f>
        <v>0</v>
      </c>
      <c r="G105" s="15" t="n">
        <f aca="false">IF(C105=10,0,IF(F105=1,1,G104))</f>
        <v>0</v>
      </c>
      <c r="H105" s="5" t="n">
        <f aca="false">VA_base_426_data!B105</f>
        <v>925.628810573894</v>
      </c>
      <c r="I105" s="5" t="n">
        <f aca="false">IF(AND(E105=1,OR(C105=4,C105=5)),25*12.1/24/D105*1000,0)</f>
        <v>0</v>
      </c>
      <c r="J105" s="5" t="n">
        <f aca="false">VA_base_426_data!C105</f>
        <v>900</v>
      </c>
      <c r="K105" s="5" t="n">
        <f aca="false">H105+I105-J105</f>
        <v>25.6288105738938</v>
      </c>
      <c r="L105" s="5" t="n">
        <f aca="false">MIN($W$7,J105+K105)</f>
        <v>925.628810573894</v>
      </c>
      <c r="M105" s="5" t="n">
        <f aca="false">VA_base_426_data!D105</f>
        <v>800</v>
      </c>
      <c r="N105" s="5" t="n">
        <f aca="false">IF(AND(C105=10,E105=1),$W$6,N104-P104)</f>
        <v>43</v>
      </c>
      <c r="O105" s="5" t="n">
        <f aca="false">IF(ABS(M105-L105)&gt;1,MIN(N105/((L105-M105)*24/12.1/1000),D105),D105)</f>
        <v>30</v>
      </c>
      <c r="P105" s="5" t="n">
        <f aca="false">MIN(IF(AND(G105,E105),(L105-M105)*24/12.1*O105/1000,0),N105)</f>
        <v>0</v>
      </c>
      <c r="Q105" s="5" t="n">
        <f aca="false">IF(P105&gt;0,P105/O105*12.1/24*1000+M105,0)</f>
        <v>0</v>
      </c>
      <c r="R105" s="0" t="n">
        <f aca="false">IF(Q105&gt;0,TRUNC(O105),0)</f>
        <v>0</v>
      </c>
      <c r="S105" s="5" t="n">
        <f aca="false">(M105*(D105-R105)+(Q105*R105))/D105</f>
        <v>800</v>
      </c>
      <c r="T105" s="6" t="n">
        <f aca="false">(Q105-M105)*R105*24/12.1/1000</f>
        <v>-0</v>
      </c>
    </row>
    <row r="106" customFormat="false" ht="14.35" hidden="false" customHeight="false" outlineLevel="0" collapsed="false">
      <c r="A106" s="4" t="n">
        <v>10958</v>
      </c>
      <c r="B106" s="15" t="n">
        <f aca="false">IF(C106&lt;=9,YEAR(A106),YEAR(A106)+1)</f>
        <v>1930</v>
      </c>
      <c r="C106" s="15" t="n">
        <f aca="false">MONTH(A106)</f>
        <v>12</v>
      </c>
      <c r="D106" s="15" t="n">
        <f aca="false">DAY(A106)</f>
        <v>31</v>
      </c>
      <c r="E106" s="15" t="n">
        <f aca="false">VLOOKUP(B106,WYT!$A$2:$L$97,12)</f>
        <v>1</v>
      </c>
      <c r="F106" s="15" t="n">
        <f aca="false">IF(C106=$W$5,1,0)</f>
        <v>0</v>
      </c>
      <c r="G106" s="15" t="n">
        <f aca="false">IF(C106=10,0,IF(F106=1,1,G105))</f>
        <v>0</v>
      </c>
      <c r="H106" s="5" t="n">
        <f aca="false">VA_base_426_data!B106</f>
        <v>3626.82696331766</v>
      </c>
      <c r="I106" s="5" t="n">
        <f aca="false">IF(AND(E106=1,OR(C106=4,C106=5)),25*12.1/24/D106*1000,0)</f>
        <v>0</v>
      </c>
      <c r="J106" s="5" t="n">
        <f aca="false">VA_base_426_data!C106</f>
        <v>900</v>
      </c>
      <c r="K106" s="5" t="n">
        <f aca="false">H106+I106-J106</f>
        <v>2726.82696331766</v>
      </c>
      <c r="L106" s="5" t="n">
        <f aca="false">MIN($W$7,J106+K106)</f>
        <v>2000</v>
      </c>
      <c r="M106" s="5" t="n">
        <f aca="false">VA_base_426_data!D106</f>
        <v>800</v>
      </c>
      <c r="N106" s="5" t="n">
        <f aca="false">IF(AND(C106=10,E106=1),$W$6,N105-P105)</f>
        <v>43</v>
      </c>
      <c r="O106" s="5" t="n">
        <f aca="false">IF(ABS(M106-L106)&gt;1,MIN(N106/((L106-M106)*24/12.1/1000),D106),D106)</f>
        <v>18.0659722222222</v>
      </c>
      <c r="P106" s="5" t="n">
        <f aca="false">MIN(IF(AND(G106,E106),(L106-M106)*24/12.1*O106/1000,0),N106)</f>
        <v>0</v>
      </c>
      <c r="Q106" s="5" t="n">
        <f aca="false">IF(P106&gt;0,P106/O106*12.1/24*1000+M106,0)</f>
        <v>0</v>
      </c>
      <c r="R106" s="0" t="n">
        <f aca="false">IF(Q106&gt;0,TRUNC(O106),0)</f>
        <v>0</v>
      </c>
      <c r="S106" s="5" t="n">
        <f aca="false">(M106*(D106-R106)+(Q106*R106))/D106</f>
        <v>800</v>
      </c>
      <c r="T106" s="6" t="n">
        <f aca="false">(Q106-M106)*R106*24/12.1/1000</f>
        <v>-0</v>
      </c>
    </row>
    <row r="107" customFormat="false" ht="14.35" hidden="false" customHeight="false" outlineLevel="0" collapsed="false">
      <c r="A107" s="4" t="n">
        <v>10989</v>
      </c>
      <c r="B107" s="15" t="n">
        <f aca="false">IF(C107&lt;=9,YEAR(A107),YEAR(A107)+1)</f>
        <v>1930</v>
      </c>
      <c r="C107" s="15" t="n">
        <f aca="false">MONTH(A107)</f>
        <v>1</v>
      </c>
      <c r="D107" s="15" t="n">
        <f aca="false">DAY(A107)</f>
        <v>31</v>
      </c>
      <c r="E107" s="15" t="n">
        <f aca="false">VLOOKUP(B107,WYT!$A$2:$L$97,12)</f>
        <v>1</v>
      </c>
      <c r="F107" s="15" t="n">
        <f aca="false">IF(C107=$W$5,1,0)</f>
        <v>0</v>
      </c>
      <c r="G107" s="15" t="n">
        <f aca="false">IF(C107=10,0,IF(F107=1,1,G106))</f>
        <v>0</v>
      </c>
      <c r="H107" s="5" t="n">
        <f aca="false">VA_base_426_data!B107</f>
        <v>900</v>
      </c>
      <c r="I107" s="5" t="n">
        <f aca="false">IF(AND(E107=1,OR(C107=4,C107=5)),25*12.1/24/D107*1000,0)</f>
        <v>0</v>
      </c>
      <c r="J107" s="5" t="n">
        <f aca="false">VA_base_426_data!C107</f>
        <v>900</v>
      </c>
      <c r="K107" s="5" t="n">
        <f aca="false">H107+I107-J107</f>
        <v>0</v>
      </c>
      <c r="L107" s="5" t="n">
        <f aca="false">MIN($W$7,J107+K107)</f>
        <v>900</v>
      </c>
      <c r="M107" s="5" t="n">
        <f aca="false">VA_base_426_data!D107</f>
        <v>800</v>
      </c>
      <c r="N107" s="5" t="n">
        <f aca="false">IF(AND(C107=10,E107=1),$W$6,N106-P106)</f>
        <v>43</v>
      </c>
      <c r="O107" s="5" t="n">
        <f aca="false">IF(ABS(M107-L107)&gt;1,MIN(N107/((L107-M107)*24/12.1/1000),D107),D107)</f>
        <v>31</v>
      </c>
      <c r="P107" s="5" t="n">
        <f aca="false">MIN(IF(AND(G107,E107),(L107-M107)*24/12.1*O107/1000,0),N107)</f>
        <v>0</v>
      </c>
      <c r="Q107" s="5" t="n">
        <f aca="false">IF(P107&gt;0,P107/O107*12.1/24*1000+M107,0)</f>
        <v>0</v>
      </c>
      <c r="R107" s="0" t="n">
        <f aca="false">IF(Q107&gt;0,TRUNC(O107),0)</f>
        <v>0</v>
      </c>
      <c r="S107" s="5" t="n">
        <f aca="false">(M107*(D107-R107)+(Q107*R107))/D107</f>
        <v>800</v>
      </c>
      <c r="T107" s="6" t="n">
        <f aca="false">(Q107-M107)*R107*24/12.1/1000</f>
        <v>-0</v>
      </c>
    </row>
    <row r="108" customFormat="false" ht="14.35" hidden="false" customHeight="false" outlineLevel="0" collapsed="false">
      <c r="A108" s="4" t="n">
        <v>11017</v>
      </c>
      <c r="B108" s="15" t="n">
        <f aca="false">IF(C108&lt;=9,YEAR(A108),YEAR(A108)+1)</f>
        <v>1930</v>
      </c>
      <c r="C108" s="15" t="n">
        <f aca="false">MONTH(A108)</f>
        <v>2</v>
      </c>
      <c r="D108" s="15" t="n">
        <f aca="false">DAY(A108)</f>
        <v>28</v>
      </c>
      <c r="E108" s="15" t="n">
        <f aca="false">VLOOKUP(B108,WYT!$A$2:$L$97,12)</f>
        <v>1</v>
      </c>
      <c r="F108" s="15" t="n">
        <f aca="false">IF(C108=$W$5,1,0)</f>
        <v>1</v>
      </c>
      <c r="G108" s="15" t="n">
        <f aca="false">IF(C108=10,0,IF(F108=1,1,G107))</f>
        <v>1</v>
      </c>
      <c r="H108" s="5" t="n">
        <f aca="false">VA_base_426_data!B108</f>
        <v>3427.13181290596</v>
      </c>
      <c r="I108" s="5" t="n">
        <f aca="false">IF(AND(E108=1,OR(C108=4,C108=5)),25*12.1/24/D108*1000,0)</f>
        <v>0</v>
      </c>
      <c r="J108" s="5" t="n">
        <f aca="false">VA_base_426_data!C108</f>
        <v>900</v>
      </c>
      <c r="K108" s="5" t="n">
        <f aca="false">H108+I108-J108</f>
        <v>2527.13181290596</v>
      </c>
      <c r="L108" s="5" t="n">
        <f aca="false">MIN($W$7,J108+K108)</f>
        <v>2000</v>
      </c>
      <c r="M108" s="5" t="n">
        <f aca="false">VA_base_426_data!D108</f>
        <v>800</v>
      </c>
      <c r="N108" s="5" t="n">
        <f aca="false">IF(AND(C108=10,E108=1),$W$6,N107-P107)</f>
        <v>43</v>
      </c>
      <c r="O108" s="5" t="n">
        <f aca="false">IF(ABS(M108-L108)&gt;1,MIN(N108/((L108-M108)*24/12.1/1000),D108),D108)</f>
        <v>18.0659722222222</v>
      </c>
      <c r="P108" s="5" t="n">
        <f aca="false">MIN(IF(AND(G108,E108),(L108-M108)*24/12.1*O108/1000,0),N108)</f>
        <v>43</v>
      </c>
      <c r="Q108" s="5" t="n">
        <f aca="false">IF(P108&gt;0,P108/O108*12.1/24*1000+M108,0)</f>
        <v>2000</v>
      </c>
      <c r="R108" s="0" t="n">
        <f aca="false">IF(Q108&gt;0,TRUNC(O108),0)</f>
        <v>18</v>
      </c>
      <c r="S108" s="5" t="n">
        <f aca="false">(M108*(D108-R108)+(Q108*R108))/D108</f>
        <v>1571.42857142857</v>
      </c>
      <c r="T108" s="6" t="n">
        <f aca="false">(Q108-M108)*R108*24/12.1/1000</f>
        <v>42.8429752066116</v>
      </c>
    </row>
    <row r="109" customFormat="false" ht="14.35" hidden="false" customHeight="false" outlineLevel="0" collapsed="false">
      <c r="A109" s="4" t="n">
        <v>11048</v>
      </c>
      <c r="B109" s="15" t="n">
        <f aca="false">IF(C109&lt;=9,YEAR(A109),YEAR(A109)+1)</f>
        <v>1930</v>
      </c>
      <c r="C109" s="15" t="n">
        <f aca="false">MONTH(A109)</f>
        <v>3</v>
      </c>
      <c r="D109" s="15" t="n">
        <f aca="false">DAY(A109)</f>
        <v>31</v>
      </c>
      <c r="E109" s="15" t="n">
        <f aca="false">VLOOKUP(B109,WYT!$A$2:$L$97,12)</f>
        <v>1</v>
      </c>
      <c r="F109" s="15" t="n">
        <f aca="false">IF(C109=$W$5,1,0)</f>
        <v>0</v>
      </c>
      <c r="G109" s="15" t="n">
        <f aca="false">IF(C109=10,0,IF(F109=1,1,G108))</f>
        <v>1</v>
      </c>
      <c r="H109" s="5" t="n">
        <f aca="false">VA_base_426_data!B109</f>
        <v>800</v>
      </c>
      <c r="I109" s="5" t="n">
        <f aca="false">IF(AND(E109=1,OR(C109=4,C109=5)),25*12.1/24/D109*1000,0)</f>
        <v>0</v>
      </c>
      <c r="J109" s="5" t="n">
        <f aca="false">VA_base_426_data!C109</f>
        <v>750</v>
      </c>
      <c r="K109" s="5" t="n">
        <f aca="false">H109+I109-J109</f>
        <v>50</v>
      </c>
      <c r="L109" s="5" t="n">
        <f aca="false">MIN($W$7,J109+K109)</f>
        <v>800</v>
      </c>
      <c r="M109" s="5" t="n">
        <f aca="false">VA_base_426_data!D109</f>
        <v>800</v>
      </c>
      <c r="N109" s="5" t="n">
        <f aca="false">IF(AND(C109=10,E109=1),$W$6,N108-P108)</f>
        <v>0</v>
      </c>
      <c r="O109" s="5" t="n">
        <f aca="false">IF(ABS(M109-L109)&gt;1,MIN(N109/((L109-M109)*24/12.1/1000),D109),D109)</f>
        <v>31</v>
      </c>
      <c r="P109" s="5" t="n">
        <f aca="false">MIN(IF(AND(G109,E109),(L109-M109)*24/12.1*O109/1000,0),N109)</f>
        <v>0</v>
      </c>
      <c r="Q109" s="5" t="n">
        <f aca="false">IF(P109&gt;0,P109/O109*12.1/24*1000+M109,0)</f>
        <v>0</v>
      </c>
      <c r="R109" s="0" t="n">
        <f aca="false">IF(Q109&gt;0,TRUNC(O109),0)</f>
        <v>0</v>
      </c>
      <c r="S109" s="5" t="n">
        <f aca="false">(M109*(D109-R109)+(Q109*R109))/D109</f>
        <v>800</v>
      </c>
      <c r="T109" s="6" t="n">
        <f aca="false">(Q109-M109)*R109*24/12.1/1000</f>
        <v>-0</v>
      </c>
    </row>
    <row r="110" customFormat="false" ht="14.35" hidden="false" customHeight="false" outlineLevel="0" collapsed="false">
      <c r="A110" s="4" t="n">
        <v>11078</v>
      </c>
      <c r="B110" s="15" t="n">
        <f aca="false">IF(C110&lt;=9,YEAR(A110),YEAR(A110)+1)</f>
        <v>1930</v>
      </c>
      <c r="C110" s="15" t="n">
        <f aca="false">MONTH(A110)</f>
        <v>4</v>
      </c>
      <c r="D110" s="15" t="n">
        <f aca="false">DAY(A110)</f>
        <v>30</v>
      </c>
      <c r="E110" s="15" t="n">
        <f aca="false">VLOOKUP(B110,WYT!$A$2:$L$97,12)</f>
        <v>1</v>
      </c>
      <c r="F110" s="15" t="n">
        <f aca="false">IF(C110=$W$5,1,0)</f>
        <v>0</v>
      </c>
      <c r="G110" s="15" t="n">
        <f aca="false">IF(C110=10,0,IF(F110=1,1,G109))</f>
        <v>1</v>
      </c>
      <c r="H110" s="5" t="n">
        <f aca="false">VA_base_426_data!B110</f>
        <v>750</v>
      </c>
      <c r="I110" s="5" t="n">
        <f aca="false">IF(AND(E110=1,OR(C110=4,C110=5)),25*12.1/24/D110*1000,0)</f>
        <v>420.138888888889</v>
      </c>
      <c r="J110" s="5" t="n">
        <f aca="false">VA_base_426_data!C110</f>
        <v>750</v>
      </c>
      <c r="K110" s="5" t="n">
        <f aca="false">H110+I110-J110</f>
        <v>420.138888888889</v>
      </c>
      <c r="L110" s="5" t="n">
        <f aca="false">MIN($W$7,J110+K110)</f>
        <v>1170.13888888889</v>
      </c>
      <c r="M110" s="5" t="n">
        <f aca="false">VA_base_426_data!D110</f>
        <v>700</v>
      </c>
      <c r="N110" s="5" t="n">
        <f aca="false">IF(AND(C110=10,E110=1),$W$6,N109-P109)</f>
        <v>0</v>
      </c>
      <c r="O110" s="5" t="n">
        <f aca="false">IF(ABS(M110-L110)&gt;1,MIN(N110/((L110-M110)*24/12.1/1000),D110),D110)</f>
        <v>0</v>
      </c>
      <c r="P110" s="5" t="n">
        <f aca="false">MIN(IF(AND(G110,E110),(L110-M110)*24/12.1*O110/1000,0),N110)</f>
        <v>0</v>
      </c>
      <c r="Q110" s="5" t="n">
        <f aca="false">IF(P110&gt;0,P110/O110*12.1/24*1000+M110,0)</f>
        <v>0</v>
      </c>
      <c r="R110" s="0" t="n">
        <f aca="false">IF(Q110&gt;0,TRUNC(O110),0)</f>
        <v>0</v>
      </c>
      <c r="S110" s="5" t="n">
        <f aca="false">(M110*(D110-R110)+(Q110*R110))/D110</f>
        <v>700</v>
      </c>
      <c r="T110" s="6" t="n">
        <f aca="false">(Q110-M110)*R110*24/12.1/1000</f>
        <v>-0</v>
      </c>
    </row>
    <row r="111" customFormat="false" ht="14.35" hidden="false" customHeight="false" outlineLevel="0" collapsed="false">
      <c r="A111" s="4" t="n">
        <v>11109</v>
      </c>
      <c r="B111" s="15" t="n">
        <f aca="false">IF(C111&lt;=9,YEAR(A111),YEAR(A111)+1)</f>
        <v>1930</v>
      </c>
      <c r="C111" s="15" t="n">
        <f aca="false">MONTH(A111)</f>
        <v>5</v>
      </c>
      <c r="D111" s="15" t="n">
        <f aca="false">DAY(A111)</f>
        <v>31</v>
      </c>
      <c r="E111" s="15" t="n">
        <f aca="false">VLOOKUP(B111,WYT!$A$2:$L$97,12)</f>
        <v>1</v>
      </c>
      <c r="F111" s="15" t="n">
        <f aca="false">IF(C111=$W$5,1,0)</f>
        <v>0</v>
      </c>
      <c r="G111" s="15" t="n">
        <f aca="false">IF(C111=10,0,IF(F111=1,1,G110))</f>
        <v>1</v>
      </c>
      <c r="H111" s="5" t="n">
        <f aca="false">VA_base_426_data!B111</f>
        <v>750</v>
      </c>
      <c r="I111" s="5" t="n">
        <f aca="false">IF(AND(E111=1,OR(C111=4,C111=5)),25*12.1/24/D111*1000,0)</f>
        <v>406.586021505376</v>
      </c>
      <c r="J111" s="5" t="n">
        <f aca="false">VA_base_426_data!C111</f>
        <v>750</v>
      </c>
      <c r="K111" s="5" t="n">
        <f aca="false">H111+I111-J111</f>
        <v>406.586021505376</v>
      </c>
      <c r="L111" s="5" t="n">
        <f aca="false">MIN($W$7,J111+K111)</f>
        <v>1156.58602150538</v>
      </c>
      <c r="M111" s="5" t="n">
        <f aca="false">VA_base_426_data!D111</f>
        <v>700</v>
      </c>
      <c r="N111" s="5" t="n">
        <f aca="false">IF(AND(C111=10,E111=1),$W$6,N110-P110)</f>
        <v>0</v>
      </c>
      <c r="O111" s="5" t="n">
        <f aca="false">IF(ABS(M111-L111)&gt;1,MIN(N111/((L111-M111)*24/12.1/1000),D111),D111)</f>
        <v>0</v>
      </c>
      <c r="P111" s="5" t="n">
        <f aca="false">MIN(IF(AND(G111,E111),(L111-M111)*24/12.1*O111/1000,0),N111)</f>
        <v>0</v>
      </c>
      <c r="Q111" s="5" t="n">
        <f aca="false">IF(P111&gt;0,P111/O111*12.1/24*1000+M111,0)</f>
        <v>0</v>
      </c>
      <c r="R111" s="0" t="n">
        <f aca="false">IF(Q111&gt;0,TRUNC(O111),0)</f>
        <v>0</v>
      </c>
      <c r="S111" s="5" t="n">
        <f aca="false">(M111*(D111-R111)+(Q111*R111))/D111</f>
        <v>700</v>
      </c>
      <c r="T111" s="6" t="n">
        <f aca="false">(Q111-M111)*R111*24/12.1/1000</f>
        <v>-0</v>
      </c>
    </row>
    <row r="112" customFormat="false" ht="14.35" hidden="false" customHeight="false" outlineLevel="0" collapsed="false">
      <c r="A112" s="4" t="n">
        <v>11139</v>
      </c>
      <c r="B112" s="15" t="n">
        <f aca="false">IF(C112&lt;=9,YEAR(A112),YEAR(A112)+1)</f>
        <v>1930</v>
      </c>
      <c r="C112" s="15" t="n">
        <f aca="false">MONTH(A112)</f>
        <v>6</v>
      </c>
      <c r="D112" s="15" t="n">
        <f aca="false">DAY(A112)</f>
        <v>30</v>
      </c>
      <c r="E112" s="15" t="n">
        <f aca="false">VLOOKUP(B112,WYT!$A$2:$L$97,12)</f>
        <v>1</v>
      </c>
      <c r="F112" s="15" t="n">
        <f aca="false">IF(C112=$W$5,1,0)</f>
        <v>0</v>
      </c>
      <c r="G112" s="15" t="n">
        <f aca="false">IF(C112=10,0,IF(F112=1,1,G111))</f>
        <v>1</v>
      </c>
      <c r="H112" s="5" t="n">
        <f aca="false">VA_base_426_data!B112</f>
        <v>6064.69373443149</v>
      </c>
      <c r="I112" s="5" t="n">
        <f aca="false">IF(AND(E112=1,OR(C112=4,C112=5)),25*12.1/24/D112*1000,0)</f>
        <v>0</v>
      </c>
      <c r="J112" s="5" t="n">
        <f aca="false">VA_base_426_data!C112</f>
        <v>750</v>
      </c>
      <c r="K112" s="5" t="n">
        <f aca="false">H112+I112-J112</f>
        <v>5314.69373443149</v>
      </c>
      <c r="L112" s="5" t="n">
        <f aca="false">MIN($W$7,J112+K112)</f>
        <v>2000</v>
      </c>
      <c r="M112" s="5" t="n">
        <f aca="false">VA_base_426_data!D112</f>
        <v>700</v>
      </c>
      <c r="N112" s="5" t="n">
        <f aca="false">IF(AND(C112=10,E112=1),$W$6,N111-P111)</f>
        <v>0</v>
      </c>
      <c r="O112" s="5" t="n">
        <f aca="false">IF(ABS(M112-L112)&gt;1,MIN(N112/((L112-M112)*24/12.1/1000),D112),D112)</f>
        <v>0</v>
      </c>
      <c r="P112" s="5" t="n">
        <f aca="false">MIN(IF(AND(G112,E112),(L112-M112)*24/12.1*O112/1000,0),N112)</f>
        <v>0</v>
      </c>
      <c r="Q112" s="5" t="n">
        <f aca="false">IF(P112&gt;0,P112/O112*12.1/24*1000+M112,0)</f>
        <v>0</v>
      </c>
      <c r="R112" s="0" t="n">
        <f aca="false">IF(Q112&gt;0,TRUNC(O112),0)</f>
        <v>0</v>
      </c>
      <c r="S112" s="5" t="n">
        <f aca="false">(M112*(D112-R112)+(Q112*R112))/D112</f>
        <v>700</v>
      </c>
      <c r="T112" s="6" t="n">
        <f aca="false">(Q112-M112)*R112*24/12.1/1000</f>
        <v>-0</v>
      </c>
    </row>
    <row r="113" customFormat="false" ht="14.35" hidden="false" customHeight="false" outlineLevel="0" collapsed="false">
      <c r="A113" s="4" t="n">
        <v>11170</v>
      </c>
      <c r="B113" s="15" t="n">
        <f aca="false">IF(C113&lt;=9,YEAR(A113),YEAR(A113)+1)</f>
        <v>1930</v>
      </c>
      <c r="C113" s="15" t="n">
        <f aca="false">MONTH(A113)</f>
        <v>7</v>
      </c>
      <c r="D113" s="15" t="n">
        <f aca="false">DAY(A113)</f>
        <v>31</v>
      </c>
      <c r="E113" s="15" t="n">
        <f aca="false">VLOOKUP(B113,WYT!$A$2:$L$97,12)</f>
        <v>1</v>
      </c>
      <c r="F113" s="15" t="n">
        <f aca="false">IF(C113=$W$5,1,0)</f>
        <v>0</v>
      </c>
      <c r="G113" s="15" t="n">
        <f aca="false">IF(C113=10,0,IF(F113=1,1,G112))</f>
        <v>1</v>
      </c>
      <c r="H113" s="5" t="n">
        <f aca="false">VA_base_426_data!B113</f>
        <v>9578.75967402054</v>
      </c>
      <c r="I113" s="5" t="n">
        <f aca="false">IF(AND(E113=1,OR(C113=4,C113=5)),25*12.1/24/D113*1000,0)</f>
        <v>0</v>
      </c>
      <c r="J113" s="5" t="n">
        <f aca="false">VA_base_426_data!C113</f>
        <v>750</v>
      </c>
      <c r="K113" s="5" t="n">
        <f aca="false">H113+I113-J113</f>
        <v>8828.75967402054</v>
      </c>
      <c r="L113" s="5" t="n">
        <f aca="false">MIN($W$7,J113+K113)</f>
        <v>2000</v>
      </c>
      <c r="M113" s="5" t="n">
        <f aca="false">VA_base_426_data!D113</f>
        <v>700</v>
      </c>
      <c r="N113" s="5" t="n">
        <f aca="false">IF(AND(C113=10,E113=1),$W$6,N112-P112)</f>
        <v>0</v>
      </c>
      <c r="O113" s="5" t="n">
        <f aca="false">IF(ABS(M113-L113)&gt;1,MIN(N113/((L113-M113)*24/12.1/1000),D113),D113)</f>
        <v>0</v>
      </c>
      <c r="P113" s="5" t="n">
        <f aca="false">MIN(IF(AND(G113,E113),(L113-M113)*24/12.1*O113/1000,0),N113)</f>
        <v>0</v>
      </c>
      <c r="Q113" s="5" t="n">
        <f aca="false">IF(P113&gt;0,P113/O113*12.1/24*1000+M113,0)</f>
        <v>0</v>
      </c>
      <c r="R113" s="0" t="n">
        <f aca="false">IF(Q113&gt;0,TRUNC(O113),0)</f>
        <v>0</v>
      </c>
      <c r="S113" s="5" t="n">
        <f aca="false">(M113*(D113-R113)+(Q113*R113))/D113</f>
        <v>700</v>
      </c>
      <c r="T113" s="6" t="n">
        <f aca="false">(Q113-M113)*R113*24/12.1/1000</f>
        <v>-0</v>
      </c>
    </row>
    <row r="114" customFormat="false" ht="14.35" hidden="false" customHeight="false" outlineLevel="0" collapsed="false">
      <c r="A114" s="4" t="n">
        <v>11201</v>
      </c>
      <c r="B114" s="15" t="n">
        <f aca="false">IF(C114&lt;=9,YEAR(A114),YEAR(A114)+1)</f>
        <v>1930</v>
      </c>
      <c r="C114" s="15" t="n">
        <f aca="false">MONTH(A114)</f>
        <v>8</v>
      </c>
      <c r="D114" s="15" t="n">
        <f aca="false">DAY(A114)</f>
        <v>31</v>
      </c>
      <c r="E114" s="15" t="n">
        <f aca="false">VLOOKUP(B114,WYT!$A$2:$L$97,12)</f>
        <v>1</v>
      </c>
      <c r="F114" s="15" t="n">
        <f aca="false">IF(C114=$W$5,1,0)</f>
        <v>0</v>
      </c>
      <c r="G114" s="15" t="n">
        <f aca="false">IF(C114=10,0,IF(F114=1,1,G113))</f>
        <v>1</v>
      </c>
      <c r="H114" s="5" t="n">
        <f aca="false">VA_base_426_data!B114</f>
        <v>2130.245460727</v>
      </c>
      <c r="I114" s="5" t="n">
        <f aca="false">IF(AND(E114=1,OR(C114=4,C114=5)),25*12.1/24/D114*1000,0)</f>
        <v>0</v>
      </c>
      <c r="J114" s="5" t="n">
        <f aca="false">VA_base_426_data!C114</f>
        <v>750</v>
      </c>
      <c r="K114" s="5" t="n">
        <f aca="false">H114+I114-J114</f>
        <v>1380.245460727</v>
      </c>
      <c r="L114" s="5" t="n">
        <f aca="false">MIN($W$7,J114+K114)</f>
        <v>2000</v>
      </c>
      <c r="M114" s="5" t="n">
        <f aca="false">VA_base_426_data!D114</f>
        <v>700</v>
      </c>
      <c r="N114" s="5" t="n">
        <f aca="false">IF(AND(C114=10,E114=1),$W$6,N113-P113)</f>
        <v>0</v>
      </c>
      <c r="O114" s="5" t="n">
        <f aca="false">IF(ABS(M114-L114)&gt;1,MIN(N114/((L114-M114)*24/12.1/1000),D114),D114)</f>
        <v>0</v>
      </c>
      <c r="P114" s="5" t="n">
        <f aca="false">MIN(IF(AND(G114,E114),(L114-M114)*24/12.1*O114/1000,0),N114)</f>
        <v>0</v>
      </c>
      <c r="Q114" s="5" t="n">
        <f aca="false">IF(P114&gt;0,P114/O114*12.1/24*1000+M114,0)</f>
        <v>0</v>
      </c>
      <c r="R114" s="0" t="n">
        <f aca="false">IF(Q114&gt;0,TRUNC(O114),0)</f>
        <v>0</v>
      </c>
      <c r="S114" s="5" t="n">
        <f aca="false">(M114*(D114-R114)+(Q114*R114))/D114</f>
        <v>700</v>
      </c>
      <c r="T114" s="6" t="n">
        <f aca="false">(Q114-M114)*R114*24/12.1/1000</f>
        <v>-0</v>
      </c>
    </row>
    <row r="115" customFormat="false" ht="14.35" hidden="false" customHeight="false" outlineLevel="0" collapsed="false">
      <c r="A115" s="4" t="n">
        <v>11231</v>
      </c>
      <c r="B115" s="15" t="n">
        <f aca="false">IF(C115&lt;=9,YEAR(A115),YEAR(A115)+1)</f>
        <v>1930</v>
      </c>
      <c r="C115" s="15" t="n">
        <f aca="false">MONTH(A115)</f>
        <v>9</v>
      </c>
      <c r="D115" s="15" t="n">
        <f aca="false">DAY(A115)</f>
        <v>30</v>
      </c>
      <c r="E115" s="15" t="n">
        <f aca="false">VLOOKUP(B115,WYT!$A$2:$L$97,12)</f>
        <v>1</v>
      </c>
      <c r="F115" s="15" t="n">
        <f aca="false">IF(C115=$W$5,1,0)</f>
        <v>0</v>
      </c>
      <c r="G115" s="15" t="n">
        <f aca="false">IF(C115=10,0,IF(F115=1,1,G114))</f>
        <v>1</v>
      </c>
      <c r="H115" s="5" t="n">
        <f aca="false">VA_base_426_data!B115</f>
        <v>773.333333300057</v>
      </c>
      <c r="I115" s="5" t="n">
        <f aca="false">IF(AND(E115=1,OR(C115=4,C115=5)),25*12.1/24/D115*1000,0)</f>
        <v>0</v>
      </c>
      <c r="J115" s="5" t="n">
        <f aca="false">VA_base_426_data!C115</f>
        <v>750</v>
      </c>
      <c r="K115" s="5" t="n">
        <f aca="false">H115+I115-J115</f>
        <v>23.3333333000572</v>
      </c>
      <c r="L115" s="5" t="n">
        <f aca="false">MIN($W$7,J115+K115)</f>
        <v>773.333333300057</v>
      </c>
      <c r="M115" s="5" t="n">
        <f aca="false">VA_base_426_data!D115</f>
        <v>773.3333333</v>
      </c>
      <c r="N115" s="5" t="n">
        <f aca="false">IF(AND(C115=10,E115=1),$W$6,N114-P114)</f>
        <v>0</v>
      </c>
      <c r="O115" s="5" t="n">
        <f aca="false">IF(ABS(M115-L115)&gt;1,MIN(N115/((L115-M115)*24/12.1/1000),D115),D115)</f>
        <v>30</v>
      </c>
      <c r="P115" s="5" t="n">
        <f aca="false">MIN(IF(AND(G115,E115),(L115-M115)*24/12.1*O115/1000,0),N115)</f>
        <v>0</v>
      </c>
      <c r="Q115" s="5" t="n">
        <f aca="false">IF(P115&gt;0,P115/O115*12.1/24*1000+M115,0)</f>
        <v>0</v>
      </c>
      <c r="R115" s="0" t="n">
        <f aca="false">IF(Q115&gt;0,TRUNC(O115),0)</f>
        <v>0</v>
      </c>
      <c r="S115" s="5" t="n">
        <f aca="false">(M115*(D115-R115)+(Q115*R115))/D115</f>
        <v>773.3333333</v>
      </c>
      <c r="T115" s="6" t="n">
        <f aca="false">(Q115-M115)*R115*24/12.1/1000</f>
        <v>-0</v>
      </c>
    </row>
    <row r="116" customFormat="false" ht="14.35" hidden="false" customHeight="false" outlineLevel="0" collapsed="false">
      <c r="A116" s="4" t="n">
        <v>11262</v>
      </c>
      <c r="B116" s="15" t="n">
        <f aca="false">IF(C116&lt;=9,YEAR(A116),YEAR(A116)+1)</f>
        <v>1931</v>
      </c>
      <c r="C116" s="15" t="n">
        <f aca="false">MONTH(A116)</f>
        <v>10</v>
      </c>
      <c r="D116" s="15" t="n">
        <f aca="false">DAY(A116)</f>
        <v>31</v>
      </c>
      <c r="E116" s="15" t="n">
        <f aca="false">VLOOKUP(B116,WYT!$A$2:$L$97,12)</f>
        <v>0</v>
      </c>
      <c r="F116" s="15" t="n">
        <f aca="false">IF(C116=$W$5,1,0)</f>
        <v>0</v>
      </c>
      <c r="G116" s="15" t="n">
        <f aca="false">IF(C116=10,0,IF(F116=1,1,G115))</f>
        <v>0</v>
      </c>
      <c r="H116" s="5" t="n">
        <f aca="false">VA_base_426_data!B116</f>
        <v>900</v>
      </c>
      <c r="I116" s="5" t="n">
        <f aca="false">IF(AND(E116=1,OR(C116=4,C116=5)),25*12.1/24/D116*1000,0)</f>
        <v>0</v>
      </c>
      <c r="J116" s="5" t="n">
        <f aca="false">VA_base_426_data!C116</f>
        <v>900</v>
      </c>
      <c r="K116" s="5" t="n">
        <f aca="false">H116+I116-J116</f>
        <v>0</v>
      </c>
      <c r="L116" s="5" t="n">
        <f aca="false">MIN($W$7,J116+K116)</f>
        <v>900</v>
      </c>
      <c r="M116" s="5" t="n">
        <f aca="false">VA_base_426_data!D116</f>
        <v>800</v>
      </c>
      <c r="N116" s="5" t="n">
        <f aca="false">IF(AND(C116=10,E116=1),$W$6,N115-P115)</f>
        <v>0</v>
      </c>
      <c r="O116" s="5" t="n">
        <f aca="false">IF(ABS(M116-L116)&gt;1,MIN(N116/((L116-M116)*24/12.1/1000),D116),D116)</f>
        <v>0</v>
      </c>
      <c r="P116" s="5" t="n">
        <f aca="false">MIN(IF(AND(G116,E116),(L116-M116)*24/12.1*O116/1000,0),N116)</f>
        <v>0</v>
      </c>
      <c r="Q116" s="5" t="n">
        <f aca="false">IF(P116&gt;0,P116/O116*12.1/24*1000+M116,0)</f>
        <v>0</v>
      </c>
      <c r="R116" s="0" t="n">
        <f aca="false">IF(Q116&gt;0,TRUNC(O116),0)</f>
        <v>0</v>
      </c>
      <c r="S116" s="5" t="n">
        <f aca="false">(M116*(D116-R116)+(Q116*R116))/D116</f>
        <v>800</v>
      </c>
      <c r="T116" s="6" t="n">
        <f aca="false">(Q116-M116)*R116*24/12.1/1000</f>
        <v>-0</v>
      </c>
    </row>
    <row r="117" customFormat="false" ht="14.35" hidden="false" customHeight="false" outlineLevel="0" collapsed="false">
      <c r="A117" s="4" t="n">
        <v>11292</v>
      </c>
      <c r="B117" s="15" t="n">
        <f aca="false">IF(C117&lt;=9,YEAR(A117),YEAR(A117)+1)</f>
        <v>1931</v>
      </c>
      <c r="C117" s="15" t="n">
        <f aca="false">MONTH(A117)</f>
        <v>11</v>
      </c>
      <c r="D117" s="15" t="n">
        <f aca="false">DAY(A117)</f>
        <v>30</v>
      </c>
      <c r="E117" s="15" t="n">
        <f aca="false">VLOOKUP(B117,WYT!$A$2:$L$97,12)</f>
        <v>0</v>
      </c>
      <c r="F117" s="15" t="n">
        <f aca="false">IF(C117=$W$5,1,0)</f>
        <v>0</v>
      </c>
      <c r="G117" s="15" t="n">
        <f aca="false">IF(C117=10,0,IF(F117=1,1,G116))</f>
        <v>0</v>
      </c>
      <c r="H117" s="5" t="n">
        <f aca="false">VA_base_426_data!B117</f>
        <v>900</v>
      </c>
      <c r="I117" s="5" t="n">
        <f aca="false">IF(AND(E117=1,OR(C117=4,C117=5)),25*12.1/24/D117*1000,0)</f>
        <v>0</v>
      </c>
      <c r="J117" s="5" t="n">
        <f aca="false">VA_base_426_data!C117</f>
        <v>900</v>
      </c>
      <c r="K117" s="5" t="n">
        <f aca="false">H117+I117-J117</f>
        <v>0</v>
      </c>
      <c r="L117" s="5" t="n">
        <f aca="false">MIN($W$7,J117+K117)</f>
        <v>900</v>
      </c>
      <c r="M117" s="5" t="n">
        <f aca="false">VA_base_426_data!D117</f>
        <v>800</v>
      </c>
      <c r="N117" s="5" t="n">
        <f aca="false">IF(AND(C117=10,E117=1),$W$6,N116-P116)</f>
        <v>0</v>
      </c>
      <c r="O117" s="5" t="n">
        <f aca="false">IF(ABS(M117-L117)&gt;1,MIN(N117/((L117-M117)*24/12.1/1000),D117),D117)</f>
        <v>0</v>
      </c>
      <c r="P117" s="5" t="n">
        <f aca="false">MIN(IF(AND(G117,E117),(L117-M117)*24/12.1*O117/1000,0),N117)</f>
        <v>0</v>
      </c>
      <c r="Q117" s="5" t="n">
        <f aca="false">IF(P117&gt;0,P117/O117*12.1/24*1000+M117,0)</f>
        <v>0</v>
      </c>
      <c r="R117" s="0" t="n">
        <f aca="false">IF(Q117&gt;0,TRUNC(O117),0)</f>
        <v>0</v>
      </c>
      <c r="S117" s="5" t="n">
        <f aca="false">(M117*(D117-R117)+(Q117*R117))/D117</f>
        <v>800</v>
      </c>
      <c r="T117" s="6" t="n">
        <f aca="false">(Q117-M117)*R117*24/12.1/1000</f>
        <v>-0</v>
      </c>
    </row>
    <row r="118" customFormat="false" ht="14.35" hidden="false" customHeight="false" outlineLevel="0" collapsed="false">
      <c r="A118" s="4" t="n">
        <v>11323</v>
      </c>
      <c r="B118" s="15" t="n">
        <f aca="false">IF(C118&lt;=9,YEAR(A118),YEAR(A118)+1)</f>
        <v>1931</v>
      </c>
      <c r="C118" s="15" t="n">
        <f aca="false">MONTH(A118)</f>
        <v>12</v>
      </c>
      <c r="D118" s="15" t="n">
        <f aca="false">DAY(A118)</f>
        <v>31</v>
      </c>
      <c r="E118" s="15" t="n">
        <f aca="false">VLOOKUP(B118,WYT!$A$2:$L$97,12)</f>
        <v>0</v>
      </c>
      <c r="F118" s="15" t="n">
        <f aca="false">IF(C118=$W$5,1,0)</f>
        <v>0</v>
      </c>
      <c r="G118" s="15" t="n">
        <f aca="false">IF(C118=10,0,IF(F118=1,1,G117))</f>
        <v>0</v>
      </c>
      <c r="H118" s="5" t="n">
        <f aca="false">VA_base_426_data!B118</f>
        <v>900</v>
      </c>
      <c r="I118" s="5" t="n">
        <f aca="false">IF(AND(E118=1,OR(C118=4,C118=5)),25*12.1/24/D118*1000,0)</f>
        <v>0</v>
      </c>
      <c r="J118" s="5" t="n">
        <f aca="false">VA_base_426_data!C118</f>
        <v>900</v>
      </c>
      <c r="K118" s="5" t="n">
        <f aca="false">H118+I118-J118</f>
        <v>0</v>
      </c>
      <c r="L118" s="5" t="n">
        <f aca="false">MIN($W$7,J118+K118)</f>
        <v>900</v>
      </c>
      <c r="M118" s="5" t="n">
        <f aca="false">VA_base_426_data!D118</f>
        <v>800</v>
      </c>
      <c r="N118" s="5" t="n">
        <f aca="false">IF(AND(C118=10,E118=1),$W$6,N117-P117)</f>
        <v>0</v>
      </c>
      <c r="O118" s="5" t="n">
        <f aca="false">IF(ABS(M118-L118)&gt;1,MIN(N118/((L118-M118)*24/12.1/1000),D118),D118)</f>
        <v>0</v>
      </c>
      <c r="P118" s="5" t="n">
        <f aca="false">MIN(IF(AND(G118,E118),(L118-M118)*24/12.1*O118/1000,0),N118)</f>
        <v>0</v>
      </c>
      <c r="Q118" s="5" t="n">
        <f aca="false">IF(P118&gt;0,P118/O118*12.1/24*1000+M118,0)</f>
        <v>0</v>
      </c>
      <c r="R118" s="0" t="n">
        <f aca="false">IF(Q118&gt;0,TRUNC(O118),0)</f>
        <v>0</v>
      </c>
      <c r="S118" s="5" t="n">
        <f aca="false">(M118*(D118-R118)+(Q118*R118))/D118</f>
        <v>800</v>
      </c>
      <c r="T118" s="6" t="n">
        <f aca="false">(Q118-M118)*R118*24/12.1/1000</f>
        <v>-0</v>
      </c>
    </row>
    <row r="119" customFormat="false" ht="14.35" hidden="false" customHeight="false" outlineLevel="0" collapsed="false">
      <c r="A119" s="4" t="n">
        <v>11354</v>
      </c>
      <c r="B119" s="15" t="n">
        <f aca="false">IF(C119&lt;=9,YEAR(A119),YEAR(A119)+1)</f>
        <v>1931</v>
      </c>
      <c r="C119" s="15" t="n">
        <f aca="false">MONTH(A119)</f>
        <v>1</v>
      </c>
      <c r="D119" s="15" t="n">
        <f aca="false">DAY(A119)</f>
        <v>31</v>
      </c>
      <c r="E119" s="15" t="n">
        <f aca="false">VLOOKUP(B119,WYT!$A$2:$L$97,12)</f>
        <v>0</v>
      </c>
      <c r="F119" s="15" t="n">
        <f aca="false">IF(C119=$W$5,1,0)</f>
        <v>0</v>
      </c>
      <c r="G119" s="15" t="n">
        <f aca="false">IF(C119=10,0,IF(F119=1,1,G118))</f>
        <v>0</v>
      </c>
      <c r="H119" s="5" t="n">
        <f aca="false">VA_base_426_data!B119</f>
        <v>900</v>
      </c>
      <c r="I119" s="5" t="n">
        <f aca="false">IF(AND(E119=1,OR(C119=4,C119=5)),25*12.1/24/D119*1000,0)</f>
        <v>0</v>
      </c>
      <c r="J119" s="5" t="n">
        <f aca="false">VA_base_426_data!C119</f>
        <v>900</v>
      </c>
      <c r="K119" s="5" t="n">
        <f aca="false">H119+I119-J119</f>
        <v>0</v>
      </c>
      <c r="L119" s="5" t="n">
        <f aca="false">MIN($W$7,J119+K119)</f>
        <v>900</v>
      </c>
      <c r="M119" s="5" t="n">
        <f aca="false">VA_base_426_data!D119</f>
        <v>800</v>
      </c>
      <c r="N119" s="5" t="n">
        <f aca="false">IF(AND(C119=10,E119=1),$W$6,N118-P118)</f>
        <v>0</v>
      </c>
      <c r="O119" s="5" t="n">
        <f aca="false">IF(ABS(M119-L119)&gt;1,MIN(N119/((L119-M119)*24/12.1/1000),D119),D119)</f>
        <v>0</v>
      </c>
      <c r="P119" s="5" t="n">
        <f aca="false">MIN(IF(AND(G119,E119),(L119-M119)*24/12.1*O119/1000,0),N119)</f>
        <v>0</v>
      </c>
      <c r="Q119" s="5" t="n">
        <f aca="false">IF(P119&gt;0,P119/O119*12.1/24*1000+M119,0)</f>
        <v>0</v>
      </c>
      <c r="R119" s="0" t="n">
        <f aca="false">IF(Q119&gt;0,TRUNC(O119),0)</f>
        <v>0</v>
      </c>
      <c r="S119" s="5" t="n">
        <f aca="false">(M119*(D119-R119)+(Q119*R119))/D119</f>
        <v>800</v>
      </c>
      <c r="T119" s="6" t="n">
        <f aca="false">(Q119-M119)*R119*24/12.1/1000</f>
        <v>-0</v>
      </c>
    </row>
    <row r="120" customFormat="false" ht="14.35" hidden="false" customHeight="false" outlineLevel="0" collapsed="false">
      <c r="A120" s="4" t="n">
        <v>11382</v>
      </c>
      <c r="B120" s="15" t="n">
        <f aca="false">IF(C120&lt;=9,YEAR(A120),YEAR(A120)+1)</f>
        <v>1931</v>
      </c>
      <c r="C120" s="15" t="n">
        <f aca="false">MONTH(A120)</f>
        <v>2</v>
      </c>
      <c r="D120" s="15" t="n">
        <f aca="false">DAY(A120)</f>
        <v>28</v>
      </c>
      <c r="E120" s="15" t="n">
        <f aca="false">VLOOKUP(B120,WYT!$A$2:$L$97,12)</f>
        <v>0</v>
      </c>
      <c r="F120" s="15" t="n">
        <f aca="false">IF(C120=$W$5,1,0)</f>
        <v>1</v>
      </c>
      <c r="G120" s="15" t="n">
        <f aca="false">IF(C120=10,0,IF(F120=1,1,G119))</f>
        <v>1</v>
      </c>
      <c r="H120" s="5" t="n">
        <f aca="false">VA_base_426_data!B120</f>
        <v>900</v>
      </c>
      <c r="I120" s="5" t="n">
        <f aca="false">IF(AND(E120=1,OR(C120=4,C120=5)),25*12.1/24/D120*1000,0)</f>
        <v>0</v>
      </c>
      <c r="J120" s="5" t="n">
        <f aca="false">VA_base_426_data!C120</f>
        <v>900</v>
      </c>
      <c r="K120" s="5" t="n">
        <f aca="false">H120+I120-J120</f>
        <v>0</v>
      </c>
      <c r="L120" s="5" t="n">
        <f aca="false">MIN($W$7,J120+K120)</f>
        <v>900</v>
      </c>
      <c r="M120" s="5" t="n">
        <f aca="false">VA_base_426_data!D120</f>
        <v>800</v>
      </c>
      <c r="N120" s="5" t="n">
        <f aca="false">IF(AND(C120=10,E120=1),$W$6,N119-P119)</f>
        <v>0</v>
      </c>
      <c r="O120" s="5" t="n">
        <f aca="false">IF(ABS(M120-L120)&gt;1,MIN(N120/((L120-M120)*24/12.1/1000),D120),D120)</f>
        <v>0</v>
      </c>
      <c r="P120" s="5" t="n">
        <f aca="false">MIN(IF(AND(G120,E120),(L120-M120)*24/12.1*O120/1000,0),N120)</f>
        <v>0</v>
      </c>
      <c r="Q120" s="5" t="n">
        <f aca="false">IF(P120&gt;0,P120/O120*12.1/24*1000+M120,0)</f>
        <v>0</v>
      </c>
      <c r="R120" s="0" t="n">
        <f aca="false">IF(Q120&gt;0,TRUNC(O120),0)</f>
        <v>0</v>
      </c>
      <c r="S120" s="5" t="n">
        <f aca="false">(M120*(D120-R120)+(Q120*R120))/D120</f>
        <v>800</v>
      </c>
      <c r="T120" s="6" t="n">
        <f aca="false">(Q120-M120)*R120*24/12.1/1000</f>
        <v>-0</v>
      </c>
    </row>
    <row r="121" customFormat="false" ht="14.35" hidden="false" customHeight="false" outlineLevel="0" collapsed="false">
      <c r="A121" s="4" t="n">
        <v>11413</v>
      </c>
      <c r="B121" s="15" t="n">
        <f aca="false">IF(C121&lt;=9,YEAR(A121),YEAR(A121)+1)</f>
        <v>1931</v>
      </c>
      <c r="C121" s="15" t="n">
        <f aca="false">MONTH(A121)</f>
        <v>3</v>
      </c>
      <c r="D121" s="15" t="n">
        <f aca="false">DAY(A121)</f>
        <v>31</v>
      </c>
      <c r="E121" s="15" t="n">
        <f aca="false">VLOOKUP(B121,WYT!$A$2:$L$97,12)</f>
        <v>0</v>
      </c>
      <c r="F121" s="15" t="n">
        <f aca="false">IF(C121=$W$5,1,0)</f>
        <v>0</v>
      </c>
      <c r="G121" s="15" t="n">
        <f aca="false">IF(C121=10,0,IF(F121=1,1,G120))</f>
        <v>1</v>
      </c>
      <c r="H121" s="5" t="n">
        <f aca="false">VA_base_426_data!B121</f>
        <v>800</v>
      </c>
      <c r="I121" s="5" t="n">
        <f aca="false">IF(AND(E121=1,OR(C121=4,C121=5)),25*12.1/24/D121*1000,0)</f>
        <v>0</v>
      </c>
      <c r="J121" s="5" t="n">
        <f aca="false">VA_base_426_data!C121</f>
        <v>750</v>
      </c>
      <c r="K121" s="5" t="n">
        <f aca="false">H121+I121-J121</f>
        <v>50</v>
      </c>
      <c r="L121" s="5" t="n">
        <f aca="false">MIN($W$7,J121+K121)</f>
        <v>800</v>
      </c>
      <c r="M121" s="5" t="n">
        <f aca="false">VA_base_426_data!D121</f>
        <v>800</v>
      </c>
      <c r="N121" s="5" t="n">
        <f aca="false">IF(AND(C121=10,E121=1),$W$6,N120-P120)</f>
        <v>0</v>
      </c>
      <c r="O121" s="5" t="n">
        <f aca="false">IF(ABS(M121-L121)&gt;1,MIN(N121/((L121-M121)*24/12.1/1000),D121),D121)</f>
        <v>31</v>
      </c>
      <c r="P121" s="5" t="n">
        <f aca="false">MIN(IF(AND(G121,E121),(L121-M121)*24/12.1*O121/1000,0),N121)</f>
        <v>0</v>
      </c>
      <c r="Q121" s="5" t="n">
        <f aca="false">IF(P121&gt;0,P121/O121*12.1/24*1000+M121,0)</f>
        <v>0</v>
      </c>
      <c r="R121" s="0" t="n">
        <f aca="false">IF(Q121&gt;0,TRUNC(O121),0)</f>
        <v>0</v>
      </c>
      <c r="S121" s="5" t="n">
        <f aca="false">(M121*(D121-R121)+(Q121*R121))/D121</f>
        <v>800</v>
      </c>
      <c r="T121" s="6" t="n">
        <f aca="false">(Q121-M121)*R121*24/12.1/1000</f>
        <v>-0</v>
      </c>
    </row>
    <row r="122" customFormat="false" ht="14.35" hidden="false" customHeight="false" outlineLevel="0" collapsed="false">
      <c r="A122" s="4" t="n">
        <v>11443</v>
      </c>
      <c r="B122" s="15" t="n">
        <f aca="false">IF(C122&lt;=9,YEAR(A122),YEAR(A122)+1)</f>
        <v>1931</v>
      </c>
      <c r="C122" s="15" t="n">
        <f aca="false">MONTH(A122)</f>
        <v>4</v>
      </c>
      <c r="D122" s="15" t="n">
        <f aca="false">DAY(A122)</f>
        <v>30</v>
      </c>
      <c r="E122" s="15" t="n">
        <f aca="false">VLOOKUP(B122,WYT!$A$2:$L$97,12)</f>
        <v>0</v>
      </c>
      <c r="F122" s="15" t="n">
        <f aca="false">IF(C122=$W$5,1,0)</f>
        <v>0</v>
      </c>
      <c r="G122" s="15" t="n">
        <f aca="false">IF(C122=10,0,IF(F122=1,1,G121))</f>
        <v>1</v>
      </c>
      <c r="H122" s="5" t="n">
        <f aca="false">VA_base_426_data!B122</f>
        <v>2336.44791969309</v>
      </c>
      <c r="I122" s="5" t="n">
        <f aca="false">IF(AND(E122=1,OR(C122=4,C122=5)),25*12.1/24/D122*1000,0)</f>
        <v>0</v>
      </c>
      <c r="J122" s="5" t="n">
        <f aca="false">VA_base_426_data!C122</f>
        <v>750</v>
      </c>
      <c r="K122" s="5" t="n">
        <f aca="false">H122+I122-J122</f>
        <v>1586.44791969309</v>
      </c>
      <c r="L122" s="5" t="n">
        <f aca="false">MIN($W$7,J122+K122)</f>
        <v>2000</v>
      </c>
      <c r="M122" s="5" t="n">
        <f aca="false">VA_base_426_data!D122</f>
        <v>700</v>
      </c>
      <c r="N122" s="5" t="n">
        <f aca="false">IF(AND(C122=10,E122=1),$W$6,N121-P121)</f>
        <v>0</v>
      </c>
      <c r="O122" s="5" t="n">
        <f aca="false">IF(ABS(M122-L122)&gt;1,MIN(N122/((L122-M122)*24/12.1/1000),D122),D122)</f>
        <v>0</v>
      </c>
      <c r="P122" s="5" t="n">
        <f aca="false">MIN(IF(AND(G122,E122),(L122-M122)*24/12.1*O122/1000,0),N122)</f>
        <v>0</v>
      </c>
      <c r="Q122" s="5" t="n">
        <f aca="false">IF(P122&gt;0,P122/O122*12.1/24*1000+M122,0)</f>
        <v>0</v>
      </c>
      <c r="R122" s="0" t="n">
        <f aca="false">IF(Q122&gt;0,TRUNC(O122),0)</f>
        <v>0</v>
      </c>
      <c r="S122" s="5" t="n">
        <f aca="false">(M122*(D122-R122)+(Q122*R122))/D122</f>
        <v>700</v>
      </c>
      <c r="T122" s="6" t="n">
        <f aca="false">(Q122-M122)*R122*24/12.1/1000</f>
        <v>-0</v>
      </c>
    </row>
    <row r="123" customFormat="false" ht="14.35" hidden="false" customHeight="false" outlineLevel="0" collapsed="false">
      <c r="A123" s="4" t="n">
        <v>11474</v>
      </c>
      <c r="B123" s="15" t="n">
        <f aca="false">IF(C123&lt;=9,YEAR(A123),YEAR(A123)+1)</f>
        <v>1931</v>
      </c>
      <c r="C123" s="15" t="n">
        <f aca="false">MONTH(A123)</f>
        <v>5</v>
      </c>
      <c r="D123" s="15" t="n">
        <f aca="false">DAY(A123)</f>
        <v>31</v>
      </c>
      <c r="E123" s="15" t="n">
        <f aca="false">VLOOKUP(B123,WYT!$A$2:$L$97,12)</f>
        <v>0</v>
      </c>
      <c r="F123" s="15" t="n">
        <f aca="false">IF(C123=$W$5,1,0)</f>
        <v>0</v>
      </c>
      <c r="G123" s="15" t="n">
        <f aca="false">IF(C123=10,0,IF(F123=1,1,G122))</f>
        <v>1</v>
      </c>
      <c r="H123" s="5" t="n">
        <f aca="false">VA_base_426_data!B123</f>
        <v>1920.51001305255</v>
      </c>
      <c r="I123" s="5" t="n">
        <f aca="false">IF(AND(E123=1,OR(C123=4,C123=5)),25*12.1/24/D123*1000,0)</f>
        <v>0</v>
      </c>
      <c r="J123" s="5" t="n">
        <f aca="false">VA_base_426_data!C123</f>
        <v>750</v>
      </c>
      <c r="K123" s="5" t="n">
        <f aca="false">H123+I123-J123</f>
        <v>1170.51001305255</v>
      </c>
      <c r="L123" s="5" t="n">
        <f aca="false">MIN($W$7,J123+K123)</f>
        <v>1920.51001305255</v>
      </c>
      <c r="M123" s="5" t="n">
        <f aca="false">VA_base_426_data!D123</f>
        <v>700</v>
      </c>
      <c r="N123" s="5" t="n">
        <f aca="false">IF(AND(C123=10,E123=1),$W$6,N122-P122)</f>
        <v>0</v>
      </c>
      <c r="O123" s="5" t="n">
        <f aca="false">IF(ABS(M123-L123)&gt;1,MIN(N123/((L123-M123)*24/12.1/1000),D123),D123)</f>
        <v>0</v>
      </c>
      <c r="P123" s="5" t="n">
        <f aca="false">MIN(IF(AND(G123,E123),(L123-M123)*24/12.1*O123/1000,0),N123)</f>
        <v>0</v>
      </c>
      <c r="Q123" s="5" t="n">
        <f aca="false">IF(P123&gt;0,P123/O123*12.1/24*1000+M123,0)</f>
        <v>0</v>
      </c>
      <c r="R123" s="0" t="n">
        <f aca="false">IF(Q123&gt;0,TRUNC(O123),0)</f>
        <v>0</v>
      </c>
      <c r="S123" s="5" t="n">
        <f aca="false">(M123*(D123-R123)+(Q123*R123))/D123</f>
        <v>700</v>
      </c>
      <c r="T123" s="6" t="n">
        <f aca="false">(Q123-M123)*R123*24/12.1/1000</f>
        <v>-0</v>
      </c>
    </row>
    <row r="124" customFormat="false" ht="14.35" hidden="false" customHeight="false" outlineLevel="0" collapsed="false">
      <c r="A124" s="4" t="n">
        <v>11504</v>
      </c>
      <c r="B124" s="15" t="n">
        <f aca="false">IF(C124&lt;=9,YEAR(A124),YEAR(A124)+1)</f>
        <v>1931</v>
      </c>
      <c r="C124" s="15" t="n">
        <f aca="false">MONTH(A124)</f>
        <v>6</v>
      </c>
      <c r="D124" s="15" t="n">
        <f aca="false">DAY(A124)</f>
        <v>30</v>
      </c>
      <c r="E124" s="15" t="n">
        <f aca="false">VLOOKUP(B124,WYT!$A$2:$L$97,12)</f>
        <v>0</v>
      </c>
      <c r="F124" s="15" t="n">
        <f aca="false">IF(C124=$W$5,1,0)</f>
        <v>0</v>
      </c>
      <c r="G124" s="15" t="n">
        <f aca="false">IF(C124=10,0,IF(F124=1,1,G123))</f>
        <v>1</v>
      </c>
      <c r="H124" s="5" t="n">
        <f aca="false">VA_base_426_data!B124</f>
        <v>3610.24587777126</v>
      </c>
      <c r="I124" s="5" t="n">
        <f aca="false">IF(AND(E124=1,OR(C124=4,C124=5)),25*12.1/24/D124*1000,0)</f>
        <v>0</v>
      </c>
      <c r="J124" s="5" t="n">
        <f aca="false">VA_base_426_data!C124</f>
        <v>750</v>
      </c>
      <c r="K124" s="5" t="n">
        <f aca="false">H124+I124-J124</f>
        <v>2860.24587777126</v>
      </c>
      <c r="L124" s="5" t="n">
        <f aca="false">MIN($W$7,J124+K124)</f>
        <v>2000</v>
      </c>
      <c r="M124" s="5" t="n">
        <f aca="false">VA_base_426_data!D124</f>
        <v>700</v>
      </c>
      <c r="N124" s="5" t="n">
        <f aca="false">IF(AND(C124=10,E124=1),$W$6,N123-P123)</f>
        <v>0</v>
      </c>
      <c r="O124" s="5" t="n">
        <f aca="false">IF(ABS(M124-L124)&gt;1,MIN(N124/((L124-M124)*24/12.1/1000),D124),D124)</f>
        <v>0</v>
      </c>
      <c r="P124" s="5" t="n">
        <f aca="false">MIN(IF(AND(G124,E124),(L124-M124)*24/12.1*O124/1000,0),N124)</f>
        <v>0</v>
      </c>
      <c r="Q124" s="5" t="n">
        <f aca="false">IF(P124&gt;0,P124/O124*12.1/24*1000+M124,0)</f>
        <v>0</v>
      </c>
      <c r="R124" s="0" t="n">
        <f aca="false">IF(Q124&gt;0,TRUNC(O124),0)</f>
        <v>0</v>
      </c>
      <c r="S124" s="5" t="n">
        <f aca="false">(M124*(D124-R124)+(Q124*R124))/D124</f>
        <v>700</v>
      </c>
      <c r="T124" s="6" t="n">
        <f aca="false">(Q124-M124)*R124*24/12.1/1000</f>
        <v>-0</v>
      </c>
    </row>
    <row r="125" customFormat="false" ht="14.35" hidden="false" customHeight="false" outlineLevel="0" collapsed="false">
      <c r="A125" s="4" t="n">
        <v>11535</v>
      </c>
      <c r="B125" s="15" t="n">
        <f aca="false">IF(C125&lt;=9,YEAR(A125),YEAR(A125)+1)</f>
        <v>1931</v>
      </c>
      <c r="C125" s="15" t="n">
        <f aca="false">MONTH(A125)</f>
        <v>7</v>
      </c>
      <c r="D125" s="15" t="n">
        <f aca="false">DAY(A125)</f>
        <v>31</v>
      </c>
      <c r="E125" s="15" t="n">
        <f aca="false">VLOOKUP(B125,WYT!$A$2:$L$97,12)</f>
        <v>0</v>
      </c>
      <c r="F125" s="15" t="n">
        <f aca="false">IF(C125=$W$5,1,0)</f>
        <v>0</v>
      </c>
      <c r="G125" s="15" t="n">
        <f aca="false">IF(C125=10,0,IF(F125=1,1,G124))</f>
        <v>1</v>
      </c>
      <c r="H125" s="5" t="n">
        <f aca="false">VA_base_426_data!B125</f>
        <v>4332.08982819401</v>
      </c>
      <c r="I125" s="5" t="n">
        <f aca="false">IF(AND(E125=1,OR(C125=4,C125=5)),25*12.1/24/D125*1000,0)</f>
        <v>0</v>
      </c>
      <c r="J125" s="5" t="n">
        <f aca="false">VA_base_426_data!C125</f>
        <v>750</v>
      </c>
      <c r="K125" s="5" t="n">
        <f aca="false">H125+I125-J125</f>
        <v>3582.08982819401</v>
      </c>
      <c r="L125" s="5" t="n">
        <f aca="false">MIN($W$7,J125+K125)</f>
        <v>2000</v>
      </c>
      <c r="M125" s="5" t="n">
        <f aca="false">VA_base_426_data!D125</f>
        <v>700</v>
      </c>
      <c r="N125" s="5" t="n">
        <f aca="false">IF(AND(C125=10,E125=1),$W$6,N124-P124)</f>
        <v>0</v>
      </c>
      <c r="O125" s="5" t="n">
        <f aca="false">IF(ABS(M125-L125)&gt;1,MIN(N125/((L125-M125)*24/12.1/1000),D125),D125)</f>
        <v>0</v>
      </c>
      <c r="P125" s="5" t="n">
        <f aca="false">MIN(IF(AND(G125,E125),(L125-M125)*24/12.1*O125/1000,0),N125)</f>
        <v>0</v>
      </c>
      <c r="Q125" s="5" t="n">
        <f aca="false">IF(P125&gt;0,P125/O125*12.1/24*1000+M125,0)</f>
        <v>0</v>
      </c>
      <c r="R125" s="0" t="n">
        <f aca="false">IF(Q125&gt;0,TRUNC(O125),0)</f>
        <v>0</v>
      </c>
      <c r="S125" s="5" t="n">
        <f aca="false">(M125*(D125-R125)+(Q125*R125))/D125</f>
        <v>700</v>
      </c>
      <c r="T125" s="6" t="n">
        <f aca="false">(Q125-M125)*R125*24/12.1/1000</f>
        <v>-0</v>
      </c>
    </row>
    <row r="126" customFormat="false" ht="14.35" hidden="false" customHeight="false" outlineLevel="0" collapsed="false">
      <c r="A126" s="4" t="n">
        <v>11566</v>
      </c>
      <c r="B126" s="15" t="n">
        <f aca="false">IF(C126&lt;=9,YEAR(A126),YEAR(A126)+1)</f>
        <v>1931</v>
      </c>
      <c r="C126" s="15" t="n">
        <f aca="false">MONTH(A126)</f>
        <v>8</v>
      </c>
      <c r="D126" s="15" t="n">
        <f aca="false">DAY(A126)</f>
        <v>31</v>
      </c>
      <c r="E126" s="15" t="n">
        <f aca="false">VLOOKUP(B126,WYT!$A$2:$L$97,12)</f>
        <v>0</v>
      </c>
      <c r="F126" s="15" t="n">
        <f aca="false">IF(C126=$W$5,1,0)</f>
        <v>0</v>
      </c>
      <c r="G126" s="15" t="n">
        <f aca="false">IF(C126=10,0,IF(F126=1,1,G125))</f>
        <v>1</v>
      </c>
      <c r="H126" s="5" t="n">
        <f aca="false">VA_base_426_data!B126</f>
        <v>3360.13861157408</v>
      </c>
      <c r="I126" s="5" t="n">
        <f aca="false">IF(AND(E126=1,OR(C126=4,C126=5)),25*12.1/24/D126*1000,0)</f>
        <v>0</v>
      </c>
      <c r="J126" s="5" t="n">
        <f aca="false">VA_base_426_data!C126</f>
        <v>750</v>
      </c>
      <c r="K126" s="5" t="n">
        <f aca="false">H126+I126-J126</f>
        <v>2610.13861157408</v>
      </c>
      <c r="L126" s="5" t="n">
        <f aca="false">MIN($W$7,J126+K126)</f>
        <v>2000</v>
      </c>
      <c r="M126" s="5" t="n">
        <f aca="false">VA_base_426_data!D126</f>
        <v>700</v>
      </c>
      <c r="N126" s="5" t="n">
        <f aca="false">IF(AND(C126=10,E126=1),$W$6,N125-P125)</f>
        <v>0</v>
      </c>
      <c r="O126" s="5" t="n">
        <f aca="false">IF(ABS(M126-L126)&gt;1,MIN(N126/((L126-M126)*24/12.1/1000),D126),D126)</f>
        <v>0</v>
      </c>
      <c r="P126" s="5" t="n">
        <f aca="false">MIN(IF(AND(G126,E126),(L126-M126)*24/12.1*O126/1000,0),N126)</f>
        <v>0</v>
      </c>
      <c r="Q126" s="5" t="n">
        <f aca="false">IF(P126&gt;0,P126/O126*12.1/24*1000+M126,0)</f>
        <v>0</v>
      </c>
      <c r="R126" s="0" t="n">
        <f aca="false">IF(Q126&gt;0,TRUNC(O126),0)</f>
        <v>0</v>
      </c>
      <c r="S126" s="5" t="n">
        <f aca="false">(M126*(D126-R126)+(Q126*R126))/D126</f>
        <v>700</v>
      </c>
      <c r="T126" s="6" t="n">
        <f aca="false">(Q126-M126)*R126*24/12.1/1000</f>
        <v>-0</v>
      </c>
    </row>
    <row r="127" customFormat="false" ht="14.35" hidden="false" customHeight="false" outlineLevel="0" collapsed="false">
      <c r="A127" s="4" t="n">
        <v>11596</v>
      </c>
      <c r="B127" s="15" t="n">
        <f aca="false">IF(C127&lt;=9,YEAR(A127),YEAR(A127)+1)</f>
        <v>1931</v>
      </c>
      <c r="C127" s="15" t="n">
        <f aca="false">MONTH(A127)</f>
        <v>9</v>
      </c>
      <c r="D127" s="15" t="n">
        <f aca="false">DAY(A127)</f>
        <v>30</v>
      </c>
      <c r="E127" s="15" t="n">
        <f aca="false">VLOOKUP(B127,WYT!$A$2:$L$97,12)</f>
        <v>0</v>
      </c>
      <c r="F127" s="15" t="n">
        <f aca="false">IF(C127=$W$5,1,0)</f>
        <v>0</v>
      </c>
      <c r="G127" s="15" t="n">
        <f aca="false">IF(C127=10,0,IF(F127=1,1,G126))</f>
        <v>1</v>
      </c>
      <c r="H127" s="5" t="n">
        <f aca="false">VA_base_426_data!B127</f>
        <v>1232.60560121714</v>
      </c>
      <c r="I127" s="5" t="n">
        <f aca="false">IF(AND(E127=1,OR(C127=4,C127=5)),25*12.1/24/D127*1000,0)</f>
        <v>0</v>
      </c>
      <c r="J127" s="5" t="n">
        <f aca="false">VA_base_426_data!C127</f>
        <v>750</v>
      </c>
      <c r="K127" s="5" t="n">
        <f aca="false">H127+I127-J127</f>
        <v>482.605601217144</v>
      </c>
      <c r="L127" s="5" t="n">
        <f aca="false">MIN($W$7,J127+K127)</f>
        <v>1232.60560121714</v>
      </c>
      <c r="M127" s="5" t="n">
        <f aca="false">VA_base_426_data!D127</f>
        <v>773.3333333</v>
      </c>
      <c r="N127" s="5" t="n">
        <f aca="false">IF(AND(C127=10,E127=1),$W$6,N126-P126)</f>
        <v>0</v>
      </c>
      <c r="O127" s="5" t="n">
        <f aca="false">IF(ABS(M127-L127)&gt;1,MIN(N127/((L127-M127)*24/12.1/1000),D127),D127)</f>
        <v>0</v>
      </c>
      <c r="P127" s="5" t="n">
        <f aca="false">MIN(IF(AND(G127,E127),(L127-M127)*24/12.1*O127/1000,0),N127)</f>
        <v>0</v>
      </c>
      <c r="Q127" s="5" t="n">
        <f aca="false">IF(P127&gt;0,P127/O127*12.1/24*1000+M127,0)</f>
        <v>0</v>
      </c>
      <c r="R127" s="0" t="n">
        <f aca="false">IF(Q127&gt;0,TRUNC(O127),0)</f>
        <v>0</v>
      </c>
      <c r="S127" s="5" t="n">
        <f aca="false">(M127*(D127-R127)+(Q127*R127))/D127</f>
        <v>773.3333333</v>
      </c>
      <c r="T127" s="6" t="n">
        <f aca="false">(Q127-M127)*R127*24/12.1/1000</f>
        <v>-0</v>
      </c>
    </row>
    <row r="128" customFormat="false" ht="14.35" hidden="false" customHeight="false" outlineLevel="0" collapsed="false">
      <c r="A128" s="4" t="n">
        <v>11627</v>
      </c>
      <c r="B128" s="15" t="n">
        <f aca="false">IF(C128&lt;=9,YEAR(A128),YEAR(A128)+1)</f>
        <v>1932</v>
      </c>
      <c r="C128" s="15" t="n">
        <f aca="false">MONTH(A128)</f>
        <v>10</v>
      </c>
      <c r="D128" s="15" t="n">
        <f aca="false">DAY(A128)</f>
        <v>31</v>
      </c>
      <c r="E128" s="15" t="n">
        <f aca="false">VLOOKUP(B128,WYT!$A$2:$L$97,12)</f>
        <v>1</v>
      </c>
      <c r="F128" s="15" t="n">
        <f aca="false">IF(C128=$W$5,1,0)</f>
        <v>0</v>
      </c>
      <c r="G128" s="15" t="n">
        <f aca="false">IF(C128=10,0,IF(F128=1,1,G127))</f>
        <v>0</v>
      </c>
      <c r="H128" s="5" t="n">
        <f aca="false">VA_base_426_data!B128</f>
        <v>900.000000000001</v>
      </c>
      <c r="I128" s="5" t="n">
        <f aca="false">IF(AND(E128=1,OR(C128=4,C128=5)),25*12.1/24/D128*1000,0)</f>
        <v>0</v>
      </c>
      <c r="J128" s="5" t="n">
        <f aca="false">VA_base_426_data!C128</f>
        <v>900</v>
      </c>
      <c r="K128" s="5" t="n">
        <f aca="false">H128+I128-J128</f>
        <v>0</v>
      </c>
      <c r="L128" s="5" t="n">
        <f aca="false">MIN($W$7,J128+K128)</f>
        <v>900</v>
      </c>
      <c r="M128" s="5" t="n">
        <f aca="false">VA_base_426_data!D128</f>
        <v>800</v>
      </c>
      <c r="N128" s="5" t="n">
        <f aca="false">IF(AND(C128=10,E128=1),$W$6,N127-P127)</f>
        <v>43</v>
      </c>
      <c r="O128" s="5" t="n">
        <f aca="false">IF(ABS(M128-L128)&gt;1,MIN(N128/((L128-M128)*24/12.1/1000),D128),D128)</f>
        <v>31</v>
      </c>
      <c r="P128" s="5" t="n">
        <f aca="false">MIN(IF(AND(G128,E128),(L128-M128)*24/12.1*O128/1000,0),N128)</f>
        <v>0</v>
      </c>
      <c r="Q128" s="5" t="n">
        <f aca="false">IF(P128&gt;0,P128/O128*12.1/24*1000+M128,0)</f>
        <v>0</v>
      </c>
      <c r="R128" s="0" t="n">
        <f aca="false">IF(Q128&gt;0,TRUNC(O128),0)</f>
        <v>0</v>
      </c>
      <c r="S128" s="5" t="n">
        <f aca="false">(M128*(D128-R128)+(Q128*R128))/D128</f>
        <v>800</v>
      </c>
      <c r="T128" s="6" t="n">
        <f aca="false">(Q128-M128)*R128*24/12.1/1000</f>
        <v>-0</v>
      </c>
    </row>
    <row r="129" customFormat="false" ht="14.35" hidden="false" customHeight="false" outlineLevel="0" collapsed="false">
      <c r="A129" s="4" t="n">
        <v>11657</v>
      </c>
      <c r="B129" s="15" t="n">
        <f aca="false">IF(C129&lt;=9,YEAR(A129),YEAR(A129)+1)</f>
        <v>1932</v>
      </c>
      <c r="C129" s="15" t="n">
        <f aca="false">MONTH(A129)</f>
        <v>11</v>
      </c>
      <c r="D129" s="15" t="n">
        <f aca="false">DAY(A129)</f>
        <v>30</v>
      </c>
      <c r="E129" s="15" t="n">
        <f aca="false">VLOOKUP(B129,WYT!$A$2:$L$97,12)</f>
        <v>1</v>
      </c>
      <c r="F129" s="15" t="n">
        <f aca="false">IF(C129=$W$5,1,0)</f>
        <v>0</v>
      </c>
      <c r="G129" s="15" t="n">
        <f aca="false">IF(C129=10,0,IF(F129=1,1,G128))</f>
        <v>0</v>
      </c>
      <c r="H129" s="5" t="n">
        <f aca="false">VA_base_426_data!B129</f>
        <v>996.462746090844</v>
      </c>
      <c r="I129" s="5" t="n">
        <f aca="false">IF(AND(E129=1,OR(C129=4,C129=5)),25*12.1/24/D129*1000,0)</f>
        <v>0</v>
      </c>
      <c r="J129" s="5" t="n">
        <f aca="false">VA_base_426_data!C129</f>
        <v>900</v>
      </c>
      <c r="K129" s="5" t="n">
        <f aca="false">H129+I129-J129</f>
        <v>96.462746090844</v>
      </c>
      <c r="L129" s="5" t="n">
        <f aca="false">MIN($W$7,J129+K129)</f>
        <v>996.462746090844</v>
      </c>
      <c r="M129" s="5" t="n">
        <f aca="false">VA_base_426_data!D129</f>
        <v>800</v>
      </c>
      <c r="N129" s="5" t="n">
        <f aca="false">IF(AND(C129=10,E129=1),$W$6,N128-P128)</f>
        <v>43</v>
      </c>
      <c r="O129" s="5" t="n">
        <f aca="false">IF(ABS(M129-L129)&gt;1,MIN(N129/((L129-M129)*24/12.1/1000),D129),D129)</f>
        <v>30</v>
      </c>
      <c r="P129" s="5" t="n">
        <f aca="false">MIN(IF(AND(G129,E129),(L129-M129)*24/12.1*O129/1000,0),N129)</f>
        <v>0</v>
      </c>
      <c r="Q129" s="5" t="n">
        <f aca="false">IF(P129&gt;0,P129/O129*12.1/24*1000+M129,0)</f>
        <v>0</v>
      </c>
      <c r="R129" s="0" t="n">
        <f aca="false">IF(Q129&gt;0,TRUNC(O129),0)</f>
        <v>0</v>
      </c>
      <c r="S129" s="5" t="n">
        <f aca="false">(M129*(D129-R129)+(Q129*R129))/D129</f>
        <v>800</v>
      </c>
      <c r="T129" s="6" t="n">
        <f aca="false">(Q129-M129)*R129*24/12.1/1000</f>
        <v>-0</v>
      </c>
    </row>
    <row r="130" customFormat="false" ht="14.35" hidden="false" customHeight="false" outlineLevel="0" collapsed="false">
      <c r="A130" s="4" t="n">
        <v>11688</v>
      </c>
      <c r="B130" s="15" t="n">
        <f aca="false">IF(C130&lt;=9,YEAR(A130),YEAR(A130)+1)</f>
        <v>1932</v>
      </c>
      <c r="C130" s="15" t="n">
        <f aca="false">MONTH(A130)</f>
        <v>12</v>
      </c>
      <c r="D130" s="15" t="n">
        <f aca="false">DAY(A130)</f>
        <v>31</v>
      </c>
      <c r="E130" s="15" t="n">
        <f aca="false">VLOOKUP(B130,WYT!$A$2:$L$97,12)</f>
        <v>1</v>
      </c>
      <c r="F130" s="15" t="n">
        <f aca="false">IF(C130=$W$5,1,0)</f>
        <v>0</v>
      </c>
      <c r="G130" s="15" t="n">
        <f aca="false">IF(C130=10,0,IF(F130=1,1,G129))</f>
        <v>0</v>
      </c>
      <c r="H130" s="5" t="n">
        <f aca="false">VA_base_426_data!B130</f>
        <v>4303.51201056665</v>
      </c>
      <c r="I130" s="5" t="n">
        <f aca="false">IF(AND(E130=1,OR(C130=4,C130=5)),25*12.1/24/D130*1000,0)</f>
        <v>0</v>
      </c>
      <c r="J130" s="5" t="n">
        <f aca="false">VA_base_426_data!C130</f>
        <v>900</v>
      </c>
      <c r="K130" s="5" t="n">
        <f aca="false">H130+I130-J130</f>
        <v>3403.51201056665</v>
      </c>
      <c r="L130" s="5" t="n">
        <f aca="false">MIN($W$7,J130+K130)</f>
        <v>2000</v>
      </c>
      <c r="M130" s="5" t="n">
        <f aca="false">VA_base_426_data!D130</f>
        <v>800</v>
      </c>
      <c r="N130" s="5" t="n">
        <f aca="false">IF(AND(C130=10,E130=1),$W$6,N129-P129)</f>
        <v>43</v>
      </c>
      <c r="O130" s="5" t="n">
        <f aca="false">IF(ABS(M130-L130)&gt;1,MIN(N130/((L130-M130)*24/12.1/1000),D130),D130)</f>
        <v>18.0659722222222</v>
      </c>
      <c r="P130" s="5" t="n">
        <f aca="false">MIN(IF(AND(G130,E130),(L130-M130)*24/12.1*O130/1000,0),N130)</f>
        <v>0</v>
      </c>
      <c r="Q130" s="5" t="n">
        <f aca="false">IF(P130&gt;0,P130/O130*12.1/24*1000+M130,0)</f>
        <v>0</v>
      </c>
      <c r="R130" s="0" t="n">
        <f aca="false">IF(Q130&gt;0,TRUNC(O130),0)</f>
        <v>0</v>
      </c>
      <c r="S130" s="5" t="n">
        <f aca="false">(M130*(D130-R130)+(Q130*R130))/D130</f>
        <v>800</v>
      </c>
      <c r="T130" s="6" t="n">
        <f aca="false">(Q130-M130)*R130*24/12.1/1000</f>
        <v>-0</v>
      </c>
    </row>
    <row r="131" customFormat="false" ht="14.35" hidden="false" customHeight="false" outlineLevel="0" collapsed="false">
      <c r="A131" s="4" t="n">
        <v>11719</v>
      </c>
      <c r="B131" s="15" t="n">
        <f aca="false">IF(C131&lt;=9,YEAR(A131),YEAR(A131)+1)</f>
        <v>1932</v>
      </c>
      <c r="C131" s="15" t="n">
        <f aca="false">MONTH(A131)</f>
        <v>1</v>
      </c>
      <c r="D131" s="15" t="n">
        <f aca="false">DAY(A131)</f>
        <v>31</v>
      </c>
      <c r="E131" s="15" t="n">
        <f aca="false">VLOOKUP(B131,WYT!$A$2:$L$97,12)</f>
        <v>1</v>
      </c>
      <c r="F131" s="15" t="n">
        <f aca="false">IF(C131=$W$5,1,0)</f>
        <v>0</v>
      </c>
      <c r="G131" s="15" t="n">
        <f aca="false">IF(C131=10,0,IF(F131=1,1,G130))</f>
        <v>0</v>
      </c>
      <c r="H131" s="5" t="n">
        <f aca="false">VA_base_426_data!B131</f>
        <v>900</v>
      </c>
      <c r="I131" s="5" t="n">
        <f aca="false">IF(AND(E131=1,OR(C131=4,C131=5)),25*12.1/24/D131*1000,0)</f>
        <v>0</v>
      </c>
      <c r="J131" s="5" t="n">
        <f aca="false">VA_base_426_data!C131</f>
        <v>900</v>
      </c>
      <c r="K131" s="5" t="n">
        <f aca="false">H131+I131-J131</f>
        <v>0</v>
      </c>
      <c r="L131" s="5" t="n">
        <f aca="false">MIN($W$7,J131+K131)</f>
        <v>900</v>
      </c>
      <c r="M131" s="5" t="n">
        <f aca="false">VA_base_426_data!D131</f>
        <v>800</v>
      </c>
      <c r="N131" s="5" t="n">
        <f aca="false">IF(AND(C131=10,E131=1),$W$6,N130-P130)</f>
        <v>43</v>
      </c>
      <c r="O131" s="5" t="n">
        <f aca="false">IF(ABS(M131-L131)&gt;1,MIN(N131/((L131-M131)*24/12.1/1000),D131),D131)</f>
        <v>31</v>
      </c>
      <c r="P131" s="5" t="n">
        <f aca="false">MIN(IF(AND(G131,E131),(L131-M131)*24/12.1*O131/1000,0),N131)</f>
        <v>0</v>
      </c>
      <c r="Q131" s="5" t="n">
        <f aca="false">IF(P131&gt;0,P131/O131*12.1/24*1000+M131,0)</f>
        <v>0</v>
      </c>
      <c r="R131" s="0" t="n">
        <f aca="false">IF(Q131&gt;0,TRUNC(O131),0)</f>
        <v>0</v>
      </c>
      <c r="S131" s="5" t="n">
        <f aca="false">(M131*(D131-R131)+(Q131*R131))/D131</f>
        <v>800</v>
      </c>
      <c r="T131" s="6" t="n">
        <f aca="false">(Q131-M131)*R131*24/12.1/1000</f>
        <v>-0</v>
      </c>
    </row>
    <row r="132" customFormat="false" ht="14.35" hidden="false" customHeight="false" outlineLevel="0" collapsed="false">
      <c r="A132" s="4" t="n">
        <v>11748</v>
      </c>
      <c r="B132" s="15" t="n">
        <f aca="false">IF(C132&lt;=9,YEAR(A132),YEAR(A132)+1)</f>
        <v>1932</v>
      </c>
      <c r="C132" s="15" t="n">
        <f aca="false">MONTH(A132)</f>
        <v>2</v>
      </c>
      <c r="D132" s="15" t="n">
        <f aca="false">DAY(A132)</f>
        <v>29</v>
      </c>
      <c r="E132" s="15" t="n">
        <f aca="false">VLOOKUP(B132,WYT!$A$2:$L$97,12)</f>
        <v>1</v>
      </c>
      <c r="F132" s="15" t="n">
        <f aca="false">IF(C132=$W$5,1,0)</f>
        <v>1</v>
      </c>
      <c r="G132" s="15" t="n">
        <f aca="false">IF(C132=10,0,IF(F132=1,1,G131))</f>
        <v>1</v>
      </c>
      <c r="H132" s="5" t="n">
        <f aca="false">VA_base_426_data!B132</f>
        <v>900</v>
      </c>
      <c r="I132" s="5" t="n">
        <f aca="false">IF(AND(E132=1,OR(C132=4,C132=5)),25*12.1/24/D132*1000,0)</f>
        <v>0</v>
      </c>
      <c r="J132" s="5" t="n">
        <f aca="false">VA_base_426_data!C132</f>
        <v>900</v>
      </c>
      <c r="K132" s="5" t="n">
        <f aca="false">H132+I132-J132</f>
        <v>0</v>
      </c>
      <c r="L132" s="5" t="n">
        <f aca="false">MIN($W$7,J132+K132)</f>
        <v>900</v>
      </c>
      <c r="M132" s="5" t="n">
        <f aca="false">VA_base_426_data!D132</f>
        <v>800</v>
      </c>
      <c r="N132" s="5" t="n">
        <f aca="false">IF(AND(C132=10,E132=1),$W$6,N131-P131)</f>
        <v>43</v>
      </c>
      <c r="O132" s="5" t="n">
        <f aca="false">IF(ABS(M132-L132)&gt;1,MIN(N132/((L132-M132)*24/12.1/1000),D132),D132)</f>
        <v>29</v>
      </c>
      <c r="P132" s="5" t="n">
        <f aca="false">MIN(IF(AND(G132,E132),(L132-M132)*24/12.1*O132/1000,0),N132)</f>
        <v>5.75206611570248</v>
      </c>
      <c r="Q132" s="5" t="n">
        <f aca="false">IF(P132&gt;0,P132/O132*12.1/24*1000+M132,0)</f>
        <v>900</v>
      </c>
      <c r="R132" s="0" t="n">
        <f aca="false">IF(Q132&gt;0,TRUNC(O132),0)</f>
        <v>29</v>
      </c>
      <c r="S132" s="5" t="n">
        <f aca="false">(M132*(D132-R132)+(Q132*R132))/D132</f>
        <v>900</v>
      </c>
      <c r="T132" s="6" t="n">
        <f aca="false">(Q132-M132)*R132*24/12.1/1000</f>
        <v>5.75206611570248</v>
      </c>
    </row>
    <row r="133" customFormat="false" ht="14.35" hidden="false" customHeight="false" outlineLevel="0" collapsed="false">
      <c r="A133" s="4" t="n">
        <v>11779</v>
      </c>
      <c r="B133" s="15" t="n">
        <f aca="false">IF(C133&lt;=9,YEAR(A133),YEAR(A133)+1)</f>
        <v>1932</v>
      </c>
      <c r="C133" s="15" t="n">
        <f aca="false">MONTH(A133)</f>
        <v>3</v>
      </c>
      <c r="D133" s="15" t="n">
        <f aca="false">DAY(A133)</f>
        <v>31</v>
      </c>
      <c r="E133" s="15" t="n">
        <f aca="false">VLOOKUP(B133,WYT!$A$2:$L$97,12)</f>
        <v>1</v>
      </c>
      <c r="F133" s="15" t="n">
        <f aca="false">IF(C133=$W$5,1,0)</f>
        <v>0</v>
      </c>
      <c r="G133" s="15" t="n">
        <f aca="false">IF(C133=10,0,IF(F133=1,1,G132))</f>
        <v>1</v>
      </c>
      <c r="H133" s="5" t="n">
        <f aca="false">VA_base_426_data!B133</f>
        <v>2371.04930258743</v>
      </c>
      <c r="I133" s="5" t="n">
        <f aca="false">IF(AND(E133=1,OR(C133=4,C133=5)),25*12.1/24/D133*1000,0)</f>
        <v>0</v>
      </c>
      <c r="J133" s="5" t="n">
        <f aca="false">VA_base_426_data!C133</f>
        <v>750</v>
      </c>
      <c r="K133" s="5" t="n">
        <f aca="false">H133+I133-J133</f>
        <v>1621.04930258743</v>
      </c>
      <c r="L133" s="5" t="n">
        <f aca="false">MIN($W$7,J133+K133)</f>
        <v>2000</v>
      </c>
      <c r="M133" s="5" t="n">
        <f aca="false">VA_base_426_data!D133</f>
        <v>800</v>
      </c>
      <c r="N133" s="5" t="n">
        <f aca="false">IF(AND(C133=10,E133=1),$W$6,N132-P132)</f>
        <v>37.2479338842975</v>
      </c>
      <c r="O133" s="5" t="n">
        <f aca="false">IF(ABS(M133-L133)&gt;1,MIN(N133/((L133-M133)*24/12.1/1000),D133),D133)</f>
        <v>15.6493055555556</v>
      </c>
      <c r="P133" s="5" t="n">
        <f aca="false">MIN(IF(AND(G133,E133),(L133-M133)*24/12.1*O133/1000,0),N133)</f>
        <v>37.2479338842975</v>
      </c>
      <c r="Q133" s="5" t="n">
        <f aca="false">IF(P133&gt;0,P133/O133*12.1/24*1000+M133,0)</f>
        <v>2000</v>
      </c>
      <c r="R133" s="0" t="n">
        <f aca="false">IF(Q133&gt;0,TRUNC(O133),0)</f>
        <v>15</v>
      </c>
      <c r="S133" s="5" t="n">
        <f aca="false">(M133*(D133-R133)+(Q133*R133))/D133</f>
        <v>1380.64516129032</v>
      </c>
      <c r="T133" s="6" t="n">
        <f aca="false">(Q133-M133)*R133*24/12.1/1000</f>
        <v>35.702479338843</v>
      </c>
    </row>
    <row r="134" customFormat="false" ht="14.35" hidden="false" customHeight="false" outlineLevel="0" collapsed="false">
      <c r="A134" s="4" t="n">
        <v>11809</v>
      </c>
      <c r="B134" s="15" t="n">
        <f aca="false">IF(C134&lt;=9,YEAR(A134),YEAR(A134)+1)</f>
        <v>1932</v>
      </c>
      <c r="C134" s="15" t="n">
        <f aca="false">MONTH(A134)</f>
        <v>4</v>
      </c>
      <c r="D134" s="15" t="n">
        <f aca="false">DAY(A134)</f>
        <v>30</v>
      </c>
      <c r="E134" s="15" t="n">
        <f aca="false">VLOOKUP(B134,WYT!$A$2:$L$97,12)</f>
        <v>1</v>
      </c>
      <c r="F134" s="15" t="n">
        <f aca="false">IF(C134=$W$5,1,0)</f>
        <v>0</v>
      </c>
      <c r="G134" s="15" t="n">
        <f aca="false">IF(C134=10,0,IF(F134=1,1,G133))</f>
        <v>1</v>
      </c>
      <c r="H134" s="5" t="n">
        <f aca="false">VA_base_426_data!B134</f>
        <v>750.000000000004</v>
      </c>
      <c r="I134" s="5" t="n">
        <f aca="false">IF(AND(E134=1,OR(C134=4,C134=5)),25*12.1/24/D134*1000,0)</f>
        <v>420.138888888889</v>
      </c>
      <c r="J134" s="5" t="n">
        <f aca="false">VA_base_426_data!C134</f>
        <v>750</v>
      </c>
      <c r="K134" s="5" t="n">
        <f aca="false">H134+I134-J134</f>
        <v>420.138888888893</v>
      </c>
      <c r="L134" s="5" t="n">
        <f aca="false">MIN($W$7,J134+K134)</f>
        <v>1170.13888888889</v>
      </c>
      <c r="M134" s="5" t="n">
        <f aca="false">VA_base_426_data!D134</f>
        <v>700</v>
      </c>
      <c r="N134" s="5" t="n">
        <f aca="false">IF(AND(C134=10,E134=1),$W$6,N133-P133)</f>
        <v>0</v>
      </c>
      <c r="O134" s="5" t="n">
        <f aca="false">IF(ABS(M134-L134)&gt;1,MIN(N134/((L134-M134)*24/12.1/1000),D134),D134)</f>
        <v>0</v>
      </c>
      <c r="P134" s="5" t="n">
        <f aca="false">MIN(IF(AND(G134,E134),(L134-M134)*24/12.1*O134/1000,0),N134)</f>
        <v>0</v>
      </c>
      <c r="Q134" s="5" t="n">
        <f aca="false">IF(P134&gt;0,P134/O134*12.1/24*1000+M134,0)</f>
        <v>0</v>
      </c>
      <c r="R134" s="0" t="n">
        <f aca="false">IF(Q134&gt;0,TRUNC(O134),0)</f>
        <v>0</v>
      </c>
      <c r="S134" s="5" t="n">
        <f aca="false">(M134*(D134-R134)+(Q134*R134))/D134</f>
        <v>700</v>
      </c>
      <c r="T134" s="6" t="n">
        <f aca="false">(Q134-M134)*R134*24/12.1/1000</f>
        <v>-0</v>
      </c>
    </row>
    <row r="135" customFormat="false" ht="14.35" hidden="false" customHeight="false" outlineLevel="0" collapsed="false">
      <c r="A135" s="4" t="n">
        <v>11840</v>
      </c>
      <c r="B135" s="15" t="n">
        <f aca="false">IF(C135&lt;=9,YEAR(A135),YEAR(A135)+1)</f>
        <v>1932</v>
      </c>
      <c r="C135" s="15" t="n">
        <f aca="false">MONTH(A135)</f>
        <v>5</v>
      </c>
      <c r="D135" s="15" t="n">
        <f aca="false">DAY(A135)</f>
        <v>31</v>
      </c>
      <c r="E135" s="15" t="n">
        <f aca="false">VLOOKUP(B135,WYT!$A$2:$L$97,12)</f>
        <v>1</v>
      </c>
      <c r="F135" s="15" t="n">
        <f aca="false">IF(C135=$W$5,1,0)</f>
        <v>0</v>
      </c>
      <c r="G135" s="15" t="n">
        <f aca="false">IF(C135=10,0,IF(F135=1,1,G134))</f>
        <v>1</v>
      </c>
      <c r="H135" s="5" t="n">
        <f aca="false">VA_base_426_data!B135</f>
        <v>749.99999999999</v>
      </c>
      <c r="I135" s="5" t="n">
        <f aca="false">IF(AND(E135=1,OR(C135=4,C135=5)),25*12.1/24/D135*1000,0)</f>
        <v>406.586021505376</v>
      </c>
      <c r="J135" s="5" t="n">
        <f aca="false">VA_base_426_data!C135</f>
        <v>750</v>
      </c>
      <c r="K135" s="5" t="n">
        <f aca="false">H135+I135-J135</f>
        <v>406.586021505366</v>
      </c>
      <c r="L135" s="5" t="n">
        <f aca="false">MIN($W$7,J135+K135)</f>
        <v>1156.58602150537</v>
      </c>
      <c r="M135" s="5" t="n">
        <f aca="false">VA_base_426_data!D135</f>
        <v>700</v>
      </c>
      <c r="N135" s="5" t="n">
        <f aca="false">IF(AND(C135=10,E135=1),$W$6,N134-P134)</f>
        <v>0</v>
      </c>
      <c r="O135" s="5" t="n">
        <f aca="false">IF(ABS(M135-L135)&gt;1,MIN(N135/((L135-M135)*24/12.1/1000),D135),D135)</f>
        <v>0</v>
      </c>
      <c r="P135" s="5" t="n">
        <f aca="false">MIN(IF(AND(G135,E135),(L135-M135)*24/12.1*O135/1000,0),N135)</f>
        <v>0</v>
      </c>
      <c r="Q135" s="5" t="n">
        <f aca="false">IF(P135&gt;0,P135/O135*12.1/24*1000+M135,0)</f>
        <v>0</v>
      </c>
      <c r="R135" s="0" t="n">
        <f aca="false">IF(Q135&gt;0,TRUNC(O135),0)</f>
        <v>0</v>
      </c>
      <c r="S135" s="5" t="n">
        <f aca="false">(M135*(D135-R135)+(Q135*R135))/D135</f>
        <v>700</v>
      </c>
      <c r="T135" s="6" t="n">
        <f aca="false">(Q135-M135)*R135*24/12.1/1000</f>
        <v>-0</v>
      </c>
    </row>
    <row r="136" customFormat="false" ht="14.35" hidden="false" customHeight="false" outlineLevel="0" collapsed="false">
      <c r="A136" s="4" t="n">
        <v>11870</v>
      </c>
      <c r="B136" s="15" t="n">
        <f aca="false">IF(C136&lt;=9,YEAR(A136),YEAR(A136)+1)</f>
        <v>1932</v>
      </c>
      <c r="C136" s="15" t="n">
        <f aca="false">MONTH(A136)</f>
        <v>6</v>
      </c>
      <c r="D136" s="15" t="n">
        <f aca="false">DAY(A136)</f>
        <v>30</v>
      </c>
      <c r="E136" s="15" t="n">
        <f aca="false">VLOOKUP(B136,WYT!$A$2:$L$97,12)</f>
        <v>1</v>
      </c>
      <c r="F136" s="15" t="n">
        <f aca="false">IF(C136=$W$5,1,0)</f>
        <v>0</v>
      </c>
      <c r="G136" s="15" t="n">
        <f aca="false">IF(C136=10,0,IF(F136=1,1,G135))</f>
        <v>1</v>
      </c>
      <c r="H136" s="5" t="n">
        <f aca="false">VA_base_426_data!B136</f>
        <v>2165.973939563</v>
      </c>
      <c r="I136" s="5" t="n">
        <f aca="false">IF(AND(E136=1,OR(C136=4,C136=5)),25*12.1/24/D136*1000,0)</f>
        <v>0</v>
      </c>
      <c r="J136" s="5" t="n">
        <f aca="false">VA_base_426_data!C136</f>
        <v>750</v>
      </c>
      <c r="K136" s="5" t="n">
        <f aca="false">H136+I136-J136</f>
        <v>1415.973939563</v>
      </c>
      <c r="L136" s="5" t="n">
        <f aca="false">MIN($W$7,J136+K136)</f>
        <v>2000</v>
      </c>
      <c r="M136" s="5" t="n">
        <f aca="false">VA_base_426_data!D136</f>
        <v>700</v>
      </c>
      <c r="N136" s="5" t="n">
        <f aca="false">IF(AND(C136=10,E136=1),$W$6,N135-P135)</f>
        <v>0</v>
      </c>
      <c r="O136" s="5" t="n">
        <f aca="false">IF(ABS(M136-L136)&gt;1,MIN(N136/((L136-M136)*24/12.1/1000),D136),D136)</f>
        <v>0</v>
      </c>
      <c r="P136" s="5" t="n">
        <f aca="false">MIN(IF(AND(G136,E136),(L136-M136)*24/12.1*O136/1000,0),N136)</f>
        <v>0</v>
      </c>
      <c r="Q136" s="5" t="n">
        <f aca="false">IF(P136&gt;0,P136/O136*12.1/24*1000+M136,0)</f>
        <v>0</v>
      </c>
      <c r="R136" s="0" t="n">
        <f aca="false">IF(Q136&gt;0,TRUNC(O136),0)</f>
        <v>0</v>
      </c>
      <c r="S136" s="5" t="n">
        <f aca="false">(M136*(D136-R136)+(Q136*R136))/D136</f>
        <v>700</v>
      </c>
      <c r="T136" s="6" t="n">
        <f aca="false">(Q136-M136)*R136*24/12.1/1000</f>
        <v>-0</v>
      </c>
    </row>
    <row r="137" customFormat="false" ht="14.35" hidden="false" customHeight="false" outlineLevel="0" collapsed="false">
      <c r="A137" s="4" t="n">
        <v>11901</v>
      </c>
      <c r="B137" s="15" t="n">
        <f aca="false">IF(C137&lt;=9,YEAR(A137),YEAR(A137)+1)</f>
        <v>1932</v>
      </c>
      <c r="C137" s="15" t="n">
        <f aca="false">MONTH(A137)</f>
        <v>7</v>
      </c>
      <c r="D137" s="15" t="n">
        <f aca="false">DAY(A137)</f>
        <v>31</v>
      </c>
      <c r="E137" s="15" t="n">
        <f aca="false">VLOOKUP(B137,WYT!$A$2:$L$97,12)</f>
        <v>1</v>
      </c>
      <c r="F137" s="15" t="n">
        <f aca="false">IF(C137=$W$5,1,0)</f>
        <v>0</v>
      </c>
      <c r="G137" s="15" t="n">
        <f aca="false">IF(C137=10,0,IF(F137=1,1,G136))</f>
        <v>1</v>
      </c>
      <c r="H137" s="5" t="n">
        <f aca="false">VA_base_426_data!B137</f>
        <v>6376.08127877228</v>
      </c>
      <c r="I137" s="5" t="n">
        <f aca="false">IF(AND(E137=1,OR(C137=4,C137=5)),25*12.1/24/D137*1000,0)</f>
        <v>0</v>
      </c>
      <c r="J137" s="5" t="n">
        <f aca="false">VA_base_426_data!C137</f>
        <v>750</v>
      </c>
      <c r="K137" s="5" t="n">
        <f aca="false">H137+I137-J137</f>
        <v>5626.08127877228</v>
      </c>
      <c r="L137" s="5" t="n">
        <f aca="false">MIN($W$7,J137+K137)</f>
        <v>2000</v>
      </c>
      <c r="M137" s="5" t="n">
        <f aca="false">VA_base_426_data!D137</f>
        <v>700</v>
      </c>
      <c r="N137" s="5" t="n">
        <f aca="false">IF(AND(C137=10,E137=1),$W$6,N136-P136)</f>
        <v>0</v>
      </c>
      <c r="O137" s="5" t="n">
        <f aca="false">IF(ABS(M137-L137)&gt;1,MIN(N137/((L137-M137)*24/12.1/1000),D137),D137)</f>
        <v>0</v>
      </c>
      <c r="P137" s="5" t="n">
        <f aca="false">MIN(IF(AND(G137,E137),(L137-M137)*24/12.1*O137/1000,0),N137)</f>
        <v>0</v>
      </c>
      <c r="Q137" s="5" t="n">
        <f aca="false">IF(P137&gt;0,P137/O137*12.1/24*1000+M137,0)</f>
        <v>0</v>
      </c>
      <c r="R137" s="0" t="n">
        <f aca="false">IF(Q137&gt;0,TRUNC(O137),0)</f>
        <v>0</v>
      </c>
      <c r="S137" s="5" t="n">
        <f aca="false">(M137*(D137-R137)+(Q137*R137))/D137</f>
        <v>700</v>
      </c>
      <c r="T137" s="6" t="n">
        <f aca="false">(Q137-M137)*R137*24/12.1/1000</f>
        <v>-0</v>
      </c>
    </row>
    <row r="138" customFormat="false" ht="14.35" hidden="false" customHeight="false" outlineLevel="0" collapsed="false">
      <c r="A138" s="4" t="n">
        <v>11932</v>
      </c>
      <c r="B138" s="15" t="n">
        <f aca="false">IF(C138&lt;=9,YEAR(A138),YEAR(A138)+1)</f>
        <v>1932</v>
      </c>
      <c r="C138" s="15" t="n">
        <f aca="false">MONTH(A138)</f>
        <v>8</v>
      </c>
      <c r="D138" s="15" t="n">
        <f aca="false">DAY(A138)</f>
        <v>31</v>
      </c>
      <c r="E138" s="15" t="n">
        <f aca="false">VLOOKUP(B138,WYT!$A$2:$L$97,12)</f>
        <v>1</v>
      </c>
      <c r="F138" s="15" t="n">
        <f aca="false">IF(C138=$W$5,1,0)</f>
        <v>0</v>
      </c>
      <c r="G138" s="15" t="n">
        <f aca="false">IF(C138=10,0,IF(F138=1,1,G137))</f>
        <v>1</v>
      </c>
      <c r="H138" s="5" t="n">
        <f aca="false">VA_base_426_data!B138</f>
        <v>1491.80342339279</v>
      </c>
      <c r="I138" s="5" t="n">
        <f aca="false">IF(AND(E138=1,OR(C138=4,C138=5)),25*12.1/24/D138*1000,0)</f>
        <v>0</v>
      </c>
      <c r="J138" s="5" t="n">
        <f aca="false">VA_base_426_data!C138</f>
        <v>750</v>
      </c>
      <c r="K138" s="5" t="n">
        <f aca="false">H138+I138-J138</f>
        <v>741.80342339279</v>
      </c>
      <c r="L138" s="5" t="n">
        <f aca="false">MIN($W$7,J138+K138)</f>
        <v>1491.80342339279</v>
      </c>
      <c r="M138" s="5" t="n">
        <f aca="false">VA_base_426_data!D138</f>
        <v>700</v>
      </c>
      <c r="N138" s="5" t="n">
        <f aca="false">IF(AND(C138=10,E138=1),$W$6,N137-P137)</f>
        <v>0</v>
      </c>
      <c r="O138" s="5" t="n">
        <f aca="false">IF(ABS(M138-L138)&gt;1,MIN(N138/((L138-M138)*24/12.1/1000),D138),D138)</f>
        <v>0</v>
      </c>
      <c r="P138" s="5" t="n">
        <f aca="false">MIN(IF(AND(G138,E138),(L138-M138)*24/12.1*O138/1000,0),N138)</f>
        <v>0</v>
      </c>
      <c r="Q138" s="5" t="n">
        <f aca="false">IF(P138&gt;0,P138/O138*12.1/24*1000+M138,0)</f>
        <v>0</v>
      </c>
      <c r="R138" s="0" t="n">
        <f aca="false">IF(Q138&gt;0,TRUNC(O138),0)</f>
        <v>0</v>
      </c>
      <c r="S138" s="5" t="n">
        <f aca="false">(M138*(D138-R138)+(Q138*R138))/D138</f>
        <v>700</v>
      </c>
      <c r="T138" s="6" t="n">
        <f aca="false">(Q138-M138)*R138*24/12.1/1000</f>
        <v>-0</v>
      </c>
    </row>
    <row r="139" customFormat="false" ht="14.35" hidden="false" customHeight="false" outlineLevel="0" collapsed="false">
      <c r="A139" s="4" t="n">
        <v>11962</v>
      </c>
      <c r="B139" s="15" t="n">
        <f aca="false">IF(C139&lt;=9,YEAR(A139),YEAR(A139)+1)</f>
        <v>1932</v>
      </c>
      <c r="C139" s="15" t="n">
        <f aca="false">MONTH(A139)</f>
        <v>9</v>
      </c>
      <c r="D139" s="15" t="n">
        <f aca="false">DAY(A139)</f>
        <v>30</v>
      </c>
      <c r="E139" s="15" t="n">
        <f aca="false">VLOOKUP(B139,WYT!$A$2:$L$97,12)</f>
        <v>1</v>
      </c>
      <c r="F139" s="15" t="n">
        <f aca="false">IF(C139=$W$5,1,0)</f>
        <v>0</v>
      </c>
      <c r="G139" s="15" t="n">
        <f aca="false">IF(C139=10,0,IF(F139=1,1,G138))</f>
        <v>1</v>
      </c>
      <c r="H139" s="5" t="n">
        <f aca="false">VA_base_426_data!B139</f>
        <v>970.359170005355</v>
      </c>
      <c r="I139" s="5" t="n">
        <f aca="false">IF(AND(E139=1,OR(C139=4,C139=5)),25*12.1/24/D139*1000,0)</f>
        <v>0</v>
      </c>
      <c r="J139" s="5" t="n">
        <f aca="false">VA_base_426_data!C139</f>
        <v>750</v>
      </c>
      <c r="K139" s="5" t="n">
        <f aca="false">H139+I139-J139</f>
        <v>220.359170005355</v>
      </c>
      <c r="L139" s="5" t="n">
        <f aca="false">MIN($W$7,J139+K139)</f>
        <v>970.359170005355</v>
      </c>
      <c r="M139" s="5" t="n">
        <f aca="false">VA_base_426_data!D139</f>
        <v>773.3333333</v>
      </c>
      <c r="N139" s="5" t="n">
        <f aca="false">IF(AND(C139=10,E139=1),$W$6,N138-P138)</f>
        <v>0</v>
      </c>
      <c r="O139" s="5" t="n">
        <f aca="false">IF(ABS(M139-L139)&gt;1,MIN(N139/((L139-M139)*24/12.1/1000),D139),D139)</f>
        <v>0</v>
      </c>
      <c r="P139" s="5" t="n">
        <f aca="false">MIN(IF(AND(G139,E139),(L139-M139)*24/12.1*O139/1000,0),N139)</f>
        <v>0</v>
      </c>
      <c r="Q139" s="5" t="n">
        <f aca="false">IF(P139&gt;0,P139/O139*12.1/24*1000+M139,0)</f>
        <v>0</v>
      </c>
      <c r="R139" s="0" t="n">
        <f aca="false">IF(Q139&gt;0,TRUNC(O139),0)</f>
        <v>0</v>
      </c>
      <c r="S139" s="5" t="n">
        <f aca="false">(M139*(D139-R139)+(Q139*R139))/D139</f>
        <v>773.3333333</v>
      </c>
      <c r="T139" s="6" t="n">
        <f aca="false">(Q139-M139)*R139*24/12.1/1000</f>
        <v>-0</v>
      </c>
    </row>
    <row r="140" customFormat="false" ht="14.35" hidden="false" customHeight="false" outlineLevel="0" collapsed="false">
      <c r="A140" s="4" t="n">
        <v>11993</v>
      </c>
      <c r="B140" s="15" t="n">
        <f aca="false">IF(C140&lt;=9,YEAR(A140),YEAR(A140)+1)</f>
        <v>1933</v>
      </c>
      <c r="C140" s="15" t="n">
        <f aca="false">MONTH(A140)</f>
        <v>10</v>
      </c>
      <c r="D140" s="15" t="n">
        <f aca="false">DAY(A140)</f>
        <v>31</v>
      </c>
      <c r="E140" s="15" t="n">
        <f aca="false">VLOOKUP(B140,WYT!$A$2:$L$97,12)</f>
        <v>0</v>
      </c>
      <c r="F140" s="15" t="n">
        <f aca="false">IF(C140=$W$5,1,0)</f>
        <v>0</v>
      </c>
      <c r="G140" s="15" t="n">
        <f aca="false">IF(C140=10,0,IF(F140=1,1,G139))</f>
        <v>0</v>
      </c>
      <c r="H140" s="5" t="n">
        <f aca="false">VA_base_426_data!B140</f>
        <v>900.000000000007</v>
      </c>
      <c r="I140" s="5" t="n">
        <f aca="false">IF(AND(E140=1,OR(C140=4,C140=5)),25*12.1/24/D140*1000,0)</f>
        <v>0</v>
      </c>
      <c r="J140" s="5" t="n">
        <f aca="false">VA_base_426_data!C140</f>
        <v>900</v>
      </c>
      <c r="K140" s="5" t="n">
        <f aca="false">H140+I140-J140</f>
        <v>7.38964445190504E-012</v>
      </c>
      <c r="L140" s="5" t="n">
        <f aca="false">MIN($W$7,J140+K140)</f>
        <v>900.000000000007</v>
      </c>
      <c r="M140" s="5" t="n">
        <f aca="false">VA_base_426_data!D140</f>
        <v>800</v>
      </c>
      <c r="N140" s="5" t="n">
        <f aca="false">IF(AND(C140=10,E140=1),$W$6,N139-P139)</f>
        <v>0</v>
      </c>
      <c r="O140" s="5" t="n">
        <f aca="false">IF(ABS(M140-L140)&gt;1,MIN(N140/((L140-M140)*24/12.1/1000),D140),D140)</f>
        <v>0</v>
      </c>
      <c r="P140" s="5" t="n">
        <f aca="false">MIN(IF(AND(G140,E140),(L140-M140)*24/12.1*O140/1000,0),N140)</f>
        <v>0</v>
      </c>
      <c r="Q140" s="5" t="n">
        <f aca="false">IF(P140&gt;0,P140/O140*12.1/24*1000+M140,0)</f>
        <v>0</v>
      </c>
      <c r="R140" s="0" t="n">
        <f aca="false">IF(Q140&gt;0,TRUNC(O140),0)</f>
        <v>0</v>
      </c>
      <c r="S140" s="5" t="n">
        <f aca="false">(M140*(D140-R140)+(Q140*R140))/D140</f>
        <v>800</v>
      </c>
      <c r="T140" s="6" t="n">
        <f aca="false">(Q140-M140)*R140*24/12.1/1000</f>
        <v>-0</v>
      </c>
    </row>
    <row r="141" customFormat="false" ht="14.35" hidden="false" customHeight="false" outlineLevel="0" collapsed="false">
      <c r="A141" s="4" t="n">
        <v>12023</v>
      </c>
      <c r="B141" s="15" t="n">
        <f aca="false">IF(C141&lt;=9,YEAR(A141),YEAR(A141)+1)</f>
        <v>1933</v>
      </c>
      <c r="C141" s="15" t="n">
        <f aca="false">MONTH(A141)</f>
        <v>11</v>
      </c>
      <c r="D141" s="15" t="n">
        <f aca="false">DAY(A141)</f>
        <v>30</v>
      </c>
      <c r="E141" s="15" t="n">
        <f aca="false">VLOOKUP(B141,WYT!$A$2:$L$97,12)</f>
        <v>0</v>
      </c>
      <c r="F141" s="15" t="n">
        <f aca="false">IF(C141=$W$5,1,0)</f>
        <v>0</v>
      </c>
      <c r="G141" s="15" t="n">
        <f aca="false">IF(C141=10,0,IF(F141=1,1,G140))</f>
        <v>0</v>
      </c>
      <c r="H141" s="5" t="n">
        <f aca="false">VA_base_426_data!B141</f>
        <v>1178.1961819729</v>
      </c>
      <c r="I141" s="5" t="n">
        <f aca="false">IF(AND(E141=1,OR(C141=4,C141=5)),25*12.1/24/D141*1000,0)</f>
        <v>0</v>
      </c>
      <c r="J141" s="5" t="n">
        <f aca="false">VA_base_426_data!C141</f>
        <v>900</v>
      </c>
      <c r="K141" s="5" t="n">
        <f aca="false">H141+I141-J141</f>
        <v>278.196181972903</v>
      </c>
      <c r="L141" s="5" t="n">
        <f aca="false">MIN($W$7,J141+K141)</f>
        <v>1178.1961819729</v>
      </c>
      <c r="M141" s="5" t="n">
        <f aca="false">VA_base_426_data!D141</f>
        <v>800</v>
      </c>
      <c r="N141" s="5" t="n">
        <f aca="false">IF(AND(C141=10,E141=1),$W$6,N140-P140)</f>
        <v>0</v>
      </c>
      <c r="O141" s="5" t="n">
        <f aca="false">IF(ABS(M141-L141)&gt;1,MIN(N141/((L141-M141)*24/12.1/1000),D141),D141)</f>
        <v>0</v>
      </c>
      <c r="P141" s="5" t="n">
        <f aca="false">MIN(IF(AND(G141,E141),(L141-M141)*24/12.1*O141/1000,0),N141)</f>
        <v>0</v>
      </c>
      <c r="Q141" s="5" t="n">
        <f aca="false">IF(P141&gt;0,P141/O141*12.1/24*1000+M141,0)</f>
        <v>0</v>
      </c>
      <c r="R141" s="0" t="n">
        <f aca="false">IF(Q141&gt;0,TRUNC(O141),0)</f>
        <v>0</v>
      </c>
      <c r="S141" s="5" t="n">
        <f aca="false">(M141*(D141-R141)+(Q141*R141))/D141</f>
        <v>800</v>
      </c>
      <c r="T141" s="6" t="n">
        <f aca="false">(Q141-M141)*R141*24/12.1/1000</f>
        <v>-0</v>
      </c>
    </row>
    <row r="142" customFormat="false" ht="14.35" hidden="false" customHeight="false" outlineLevel="0" collapsed="false">
      <c r="A142" s="4" t="n">
        <v>12054</v>
      </c>
      <c r="B142" s="15" t="n">
        <f aca="false">IF(C142&lt;=9,YEAR(A142),YEAR(A142)+1)</f>
        <v>1933</v>
      </c>
      <c r="C142" s="15" t="n">
        <f aca="false">MONTH(A142)</f>
        <v>12</v>
      </c>
      <c r="D142" s="15" t="n">
        <f aca="false">DAY(A142)</f>
        <v>31</v>
      </c>
      <c r="E142" s="15" t="n">
        <f aca="false">VLOOKUP(B142,WYT!$A$2:$L$97,12)</f>
        <v>0</v>
      </c>
      <c r="F142" s="15" t="n">
        <f aca="false">IF(C142=$W$5,1,0)</f>
        <v>0</v>
      </c>
      <c r="G142" s="15" t="n">
        <f aca="false">IF(C142=10,0,IF(F142=1,1,G141))</f>
        <v>0</v>
      </c>
      <c r="H142" s="5" t="n">
        <f aca="false">VA_base_426_data!B142</f>
        <v>900</v>
      </c>
      <c r="I142" s="5" t="n">
        <f aca="false">IF(AND(E142=1,OR(C142=4,C142=5)),25*12.1/24/D142*1000,0)</f>
        <v>0</v>
      </c>
      <c r="J142" s="5" t="n">
        <f aca="false">VA_base_426_data!C142</f>
        <v>900</v>
      </c>
      <c r="K142" s="5" t="n">
        <f aca="false">H142+I142-J142</f>
        <v>0</v>
      </c>
      <c r="L142" s="5" t="n">
        <f aca="false">MIN($W$7,J142+K142)</f>
        <v>900</v>
      </c>
      <c r="M142" s="5" t="n">
        <f aca="false">VA_base_426_data!D142</f>
        <v>800</v>
      </c>
      <c r="N142" s="5" t="n">
        <f aca="false">IF(AND(C142=10,E142=1),$W$6,N141-P141)</f>
        <v>0</v>
      </c>
      <c r="O142" s="5" t="n">
        <f aca="false">IF(ABS(M142-L142)&gt;1,MIN(N142/((L142-M142)*24/12.1/1000),D142),D142)</f>
        <v>0</v>
      </c>
      <c r="P142" s="5" t="n">
        <f aca="false">MIN(IF(AND(G142,E142),(L142-M142)*24/12.1*O142/1000,0),N142)</f>
        <v>0</v>
      </c>
      <c r="Q142" s="5" t="n">
        <f aca="false">IF(P142&gt;0,P142/O142*12.1/24*1000+M142,0)</f>
        <v>0</v>
      </c>
      <c r="R142" s="0" t="n">
        <f aca="false">IF(Q142&gt;0,TRUNC(O142),0)</f>
        <v>0</v>
      </c>
      <c r="S142" s="5" t="n">
        <f aca="false">(M142*(D142-R142)+(Q142*R142))/D142</f>
        <v>800</v>
      </c>
      <c r="T142" s="6" t="n">
        <f aca="false">(Q142-M142)*R142*24/12.1/1000</f>
        <v>-0</v>
      </c>
    </row>
    <row r="143" customFormat="false" ht="14.35" hidden="false" customHeight="false" outlineLevel="0" collapsed="false">
      <c r="A143" s="4" t="n">
        <v>12085</v>
      </c>
      <c r="B143" s="15" t="n">
        <f aca="false">IF(C143&lt;=9,YEAR(A143),YEAR(A143)+1)</f>
        <v>1933</v>
      </c>
      <c r="C143" s="15" t="n">
        <f aca="false">MONTH(A143)</f>
        <v>1</v>
      </c>
      <c r="D143" s="15" t="n">
        <f aca="false">DAY(A143)</f>
        <v>31</v>
      </c>
      <c r="E143" s="15" t="n">
        <f aca="false">VLOOKUP(B143,WYT!$A$2:$L$97,12)</f>
        <v>0</v>
      </c>
      <c r="F143" s="15" t="n">
        <f aca="false">IF(C143=$W$5,1,0)</f>
        <v>0</v>
      </c>
      <c r="G143" s="15" t="n">
        <f aca="false">IF(C143=10,0,IF(F143=1,1,G142))</f>
        <v>0</v>
      </c>
      <c r="H143" s="5" t="n">
        <f aca="false">VA_base_426_data!B143</f>
        <v>900</v>
      </c>
      <c r="I143" s="5" t="n">
        <f aca="false">IF(AND(E143=1,OR(C143=4,C143=5)),25*12.1/24/D143*1000,0)</f>
        <v>0</v>
      </c>
      <c r="J143" s="5" t="n">
        <f aca="false">VA_base_426_data!C143</f>
        <v>900</v>
      </c>
      <c r="K143" s="5" t="n">
        <f aca="false">H143+I143-J143</f>
        <v>0</v>
      </c>
      <c r="L143" s="5" t="n">
        <f aca="false">MIN($W$7,J143+K143)</f>
        <v>900</v>
      </c>
      <c r="M143" s="5" t="n">
        <f aca="false">VA_base_426_data!D143</f>
        <v>800</v>
      </c>
      <c r="N143" s="5" t="n">
        <f aca="false">IF(AND(C143=10,E143=1),$W$6,N142-P142)</f>
        <v>0</v>
      </c>
      <c r="O143" s="5" t="n">
        <f aca="false">IF(ABS(M143-L143)&gt;1,MIN(N143/((L143-M143)*24/12.1/1000),D143),D143)</f>
        <v>0</v>
      </c>
      <c r="P143" s="5" t="n">
        <f aca="false">MIN(IF(AND(G143,E143),(L143-M143)*24/12.1*O143/1000,0),N143)</f>
        <v>0</v>
      </c>
      <c r="Q143" s="5" t="n">
        <f aca="false">IF(P143&gt;0,P143/O143*12.1/24*1000+M143,0)</f>
        <v>0</v>
      </c>
      <c r="R143" s="0" t="n">
        <f aca="false">IF(Q143&gt;0,TRUNC(O143),0)</f>
        <v>0</v>
      </c>
      <c r="S143" s="5" t="n">
        <f aca="false">(M143*(D143-R143)+(Q143*R143))/D143</f>
        <v>800</v>
      </c>
      <c r="T143" s="6" t="n">
        <f aca="false">(Q143-M143)*R143*24/12.1/1000</f>
        <v>-0</v>
      </c>
    </row>
    <row r="144" customFormat="false" ht="14.35" hidden="false" customHeight="false" outlineLevel="0" collapsed="false">
      <c r="A144" s="4" t="n">
        <v>12113</v>
      </c>
      <c r="B144" s="15" t="n">
        <f aca="false">IF(C144&lt;=9,YEAR(A144),YEAR(A144)+1)</f>
        <v>1933</v>
      </c>
      <c r="C144" s="15" t="n">
        <f aca="false">MONTH(A144)</f>
        <v>2</v>
      </c>
      <c r="D144" s="15" t="n">
        <f aca="false">DAY(A144)</f>
        <v>28</v>
      </c>
      <c r="E144" s="15" t="n">
        <f aca="false">VLOOKUP(B144,WYT!$A$2:$L$97,12)</f>
        <v>0</v>
      </c>
      <c r="F144" s="15" t="n">
        <f aca="false">IF(C144=$W$5,1,0)</f>
        <v>1</v>
      </c>
      <c r="G144" s="15" t="n">
        <f aca="false">IF(C144=10,0,IF(F144=1,1,G143))</f>
        <v>1</v>
      </c>
      <c r="H144" s="5" t="n">
        <f aca="false">VA_base_426_data!B144</f>
        <v>900</v>
      </c>
      <c r="I144" s="5" t="n">
        <f aca="false">IF(AND(E144=1,OR(C144=4,C144=5)),25*12.1/24/D144*1000,0)</f>
        <v>0</v>
      </c>
      <c r="J144" s="5" t="n">
        <f aca="false">VA_base_426_data!C144</f>
        <v>900</v>
      </c>
      <c r="K144" s="5" t="n">
        <f aca="false">H144+I144-J144</f>
        <v>0</v>
      </c>
      <c r="L144" s="5" t="n">
        <f aca="false">MIN($W$7,J144+K144)</f>
        <v>900</v>
      </c>
      <c r="M144" s="5" t="n">
        <f aca="false">VA_base_426_data!D144</f>
        <v>800</v>
      </c>
      <c r="N144" s="5" t="n">
        <f aca="false">IF(AND(C144=10,E144=1),$W$6,N143-P143)</f>
        <v>0</v>
      </c>
      <c r="O144" s="5" t="n">
        <f aca="false">IF(ABS(M144-L144)&gt;1,MIN(N144/((L144-M144)*24/12.1/1000),D144),D144)</f>
        <v>0</v>
      </c>
      <c r="P144" s="5" t="n">
        <f aca="false">MIN(IF(AND(G144,E144),(L144-M144)*24/12.1*O144/1000,0),N144)</f>
        <v>0</v>
      </c>
      <c r="Q144" s="5" t="n">
        <f aca="false">IF(P144&gt;0,P144/O144*12.1/24*1000+M144,0)</f>
        <v>0</v>
      </c>
      <c r="R144" s="0" t="n">
        <f aca="false">IF(Q144&gt;0,TRUNC(O144),0)</f>
        <v>0</v>
      </c>
      <c r="S144" s="5" t="n">
        <f aca="false">(M144*(D144-R144)+(Q144*R144))/D144</f>
        <v>800</v>
      </c>
      <c r="T144" s="6" t="n">
        <f aca="false">(Q144-M144)*R144*24/12.1/1000</f>
        <v>-0</v>
      </c>
    </row>
    <row r="145" customFormat="false" ht="14.35" hidden="false" customHeight="false" outlineLevel="0" collapsed="false">
      <c r="A145" s="4" t="n">
        <v>12144</v>
      </c>
      <c r="B145" s="15" t="n">
        <f aca="false">IF(C145&lt;=9,YEAR(A145),YEAR(A145)+1)</f>
        <v>1933</v>
      </c>
      <c r="C145" s="15" t="n">
        <f aca="false">MONTH(A145)</f>
        <v>3</v>
      </c>
      <c r="D145" s="15" t="n">
        <f aca="false">DAY(A145)</f>
        <v>31</v>
      </c>
      <c r="E145" s="15" t="n">
        <f aca="false">VLOOKUP(B145,WYT!$A$2:$L$97,12)</f>
        <v>0</v>
      </c>
      <c r="F145" s="15" t="n">
        <f aca="false">IF(C145=$W$5,1,0)</f>
        <v>0</v>
      </c>
      <c r="G145" s="15" t="n">
        <f aca="false">IF(C145=10,0,IF(F145=1,1,G144))</f>
        <v>1</v>
      </c>
      <c r="H145" s="5" t="n">
        <f aca="false">VA_base_426_data!B145</f>
        <v>4809.19732033547</v>
      </c>
      <c r="I145" s="5" t="n">
        <f aca="false">IF(AND(E145=1,OR(C145=4,C145=5)),25*12.1/24/D145*1000,0)</f>
        <v>0</v>
      </c>
      <c r="J145" s="5" t="n">
        <f aca="false">VA_base_426_data!C145</f>
        <v>750</v>
      </c>
      <c r="K145" s="5" t="n">
        <f aca="false">H145+I145-J145</f>
        <v>4059.19732033547</v>
      </c>
      <c r="L145" s="5" t="n">
        <f aca="false">MIN($W$7,J145+K145)</f>
        <v>2000</v>
      </c>
      <c r="M145" s="5" t="n">
        <f aca="false">VA_base_426_data!D145</f>
        <v>800</v>
      </c>
      <c r="N145" s="5" t="n">
        <f aca="false">IF(AND(C145=10,E145=1),$W$6,N144-P144)</f>
        <v>0</v>
      </c>
      <c r="O145" s="5" t="n">
        <f aca="false">IF(ABS(M145-L145)&gt;1,MIN(N145/((L145-M145)*24/12.1/1000),D145),D145)</f>
        <v>0</v>
      </c>
      <c r="P145" s="5" t="n">
        <f aca="false">MIN(IF(AND(G145,E145),(L145-M145)*24/12.1*O145/1000,0),N145)</f>
        <v>0</v>
      </c>
      <c r="Q145" s="5" t="n">
        <f aca="false">IF(P145&gt;0,P145/O145*12.1/24*1000+M145,0)</f>
        <v>0</v>
      </c>
      <c r="R145" s="0" t="n">
        <f aca="false">IF(Q145&gt;0,TRUNC(O145),0)</f>
        <v>0</v>
      </c>
      <c r="S145" s="5" t="n">
        <f aca="false">(M145*(D145-R145)+(Q145*R145))/D145</f>
        <v>800</v>
      </c>
      <c r="T145" s="6" t="n">
        <f aca="false">(Q145-M145)*R145*24/12.1/1000</f>
        <v>-0</v>
      </c>
    </row>
    <row r="146" customFormat="false" ht="14.35" hidden="false" customHeight="false" outlineLevel="0" collapsed="false">
      <c r="A146" s="4" t="n">
        <v>12174</v>
      </c>
      <c r="B146" s="15" t="n">
        <f aca="false">IF(C146&lt;=9,YEAR(A146),YEAR(A146)+1)</f>
        <v>1933</v>
      </c>
      <c r="C146" s="15" t="n">
        <f aca="false">MONTH(A146)</f>
        <v>4</v>
      </c>
      <c r="D146" s="15" t="n">
        <f aca="false">DAY(A146)</f>
        <v>30</v>
      </c>
      <c r="E146" s="15" t="n">
        <f aca="false">VLOOKUP(B146,WYT!$A$2:$L$97,12)</f>
        <v>0</v>
      </c>
      <c r="F146" s="15" t="n">
        <f aca="false">IF(C146=$W$5,1,0)</f>
        <v>0</v>
      </c>
      <c r="G146" s="15" t="n">
        <f aca="false">IF(C146=10,0,IF(F146=1,1,G145))</f>
        <v>1</v>
      </c>
      <c r="H146" s="5" t="n">
        <f aca="false">VA_base_426_data!B146</f>
        <v>750</v>
      </c>
      <c r="I146" s="5" t="n">
        <f aca="false">IF(AND(E146=1,OR(C146=4,C146=5)),25*12.1/24/D146*1000,0)</f>
        <v>0</v>
      </c>
      <c r="J146" s="5" t="n">
        <f aca="false">VA_base_426_data!C146</f>
        <v>750</v>
      </c>
      <c r="K146" s="5" t="n">
        <f aca="false">H146+I146-J146</f>
        <v>0</v>
      </c>
      <c r="L146" s="5" t="n">
        <f aca="false">MIN($W$7,J146+K146)</f>
        <v>750</v>
      </c>
      <c r="M146" s="5" t="n">
        <f aca="false">VA_base_426_data!D146</f>
        <v>700</v>
      </c>
      <c r="N146" s="5" t="n">
        <f aca="false">IF(AND(C146=10,E146=1),$W$6,N145-P145)</f>
        <v>0</v>
      </c>
      <c r="O146" s="5" t="n">
        <f aca="false">IF(ABS(M146-L146)&gt;1,MIN(N146/((L146-M146)*24/12.1/1000),D146),D146)</f>
        <v>0</v>
      </c>
      <c r="P146" s="5" t="n">
        <f aca="false">MIN(IF(AND(G146,E146),(L146-M146)*24/12.1*O146/1000,0),N146)</f>
        <v>0</v>
      </c>
      <c r="Q146" s="5" t="n">
        <f aca="false">IF(P146&gt;0,P146/O146*12.1/24*1000+M146,0)</f>
        <v>0</v>
      </c>
      <c r="R146" s="0" t="n">
        <f aca="false">IF(Q146&gt;0,TRUNC(O146),0)</f>
        <v>0</v>
      </c>
      <c r="S146" s="5" t="n">
        <f aca="false">(M146*(D146-R146)+(Q146*R146))/D146</f>
        <v>700</v>
      </c>
      <c r="T146" s="6" t="n">
        <f aca="false">(Q146-M146)*R146*24/12.1/1000</f>
        <v>-0</v>
      </c>
    </row>
    <row r="147" customFormat="false" ht="14.35" hidden="false" customHeight="false" outlineLevel="0" collapsed="false">
      <c r="A147" s="4" t="n">
        <v>12205</v>
      </c>
      <c r="B147" s="15" t="n">
        <f aca="false">IF(C147&lt;=9,YEAR(A147),YEAR(A147)+1)</f>
        <v>1933</v>
      </c>
      <c r="C147" s="15" t="n">
        <f aca="false">MONTH(A147)</f>
        <v>5</v>
      </c>
      <c r="D147" s="15" t="n">
        <f aca="false">DAY(A147)</f>
        <v>31</v>
      </c>
      <c r="E147" s="15" t="n">
        <f aca="false">VLOOKUP(B147,WYT!$A$2:$L$97,12)</f>
        <v>0</v>
      </c>
      <c r="F147" s="15" t="n">
        <f aca="false">IF(C147=$W$5,1,0)</f>
        <v>0</v>
      </c>
      <c r="G147" s="15" t="n">
        <f aca="false">IF(C147=10,0,IF(F147=1,1,G146))</f>
        <v>1</v>
      </c>
      <c r="H147" s="5" t="n">
        <f aca="false">VA_base_426_data!B147</f>
        <v>2295.50121837601</v>
      </c>
      <c r="I147" s="5" t="n">
        <f aca="false">IF(AND(E147=1,OR(C147=4,C147=5)),25*12.1/24/D147*1000,0)</f>
        <v>0</v>
      </c>
      <c r="J147" s="5" t="n">
        <f aca="false">VA_base_426_data!C147</f>
        <v>750</v>
      </c>
      <c r="K147" s="5" t="n">
        <f aca="false">H147+I147-J147</f>
        <v>1545.50121837601</v>
      </c>
      <c r="L147" s="5" t="n">
        <f aca="false">MIN($W$7,J147+K147)</f>
        <v>2000</v>
      </c>
      <c r="M147" s="5" t="n">
        <f aca="false">VA_base_426_data!D147</f>
        <v>700</v>
      </c>
      <c r="N147" s="5" t="n">
        <f aca="false">IF(AND(C147=10,E147=1),$W$6,N146-P146)</f>
        <v>0</v>
      </c>
      <c r="O147" s="5" t="n">
        <f aca="false">IF(ABS(M147-L147)&gt;1,MIN(N147/((L147-M147)*24/12.1/1000),D147),D147)</f>
        <v>0</v>
      </c>
      <c r="P147" s="5" t="n">
        <f aca="false">MIN(IF(AND(G147,E147),(L147-M147)*24/12.1*O147/1000,0),N147)</f>
        <v>0</v>
      </c>
      <c r="Q147" s="5" t="n">
        <f aca="false">IF(P147&gt;0,P147/O147*12.1/24*1000+M147,0)</f>
        <v>0</v>
      </c>
      <c r="R147" s="0" t="n">
        <f aca="false">IF(Q147&gt;0,TRUNC(O147),0)</f>
        <v>0</v>
      </c>
      <c r="S147" s="5" t="n">
        <f aca="false">(M147*(D147-R147)+(Q147*R147))/D147</f>
        <v>700</v>
      </c>
      <c r="T147" s="6" t="n">
        <f aca="false">(Q147-M147)*R147*24/12.1/1000</f>
        <v>-0</v>
      </c>
    </row>
    <row r="148" customFormat="false" ht="14.35" hidden="false" customHeight="false" outlineLevel="0" collapsed="false">
      <c r="A148" s="4" t="n">
        <v>12235</v>
      </c>
      <c r="B148" s="15" t="n">
        <f aca="false">IF(C148&lt;=9,YEAR(A148),YEAR(A148)+1)</f>
        <v>1933</v>
      </c>
      <c r="C148" s="15" t="n">
        <f aca="false">MONTH(A148)</f>
        <v>6</v>
      </c>
      <c r="D148" s="15" t="n">
        <f aca="false">DAY(A148)</f>
        <v>30</v>
      </c>
      <c r="E148" s="15" t="n">
        <f aca="false">VLOOKUP(B148,WYT!$A$2:$L$97,12)</f>
        <v>0</v>
      </c>
      <c r="F148" s="15" t="n">
        <f aca="false">IF(C148=$W$5,1,0)</f>
        <v>0</v>
      </c>
      <c r="G148" s="15" t="n">
        <f aca="false">IF(C148=10,0,IF(F148=1,1,G147))</f>
        <v>1</v>
      </c>
      <c r="H148" s="5" t="n">
        <f aca="false">VA_base_426_data!B148</f>
        <v>2715.53249281935</v>
      </c>
      <c r="I148" s="5" t="n">
        <f aca="false">IF(AND(E148=1,OR(C148=4,C148=5)),25*12.1/24/D148*1000,0)</f>
        <v>0</v>
      </c>
      <c r="J148" s="5" t="n">
        <f aca="false">VA_base_426_data!C148</f>
        <v>750</v>
      </c>
      <c r="K148" s="5" t="n">
        <f aca="false">H148+I148-J148</f>
        <v>1965.53249281935</v>
      </c>
      <c r="L148" s="5" t="n">
        <f aca="false">MIN($W$7,J148+K148)</f>
        <v>2000</v>
      </c>
      <c r="M148" s="5" t="n">
        <f aca="false">VA_base_426_data!D148</f>
        <v>700</v>
      </c>
      <c r="N148" s="5" t="n">
        <f aca="false">IF(AND(C148=10,E148=1),$W$6,N147-P147)</f>
        <v>0</v>
      </c>
      <c r="O148" s="5" t="n">
        <f aca="false">IF(ABS(M148-L148)&gt;1,MIN(N148/((L148-M148)*24/12.1/1000),D148),D148)</f>
        <v>0</v>
      </c>
      <c r="P148" s="5" t="n">
        <f aca="false">MIN(IF(AND(G148,E148),(L148-M148)*24/12.1*O148/1000,0),N148)</f>
        <v>0</v>
      </c>
      <c r="Q148" s="5" t="n">
        <f aca="false">IF(P148&gt;0,P148/O148*12.1/24*1000+M148,0)</f>
        <v>0</v>
      </c>
      <c r="R148" s="0" t="n">
        <f aca="false">IF(Q148&gt;0,TRUNC(O148),0)</f>
        <v>0</v>
      </c>
      <c r="S148" s="5" t="n">
        <f aca="false">(M148*(D148-R148)+(Q148*R148))/D148</f>
        <v>700</v>
      </c>
      <c r="T148" s="6" t="n">
        <f aca="false">(Q148-M148)*R148*24/12.1/1000</f>
        <v>-0</v>
      </c>
    </row>
    <row r="149" customFormat="false" ht="14.35" hidden="false" customHeight="false" outlineLevel="0" collapsed="false">
      <c r="A149" s="4" t="n">
        <v>12266</v>
      </c>
      <c r="B149" s="15" t="n">
        <f aca="false">IF(C149&lt;=9,YEAR(A149),YEAR(A149)+1)</f>
        <v>1933</v>
      </c>
      <c r="C149" s="15" t="n">
        <f aca="false">MONTH(A149)</f>
        <v>7</v>
      </c>
      <c r="D149" s="15" t="n">
        <f aca="false">DAY(A149)</f>
        <v>31</v>
      </c>
      <c r="E149" s="15" t="n">
        <f aca="false">VLOOKUP(B149,WYT!$A$2:$L$97,12)</f>
        <v>0</v>
      </c>
      <c r="F149" s="15" t="n">
        <f aca="false">IF(C149=$W$5,1,0)</f>
        <v>0</v>
      </c>
      <c r="G149" s="15" t="n">
        <f aca="false">IF(C149=10,0,IF(F149=1,1,G148))</f>
        <v>1</v>
      </c>
      <c r="H149" s="5" t="n">
        <f aca="false">VA_base_426_data!B149</f>
        <v>3109.30517367239</v>
      </c>
      <c r="I149" s="5" t="n">
        <f aca="false">IF(AND(E149=1,OR(C149=4,C149=5)),25*12.1/24/D149*1000,0)</f>
        <v>0</v>
      </c>
      <c r="J149" s="5" t="n">
        <f aca="false">VA_base_426_data!C149</f>
        <v>750</v>
      </c>
      <c r="K149" s="5" t="n">
        <f aca="false">H149+I149-J149</f>
        <v>2359.30517367239</v>
      </c>
      <c r="L149" s="5" t="n">
        <f aca="false">MIN($W$7,J149+K149)</f>
        <v>2000</v>
      </c>
      <c r="M149" s="5" t="n">
        <f aca="false">VA_base_426_data!D149</f>
        <v>700</v>
      </c>
      <c r="N149" s="5" t="n">
        <f aca="false">IF(AND(C149=10,E149=1),$W$6,N148-P148)</f>
        <v>0</v>
      </c>
      <c r="O149" s="5" t="n">
        <f aca="false">IF(ABS(M149-L149)&gt;1,MIN(N149/((L149-M149)*24/12.1/1000),D149),D149)</f>
        <v>0</v>
      </c>
      <c r="P149" s="5" t="n">
        <f aca="false">MIN(IF(AND(G149,E149),(L149-M149)*24/12.1*O149/1000,0),N149)</f>
        <v>0</v>
      </c>
      <c r="Q149" s="5" t="n">
        <f aca="false">IF(P149&gt;0,P149/O149*12.1/24*1000+M149,0)</f>
        <v>0</v>
      </c>
      <c r="R149" s="0" t="n">
        <f aca="false">IF(Q149&gt;0,TRUNC(O149),0)</f>
        <v>0</v>
      </c>
      <c r="S149" s="5" t="n">
        <f aca="false">(M149*(D149-R149)+(Q149*R149))/D149</f>
        <v>700</v>
      </c>
      <c r="T149" s="6" t="n">
        <f aca="false">(Q149-M149)*R149*24/12.1/1000</f>
        <v>-0</v>
      </c>
    </row>
    <row r="150" customFormat="false" ht="14.35" hidden="false" customHeight="false" outlineLevel="0" collapsed="false">
      <c r="A150" s="4" t="n">
        <v>12297</v>
      </c>
      <c r="B150" s="15" t="n">
        <f aca="false">IF(C150&lt;=9,YEAR(A150),YEAR(A150)+1)</f>
        <v>1933</v>
      </c>
      <c r="C150" s="15" t="n">
        <f aca="false">MONTH(A150)</f>
        <v>8</v>
      </c>
      <c r="D150" s="15" t="n">
        <f aca="false">DAY(A150)</f>
        <v>31</v>
      </c>
      <c r="E150" s="15" t="n">
        <f aca="false">VLOOKUP(B150,WYT!$A$2:$L$97,12)</f>
        <v>0</v>
      </c>
      <c r="F150" s="15" t="n">
        <f aca="false">IF(C150=$W$5,1,0)</f>
        <v>0</v>
      </c>
      <c r="G150" s="15" t="n">
        <f aca="false">IF(C150=10,0,IF(F150=1,1,G149))</f>
        <v>1</v>
      </c>
      <c r="H150" s="5" t="n">
        <f aca="false">VA_base_426_data!B150</f>
        <v>1971.23607310444</v>
      </c>
      <c r="I150" s="5" t="n">
        <f aca="false">IF(AND(E150=1,OR(C150=4,C150=5)),25*12.1/24/D150*1000,0)</f>
        <v>0</v>
      </c>
      <c r="J150" s="5" t="n">
        <f aca="false">VA_base_426_data!C150</f>
        <v>750</v>
      </c>
      <c r="K150" s="5" t="n">
        <f aca="false">H150+I150-J150</f>
        <v>1221.23607310444</v>
      </c>
      <c r="L150" s="5" t="n">
        <f aca="false">MIN($W$7,J150+K150)</f>
        <v>1971.23607310444</v>
      </c>
      <c r="M150" s="5" t="n">
        <f aca="false">VA_base_426_data!D150</f>
        <v>700</v>
      </c>
      <c r="N150" s="5" t="n">
        <f aca="false">IF(AND(C150=10,E150=1),$W$6,N149-P149)</f>
        <v>0</v>
      </c>
      <c r="O150" s="5" t="n">
        <f aca="false">IF(ABS(M150-L150)&gt;1,MIN(N150/((L150-M150)*24/12.1/1000),D150),D150)</f>
        <v>0</v>
      </c>
      <c r="P150" s="5" t="n">
        <f aca="false">MIN(IF(AND(G150,E150),(L150-M150)*24/12.1*O150/1000,0),N150)</f>
        <v>0</v>
      </c>
      <c r="Q150" s="5" t="n">
        <f aca="false">IF(P150&gt;0,P150/O150*12.1/24*1000+M150,0)</f>
        <v>0</v>
      </c>
      <c r="R150" s="0" t="n">
        <f aca="false">IF(Q150&gt;0,TRUNC(O150),0)</f>
        <v>0</v>
      </c>
      <c r="S150" s="5" t="n">
        <f aca="false">(M150*(D150-R150)+(Q150*R150))/D150</f>
        <v>700</v>
      </c>
      <c r="T150" s="6" t="n">
        <f aca="false">(Q150-M150)*R150*24/12.1/1000</f>
        <v>-0</v>
      </c>
    </row>
    <row r="151" customFormat="false" ht="14.35" hidden="false" customHeight="false" outlineLevel="0" collapsed="false">
      <c r="A151" s="4" t="n">
        <v>12327</v>
      </c>
      <c r="B151" s="15" t="n">
        <f aca="false">IF(C151&lt;=9,YEAR(A151),YEAR(A151)+1)</f>
        <v>1933</v>
      </c>
      <c r="C151" s="15" t="n">
        <f aca="false">MONTH(A151)</f>
        <v>9</v>
      </c>
      <c r="D151" s="15" t="n">
        <f aca="false">DAY(A151)</f>
        <v>30</v>
      </c>
      <c r="E151" s="15" t="n">
        <f aca="false">VLOOKUP(B151,WYT!$A$2:$L$97,12)</f>
        <v>0</v>
      </c>
      <c r="F151" s="15" t="n">
        <f aca="false">IF(C151=$W$5,1,0)</f>
        <v>0</v>
      </c>
      <c r="G151" s="15" t="n">
        <f aca="false">IF(C151=10,0,IF(F151=1,1,G150))</f>
        <v>1</v>
      </c>
      <c r="H151" s="5" t="n">
        <f aca="false">VA_base_426_data!B151</f>
        <v>773.434471169754</v>
      </c>
      <c r="I151" s="5" t="n">
        <f aca="false">IF(AND(E151=1,OR(C151=4,C151=5)),25*12.1/24/D151*1000,0)</f>
        <v>0</v>
      </c>
      <c r="J151" s="5" t="n">
        <f aca="false">VA_base_426_data!C151</f>
        <v>750</v>
      </c>
      <c r="K151" s="5" t="n">
        <f aca="false">H151+I151-J151</f>
        <v>23.4344711697541</v>
      </c>
      <c r="L151" s="5" t="n">
        <f aca="false">MIN($W$7,J151+K151)</f>
        <v>773.434471169754</v>
      </c>
      <c r="M151" s="5" t="n">
        <f aca="false">VA_base_426_data!D151</f>
        <v>773.3333333</v>
      </c>
      <c r="N151" s="5" t="n">
        <f aca="false">IF(AND(C151=10,E151=1),$W$6,N150-P150)</f>
        <v>0</v>
      </c>
      <c r="O151" s="5" t="n">
        <f aca="false">IF(ABS(M151-L151)&gt;1,MIN(N151/((L151-M151)*24/12.1/1000),D151),D151)</f>
        <v>30</v>
      </c>
      <c r="P151" s="5" t="n">
        <f aca="false">MIN(IF(AND(G151,E151),(L151-M151)*24/12.1*O151/1000,0),N151)</f>
        <v>0</v>
      </c>
      <c r="Q151" s="5" t="n">
        <f aca="false">IF(P151&gt;0,P151/O151*12.1/24*1000+M151,0)</f>
        <v>0</v>
      </c>
      <c r="R151" s="0" t="n">
        <f aca="false">IF(Q151&gt;0,TRUNC(O151),0)</f>
        <v>0</v>
      </c>
      <c r="S151" s="5" t="n">
        <f aca="false">(M151*(D151-R151)+(Q151*R151))/D151</f>
        <v>773.3333333</v>
      </c>
      <c r="T151" s="6" t="n">
        <f aca="false">(Q151-M151)*R151*24/12.1/1000</f>
        <v>-0</v>
      </c>
    </row>
    <row r="152" customFormat="false" ht="14.35" hidden="false" customHeight="false" outlineLevel="0" collapsed="false">
      <c r="A152" s="4" t="n">
        <v>12358</v>
      </c>
      <c r="B152" s="15" t="n">
        <f aca="false">IF(C152&lt;=9,YEAR(A152),YEAR(A152)+1)</f>
        <v>1934</v>
      </c>
      <c r="C152" s="15" t="n">
        <f aca="false">MONTH(A152)</f>
        <v>10</v>
      </c>
      <c r="D152" s="15" t="n">
        <f aca="false">DAY(A152)</f>
        <v>31</v>
      </c>
      <c r="E152" s="15" t="n">
        <f aca="false">VLOOKUP(B152,WYT!$A$2:$L$97,12)</f>
        <v>0</v>
      </c>
      <c r="F152" s="15" t="n">
        <f aca="false">IF(C152=$W$5,1,0)</f>
        <v>0</v>
      </c>
      <c r="G152" s="15" t="n">
        <f aca="false">IF(C152=10,0,IF(F152=1,1,G151))</f>
        <v>0</v>
      </c>
      <c r="H152" s="5" t="n">
        <f aca="false">VA_base_426_data!B152</f>
        <v>900</v>
      </c>
      <c r="I152" s="5" t="n">
        <f aca="false">IF(AND(E152=1,OR(C152=4,C152=5)),25*12.1/24/D152*1000,0)</f>
        <v>0</v>
      </c>
      <c r="J152" s="5" t="n">
        <f aca="false">VA_base_426_data!C152</f>
        <v>900</v>
      </c>
      <c r="K152" s="5" t="n">
        <f aca="false">H152+I152-J152</f>
        <v>0</v>
      </c>
      <c r="L152" s="5" t="n">
        <f aca="false">MIN($W$7,J152+K152)</f>
        <v>900</v>
      </c>
      <c r="M152" s="5" t="n">
        <f aca="false">VA_base_426_data!D152</f>
        <v>800</v>
      </c>
      <c r="N152" s="5" t="n">
        <f aca="false">IF(AND(C152=10,E152=1),$W$6,N151-P151)</f>
        <v>0</v>
      </c>
      <c r="O152" s="5" t="n">
        <f aca="false">IF(ABS(M152-L152)&gt;1,MIN(N152/((L152-M152)*24/12.1/1000),D152),D152)</f>
        <v>0</v>
      </c>
      <c r="P152" s="5" t="n">
        <f aca="false">MIN(IF(AND(G152,E152),(L152-M152)*24/12.1*O152/1000,0),N152)</f>
        <v>0</v>
      </c>
      <c r="Q152" s="5" t="n">
        <f aca="false">IF(P152&gt;0,P152/O152*12.1/24*1000+M152,0)</f>
        <v>0</v>
      </c>
      <c r="R152" s="0" t="n">
        <f aca="false">IF(Q152&gt;0,TRUNC(O152),0)</f>
        <v>0</v>
      </c>
      <c r="S152" s="5" t="n">
        <f aca="false">(M152*(D152-R152)+(Q152*R152))/D152</f>
        <v>800</v>
      </c>
      <c r="T152" s="6" t="n">
        <f aca="false">(Q152-M152)*R152*24/12.1/1000</f>
        <v>-0</v>
      </c>
    </row>
    <row r="153" customFormat="false" ht="14.35" hidden="false" customHeight="false" outlineLevel="0" collapsed="false">
      <c r="A153" s="4" t="n">
        <v>12388</v>
      </c>
      <c r="B153" s="15" t="n">
        <f aca="false">IF(C153&lt;=9,YEAR(A153),YEAR(A153)+1)</f>
        <v>1934</v>
      </c>
      <c r="C153" s="15" t="n">
        <f aca="false">MONTH(A153)</f>
        <v>11</v>
      </c>
      <c r="D153" s="15" t="n">
        <f aca="false">DAY(A153)</f>
        <v>30</v>
      </c>
      <c r="E153" s="15" t="n">
        <f aca="false">VLOOKUP(B153,WYT!$A$2:$L$97,12)</f>
        <v>0</v>
      </c>
      <c r="F153" s="15" t="n">
        <f aca="false">IF(C153=$W$5,1,0)</f>
        <v>0</v>
      </c>
      <c r="G153" s="15" t="n">
        <f aca="false">IF(C153=10,0,IF(F153=1,1,G152))</f>
        <v>0</v>
      </c>
      <c r="H153" s="5" t="n">
        <f aca="false">VA_base_426_data!B153</f>
        <v>900.000000000005</v>
      </c>
      <c r="I153" s="5" t="n">
        <f aca="false">IF(AND(E153=1,OR(C153=4,C153=5)),25*12.1/24/D153*1000,0)</f>
        <v>0</v>
      </c>
      <c r="J153" s="5" t="n">
        <f aca="false">VA_base_426_data!C153</f>
        <v>900</v>
      </c>
      <c r="K153" s="5" t="n">
        <f aca="false">H153+I153-J153</f>
        <v>4.66116034658626E-012</v>
      </c>
      <c r="L153" s="5" t="n">
        <f aca="false">MIN($W$7,J153+K153)</f>
        <v>900.000000000005</v>
      </c>
      <c r="M153" s="5" t="n">
        <f aca="false">VA_base_426_data!D153</f>
        <v>800</v>
      </c>
      <c r="N153" s="5" t="n">
        <f aca="false">IF(AND(C153=10,E153=1),$W$6,N152-P152)</f>
        <v>0</v>
      </c>
      <c r="O153" s="5" t="n">
        <f aca="false">IF(ABS(M153-L153)&gt;1,MIN(N153/((L153-M153)*24/12.1/1000),D153),D153)</f>
        <v>0</v>
      </c>
      <c r="P153" s="5" t="n">
        <f aca="false">MIN(IF(AND(G153,E153),(L153-M153)*24/12.1*O153/1000,0),N153)</f>
        <v>0</v>
      </c>
      <c r="Q153" s="5" t="n">
        <f aca="false">IF(P153&gt;0,P153/O153*12.1/24*1000+M153,0)</f>
        <v>0</v>
      </c>
      <c r="R153" s="0" t="n">
        <f aca="false">IF(Q153&gt;0,TRUNC(O153),0)</f>
        <v>0</v>
      </c>
      <c r="S153" s="5" t="n">
        <f aca="false">(M153*(D153-R153)+(Q153*R153))/D153</f>
        <v>800</v>
      </c>
      <c r="T153" s="6" t="n">
        <f aca="false">(Q153-M153)*R153*24/12.1/1000</f>
        <v>-0</v>
      </c>
    </row>
    <row r="154" customFormat="false" ht="14.35" hidden="false" customHeight="false" outlineLevel="0" collapsed="false">
      <c r="A154" s="4" t="n">
        <v>12419</v>
      </c>
      <c r="B154" s="15" t="n">
        <f aca="false">IF(C154&lt;=9,YEAR(A154),YEAR(A154)+1)</f>
        <v>1934</v>
      </c>
      <c r="C154" s="15" t="n">
        <f aca="false">MONTH(A154)</f>
        <v>12</v>
      </c>
      <c r="D154" s="15" t="n">
        <f aca="false">DAY(A154)</f>
        <v>31</v>
      </c>
      <c r="E154" s="15" t="n">
        <f aca="false">VLOOKUP(B154,WYT!$A$2:$L$97,12)</f>
        <v>0</v>
      </c>
      <c r="F154" s="15" t="n">
        <f aca="false">IF(C154=$W$5,1,0)</f>
        <v>0</v>
      </c>
      <c r="G154" s="15" t="n">
        <f aca="false">IF(C154=10,0,IF(F154=1,1,G153))</f>
        <v>0</v>
      </c>
      <c r="H154" s="5" t="n">
        <f aca="false">VA_base_426_data!B154</f>
        <v>2777.28446869846</v>
      </c>
      <c r="I154" s="5" t="n">
        <f aca="false">IF(AND(E154=1,OR(C154=4,C154=5)),25*12.1/24/D154*1000,0)</f>
        <v>0</v>
      </c>
      <c r="J154" s="5" t="n">
        <f aca="false">VA_base_426_data!C154</f>
        <v>900</v>
      </c>
      <c r="K154" s="5" t="n">
        <f aca="false">H154+I154-J154</f>
        <v>1877.28446869846</v>
      </c>
      <c r="L154" s="5" t="n">
        <f aca="false">MIN($W$7,J154+K154)</f>
        <v>2000</v>
      </c>
      <c r="M154" s="5" t="n">
        <f aca="false">VA_base_426_data!D154</f>
        <v>800</v>
      </c>
      <c r="N154" s="5" t="n">
        <f aca="false">IF(AND(C154=10,E154=1),$W$6,N153-P153)</f>
        <v>0</v>
      </c>
      <c r="O154" s="5" t="n">
        <f aca="false">IF(ABS(M154-L154)&gt;1,MIN(N154/((L154-M154)*24/12.1/1000),D154),D154)</f>
        <v>0</v>
      </c>
      <c r="P154" s="5" t="n">
        <f aca="false">MIN(IF(AND(G154,E154),(L154-M154)*24/12.1*O154/1000,0),N154)</f>
        <v>0</v>
      </c>
      <c r="Q154" s="5" t="n">
        <f aca="false">IF(P154&gt;0,P154/O154*12.1/24*1000+M154,0)</f>
        <v>0</v>
      </c>
      <c r="R154" s="0" t="n">
        <f aca="false">IF(Q154&gt;0,TRUNC(O154),0)</f>
        <v>0</v>
      </c>
      <c r="S154" s="5" t="n">
        <f aca="false">(M154*(D154-R154)+(Q154*R154))/D154</f>
        <v>800</v>
      </c>
      <c r="T154" s="6" t="n">
        <f aca="false">(Q154-M154)*R154*24/12.1/1000</f>
        <v>-0</v>
      </c>
    </row>
    <row r="155" customFormat="false" ht="14.35" hidden="false" customHeight="false" outlineLevel="0" collapsed="false">
      <c r="A155" s="4" t="n">
        <v>12450</v>
      </c>
      <c r="B155" s="15" t="n">
        <f aca="false">IF(C155&lt;=9,YEAR(A155),YEAR(A155)+1)</f>
        <v>1934</v>
      </c>
      <c r="C155" s="15" t="n">
        <f aca="false">MONTH(A155)</f>
        <v>1</v>
      </c>
      <c r="D155" s="15" t="n">
        <f aca="false">DAY(A155)</f>
        <v>31</v>
      </c>
      <c r="E155" s="15" t="n">
        <f aca="false">VLOOKUP(B155,WYT!$A$2:$L$97,12)</f>
        <v>0</v>
      </c>
      <c r="F155" s="15" t="n">
        <f aca="false">IF(C155=$W$5,1,0)</f>
        <v>0</v>
      </c>
      <c r="G155" s="15" t="n">
        <f aca="false">IF(C155=10,0,IF(F155=1,1,G154))</f>
        <v>0</v>
      </c>
      <c r="H155" s="5" t="n">
        <f aca="false">VA_base_426_data!B155</f>
        <v>900</v>
      </c>
      <c r="I155" s="5" t="n">
        <f aca="false">IF(AND(E155=1,OR(C155=4,C155=5)),25*12.1/24/D155*1000,0)</f>
        <v>0</v>
      </c>
      <c r="J155" s="5" t="n">
        <f aca="false">VA_base_426_data!C155</f>
        <v>900</v>
      </c>
      <c r="K155" s="5" t="n">
        <f aca="false">H155+I155-J155</f>
        <v>0</v>
      </c>
      <c r="L155" s="5" t="n">
        <f aca="false">MIN($W$7,J155+K155)</f>
        <v>900</v>
      </c>
      <c r="M155" s="5" t="n">
        <f aca="false">VA_base_426_data!D155</f>
        <v>800</v>
      </c>
      <c r="N155" s="5" t="n">
        <f aca="false">IF(AND(C155=10,E155=1),$W$6,N154-P154)</f>
        <v>0</v>
      </c>
      <c r="O155" s="5" t="n">
        <f aca="false">IF(ABS(M155-L155)&gt;1,MIN(N155/((L155-M155)*24/12.1/1000),D155),D155)</f>
        <v>0</v>
      </c>
      <c r="P155" s="5" t="n">
        <f aca="false">MIN(IF(AND(G155,E155),(L155-M155)*24/12.1*O155/1000,0),N155)</f>
        <v>0</v>
      </c>
      <c r="Q155" s="5" t="n">
        <f aca="false">IF(P155&gt;0,P155/O155*12.1/24*1000+M155,0)</f>
        <v>0</v>
      </c>
      <c r="R155" s="0" t="n">
        <f aca="false">IF(Q155&gt;0,TRUNC(O155),0)</f>
        <v>0</v>
      </c>
      <c r="S155" s="5" t="n">
        <f aca="false">(M155*(D155-R155)+(Q155*R155))/D155</f>
        <v>800</v>
      </c>
      <c r="T155" s="6" t="n">
        <f aca="false">(Q155-M155)*R155*24/12.1/1000</f>
        <v>-0</v>
      </c>
    </row>
    <row r="156" customFormat="false" ht="14.35" hidden="false" customHeight="false" outlineLevel="0" collapsed="false">
      <c r="A156" s="4" t="n">
        <v>12478</v>
      </c>
      <c r="B156" s="15" t="n">
        <f aca="false">IF(C156&lt;=9,YEAR(A156),YEAR(A156)+1)</f>
        <v>1934</v>
      </c>
      <c r="C156" s="15" t="n">
        <f aca="false">MONTH(A156)</f>
        <v>2</v>
      </c>
      <c r="D156" s="15" t="n">
        <f aca="false">DAY(A156)</f>
        <v>28</v>
      </c>
      <c r="E156" s="15" t="n">
        <f aca="false">VLOOKUP(B156,WYT!$A$2:$L$97,12)</f>
        <v>0</v>
      </c>
      <c r="F156" s="15" t="n">
        <f aca="false">IF(C156=$W$5,1,0)</f>
        <v>1</v>
      </c>
      <c r="G156" s="15" t="n">
        <f aca="false">IF(C156=10,0,IF(F156=1,1,G155))</f>
        <v>1</v>
      </c>
      <c r="H156" s="5" t="n">
        <f aca="false">VA_base_426_data!B156</f>
        <v>3244.86018306398</v>
      </c>
      <c r="I156" s="5" t="n">
        <f aca="false">IF(AND(E156=1,OR(C156=4,C156=5)),25*12.1/24/D156*1000,0)</f>
        <v>0</v>
      </c>
      <c r="J156" s="5" t="n">
        <f aca="false">VA_base_426_data!C156</f>
        <v>900</v>
      </c>
      <c r="K156" s="5" t="n">
        <f aca="false">H156+I156-J156</f>
        <v>2344.86018306398</v>
      </c>
      <c r="L156" s="5" t="n">
        <f aca="false">MIN($W$7,J156+K156)</f>
        <v>2000</v>
      </c>
      <c r="M156" s="5" t="n">
        <f aca="false">VA_base_426_data!D156</f>
        <v>800</v>
      </c>
      <c r="N156" s="5" t="n">
        <f aca="false">IF(AND(C156=10,E156=1),$W$6,N155-P155)</f>
        <v>0</v>
      </c>
      <c r="O156" s="5" t="n">
        <f aca="false">IF(ABS(M156-L156)&gt;1,MIN(N156/((L156-M156)*24/12.1/1000),D156),D156)</f>
        <v>0</v>
      </c>
      <c r="P156" s="5" t="n">
        <f aca="false">MIN(IF(AND(G156,E156),(L156-M156)*24/12.1*O156/1000,0),N156)</f>
        <v>0</v>
      </c>
      <c r="Q156" s="5" t="n">
        <f aca="false">IF(P156&gt;0,P156/O156*12.1/24*1000+M156,0)</f>
        <v>0</v>
      </c>
      <c r="R156" s="0" t="n">
        <f aca="false">IF(Q156&gt;0,TRUNC(O156),0)</f>
        <v>0</v>
      </c>
      <c r="S156" s="5" t="n">
        <f aca="false">(M156*(D156-R156)+(Q156*R156))/D156</f>
        <v>800</v>
      </c>
      <c r="T156" s="6" t="n">
        <f aca="false">(Q156-M156)*R156*24/12.1/1000</f>
        <v>-0</v>
      </c>
    </row>
    <row r="157" customFormat="false" ht="14.35" hidden="false" customHeight="false" outlineLevel="0" collapsed="false">
      <c r="A157" s="4" t="n">
        <v>12509</v>
      </c>
      <c r="B157" s="15" t="n">
        <f aca="false">IF(C157&lt;=9,YEAR(A157),YEAR(A157)+1)</f>
        <v>1934</v>
      </c>
      <c r="C157" s="15" t="n">
        <f aca="false">MONTH(A157)</f>
        <v>3</v>
      </c>
      <c r="D157" s="15" t="n">
        <f aca="false">DAY(A157)</f>
        <v>31</v>
      </c>
      <c r="E157" s="15" t="n">
        <f aca="false">VLOOKUP(B157,WYT!$A$2:$L$97,12)</f>
        <v>0</v>
      </c>
      <c r="F157" s="15" t="n">
        <f aca="false">IF(C157=$W$5,1,0)</f>
        <v>0</v>
      </c>
      <c r="G157" s="15" t="n">
        <f aca="false">IF(C157=10,0,IF(F157=1,1,G156))</f>
        <v>1</v>
      </c>
      <c r="H157" s="5" t="n">
        <f aca="false">VA_base_426_data!B157</f>
        <v>800</v>
      </c>
      <c r="I157" s="5" t="n">
        <f aca="false">IF(AND(E157=1,OR(C157=4,C157=5)),25*12.1/24/D157*1000,0)</f>
        <v>0</v>
      </c>
      <c r="J157" s="5" t="n">
        <f aca="false">VA_base_426_data!C157</f>
        <v>750</v>
      </c>
      <c r="K157" s="5" t="n">
        <f aca="false">H157+I157-J157</f>
        <v>50</v>
      </c>
      <c r="L157" s="5" t="n">
        <f aca="false">MIN($W$7,J157+K157)</f>
        <v>800</v>
      </c>
      <c r="M157" s="5" t="n">
        <f aca="false">VA_base_426_data!D157</f>
        <v>800</v>
      </c>
      <c r="N157" s="5" t="n">
        <f aca="false">IF(AND(C157=10,E157=1),$W$6,N156-P156)</f>
        <v>0</v>
      </c>
      <c r="O157" s="5" t="n">
        <f aca="false">IF(ABS(M157-L157)&gt;1,MIN(N157/((L157-M157)*24/12.1/1000),D157),D157)</f>
        <v>31</v>
      </c>
      <c r="P157" s="5" t="n">
        <f aca="false">MIN(IF(AND(G157,E157),(L157-M157)*24/12.1*O157/1000,0),N157)</f>
        <v>0</v>
      </c>
      <c r="Q157" s="5" t="n">
        <f aca="false">IF(P157&gt;0,P157/O157*12.1/24*1000+M157,0)</f>
        <v>0</v>
      </c>
      <c r="R157" s="0" t="n">
        <f aca="false">IF(Q157&gt;0,TRUNC(O157),0)</f>
        <v>0</v>
      </c>
      <c r="S157" s="5" t="n">
        <f aca="false">(M157*(D157-R157)+(Q157*R157))/D157</f>
        <v>800</v>
      </c>
      <c r="T157" s="6" t="n">
        <f aca="false">(Q157-M157)*R157*24/12.1/1000</f>
        <v>-0</v>
      </c>
    </row>
    <row r="158" customFormat="false" ht="14.35" hidden="false" customHeight="false" outlineLevel="0" collapsed="false">
      <c r="A158" s="4" t="n">
        <v>12539</v>
      </c>
      <c r="B158" s="15" t="n">
        <f aca="false">IF(C158&lt;=9,YEAR(A158),YEAR(A158)+1)</f>
        <v>1934</v>
      </c>
      <c r="C158" s="15" t="n">
        <f aca="false">MONTH(A158)</f>
        <v>4</v>
      </c>
      <c r="D158" s="15" t="n">
        <f aca="false">DAY(A158)</f>
        <v>30</v>
      </c>
      <c r="E158" s="15" t="n">
        <f aca="false">VLOOKUP(B158,WYT!$A$2:$L$97,12)</f>
        <v>0</v>
      </c>
      <c r="F158" s="15" t="n">
        <f aca="false">IF(C158=$W$5,1,0)</f>
        <v>0</v>
      </c>
      <c r="G158" s="15" t="n">
        <f aca="false">IF(C158=10,0,IF(F158=1,1,G157))</f>
        <v>1</v>
      </c>
      <c r="H158" s="5" t="n">
        <f aca="false">VA_base_426_data!B158</f>
        <v>1014.48657224732</v>
      </c>
      <c r="I158" s="5" t="n">
        <f aca="false">IF(AND(E158=1,OR(C158=4,C158=5)),25*12.1/24/D158*1000,0)</f>
        <v>0</v>
      </c>
      <c r="J158" s="5" t="n">
        <f aca="false">VA_base_426_data!C158</f>
        <v>750</v>
      </c>
      <c r="K158" s="5" t="n">
        <f aca="false">H158+I158-J158</f>
        <v>264.486572247325</v>
      </c>
      <c r="L158" s="5" t="n">
        <f aca="false">MIN($W$7,J158+K158)</f>
        <v>1014.48657224732</v>
      </c>
      <c r="M158" s="5" t="n">
        <f aca="false">VA_base_426_data!D158</f>
        <v>700</v>
      </c>
      <c r="N158" s="5" t="n">
        <f aca="false">IF(AND(C158=10,E158=1),$W$6,N157-P157)</f>
        <v>0</v>
      </c>
      <c r="O158" s="5" t="n">
        <f aca="false">IF(ABS(M158-L158)&gt;1,MIN(N158/((L158-M158)*24/12.1/1000),D158),D158)</f>
        <v>0</v>
      </c>
      <c r="P158" s="5" t="n">
        <f aca="false">MIN(IF(AND(G158,E158),(L158-M158)*24/12.1*O158/1000,0),N158)</f>
        <v>0</v>
      </c>
      <c r="Q158" s="5" t="n">
        <f aca="false">IF(P158&gt;0,P158/O158*12.1/24*1000+M158,0)</f>
        <v>0</v>
      </c>
      <c r="R158" s="0" t="n">
        <f aca="false">IF(Q158&gt;0,TRUNC(O158),0)</f>
        <v>0</v>
      </c>
      <c r="S158" s="5" t="n">
        <f aca="false">(M158*(D158-R158)+(Q158*R158))/D158</f>
        <v>700</v>
      </c>
      <c r="T158" s="6" t="n">
        <f aca="false">(Q158-M158)*R158*24/12.1/1000</f>
        <v>-0</v>
      </c>
    </row>
    <row r="159" customFormat="false" ht="14.35" hidden="false" customHeight="false" outlineLevel="0" collapsed="false">
      <c r="A159" s="4" t="n">
        <v>12570</v>
      </c>
      <c r="B159" s="15" t="n">
        <f aca="false">IF(C159&lt;=9,YEAR(A159),YEAR(A159)+1)</f>
        <v>1934</v>
      </c>
      <c r="C159" s="15" t="n">
        <f aca="false">MONTH(A159)</f>
        <v>5</v>
      </c>
      <c r="D159" s="15" t="n">
        <f aca="false">DAY(A159)</f>
        <v>31</v>
      </c>
      <c r="E159" s="15" t="n">
        <f aca="false">VLOOKUP(B159,WYT!$A$2:$L$97,12)</f>
        <v>0</v>
      </c>
      <c r="F159" s="15" t="n">
        <f aca="false">IF(C159=$W$5,1,0)</f>
        <v>0</v>
      </c>
      <c r="G159" s="15" t="n">
        <f aca="false">IF(C159=10,0,IF(F159=1,1,G158))</f>
        <v>1</v>
      </c>
      <c r="H159" s="5" t="n">
        <f aca="false">VA_base_426_data!B159</f>
        <v>3840.64724263324</v>
      </c>
      <c r="I159" s="5" t="n">
        <f aca="false">IF(AND(E159=1,OR(C159=4,C159=5)),25*12.1/24/D159*1000,0)</f>
        <v>0</v>
      </c>
      <c r="J159" s="5" t="n">
        <f aca="false">VA_base_426_data!C159</f>
        <v>750</v>
      </c>
      <c r="K159" s="5" t="n">
        <f aca="false">H159+I159-J159</f>
        <v>3090.64724263324</v>
      </c>
      <c r="L159" s="5" t="n">
        <f aca="false">MIN($W$7,J159+K159)</f>
        <v>2000</v>
      </c>
      <c r="M159" s="5" t="n">
        <f aca="false">VA_base_426_data!D159</f>
        <v>700</v>
      </c>
      <c r="N159" s="5" t="n">
        <f aca="false">IF(AND(C159=10,E159=1),$W$6,N158-P158)</f>
        <v>0</v>
      </c>
      <c r="O159" s="5" t="n">
        <f aca="false">IF(ABS(M159-L159)&gt;1,MIN(N159/((L159-M159)*24/12.1/1000),D159),D159)</f>
        <v>0</v>
      </c>
      <c r="P159" s="5" t="n">
        <f aca="false">MIN(IF(AND(G159,E159),(L159-M159)*24/12.1*O159/1000,0),N159)</f>
        <v>0</v>
      </c>
      <c r="Q159" s="5" t="n">
        <f aca="false">IF(P159&gt;0,P159/O159*12.1/24*1000+M159,0)</f>
        <v>0</v>
      </c>
      <c r="R159" s="0" t="n">
        <f aca="false">IF(Q159&gt;0,TRUNC(O159),0)</f>
        <v>0</v>
      </c>
      <c r="S159" s="5" t="n">
        <f aca="false">(M159*(D159-R159)+(Q159*R159))/D159</f>
        <v>700</v>
      </c>
      <c r="T159" s="6" t="n">
        <f aca="false">(Q159-M159)*R159*24/12.1/1000</f>
        <v>-0</v>
      </c>
    </row>
    <row r="160" customFormat="false" ht="14.35" hidden="false" customHeight="false" outlineLevel="0" collapsed="false">
      <c r="A160" s="4" t="n">
        <v>12600</v>
      </c>
      <c r="B160" s="15" t="n">
        <f aca="false">IF(C160&lt;=9,YEAR(A160),YEAR(A160)+1)</f>
        <v>1934</v>
      </c>
      <c r="C160" s="15" t="n">
        <f aca="false">MONTH(A160)</f>
        <v>6</v>
      </c>
      <c r="D160" s="15" t="n">
        <f aca="false">DAY(A160)</f>
        <v>30</v>
      </c>
      <c r="E160" s="15" t="n">
        <f aca="false">VLOOKUP(B160,WYT!$A$2:$L$97,12)</f>
        <v>0</v>
      </c>
      <c r="F160" s="15" t="n">
        <f aca="false">IF(C160=$W$5,1,0)</f>
        <v>0</v>
      </c>
      <c r="G160" s="15" t="n">
        <f aca="false">IF(C160=10,0,IF(F160=1,1,G159))</f>
        <v>1</v>
      </c>
      <c r="H160" s="5" t="n">
        <f aca="false">VA_base_426_data!B160</f>
        <v>4956.31586848195</v>
      </c>
      <c r="I160" s="5" t="n">
        <f aca="false">IF(AND(E160=1,OR(C160=4,C160=5)),25*12.1/24/D160*1000,0)</f>
        <v>0</v>
      </c>
      <c r="J160" s="5" t="n">
        <f aca="false">VA_base_426_data!C160</f>
        <v>750</v>
      </c>
      <c r="K160" s="5" t="n">
        <f aca="false">H160+I160-J160</f>
        <v>4206.31586848195</v>
      </c>
      <c r="L160" s="5" t="n">
        <f aca="false">MIN($W$7,J160+K160)</f>
        <v>2000</v>
      </c>
      <c r="M160" s="5" t="n">
        <f aca="false">VA_base_426_data!D160</f>
        <v>700</v>
      </c>
      <c r="N160" s="5" t="n">
        <f aca="false">IF(AND(C160=10,E160=1),$W$6,N159-P159)</f>
        <v>0</v>
      </c>
      <c r="O160" s="5" t="n">
        <f aca="false">IF(ABS(M160-L160)&gt;1,MIN(N160/((L160-M160)*24/12.1/1000),D160),D160)</f>
        <v>0</v>
      </c>
      <c r="P160" s="5" t="n">
        <f aca="false">MIN(IF(AND(G160,E160),(L160-M160)*24/12.1*O160/1000,0),N160)</f>
        <v>0</v>
      </c>
      <c r="Q160" s="5" t="n">
        <f aca="false">IF(P160&gt;0,P160/O160*12.1/24*1000+M160,0)</f>
        <v>0</v>
      </c>
      <c r="R160" s="0" t="n">
        <f aca="false">IF(Q160&gt;0,TRUNC(O160),0)</f>
        <v>0</v>
      </c>
      <c r="S160" s="5" t="n">
        <f aca="false">(M160*(D160-R160)+(Q160*R160))/D160</f>
        <v>700</v>
      </c>
      <c r="T160" s="6" t="n">
        <f aca="false">(Q160-M160)*R160*24/12.1/1000</f>
        <v>-0</v>
      </c>
    </row>
    <row r="161" customFormat="false" ht="14.35" hidden="false" customHeight="false" outlineLevel="0" collapsed="false">
      <c r="A161" s="4" t="n">
        <v>12631</v>
      </c>
      <c r="B161" s="15" t="n">
        <f aca="false">IF(C161&lt;=9,YEAR(A161),YEAR(A161)+1)</f>
        <v>1934</v>
      </c>
      <c r="C161" s="15" t="n">
        <f aca="false">MONTH(A161)</f>
        <v>7</v>
      </c>
      <c r="D161" s="15" t="n">
        <f aca="false">DAY(A161)</f>
        <v>31</v>
      </c>
      <c r="E161" s="15" t="n">
        <f aca="false">VLOOKUP(B161,WYT!$A$2:$L$97,12)</f>
        <v>0</v>
      </c>
      <c r="F161" s="15" t="n">
        <f aca="false">IF(C161=$W$5,1,0)</f>
        <v>0</v>
      </c>
      <c r="G161" s="15" t="n">
        <f aca="false">IF(C161=10,0,IF(F161=1,1,G160))</f>
        <v>1</v>
      </c>
      <c r="H161" s="5" t="n">
        <f aca="false">VA_base_426_data!B161</f>
        <v>4196.32471704624</v>
      </c>
      <c r="I161" s="5" t="n">
        <f aca="false">IF(AND(E161=1,OR(C161=4,C161=5)),25*12.1/24/D161*1000,0)</f>
        <v>0</v>
      </c>
      <c r="J161" s="5" t="n">
        <f aca="false">VA_base_426_data!C161</f>
        <v>750</v>
      </c>
      <c r="K161" s="5" t="n">
        <f aca="false">H161+I161-J161</f>
        <v>3446.32471704624</v>
      </c>
      <c r="L161" s="5" t="n">
        <f aca="false">MIN($W$7,J161+K161)</f>
        <v>2000</v>
      </c>
      <c r="M161" s="5" t="n">
        <f aca="false">VA_base_426_data!D161</f>
        <v>700</v>
      </c>
      <c r="N161" s="5" t="n">
        <f aca="false">IF(AND(C161=10,E161=1),$W$6,N160-P160)</f>
        <v>0</v>
      </c>
      <c r="O161" s="5" t="n">
        <f aca="false">IF(ABS(M161-L161)&gt;1,MIN(N161/((L161-M161)*24/12.1/1000),D161),D161)</f>
        <v>0</v>
      </c>
      <c r="P161" s="5" t="n">
        <f aca="false">MIN(IF(AND(G161,E161),(L161-M161)*24/12.1*O161/1000,0),N161)</f>
        <v>0</v>
      </c>
      <c r="Q161" s="5" t="n">
        <f aca="false">IF(P161&gt;0,P161/O161*12.1/24*1000+M161,0)</f>
        <v>0</v>
      </c>
      <c r="R161" s="0" t="n">
        <f aca="false">IF(Q161&gt;0,TRUNC(O161),0)</f>
        <v>0</v>
      </c>
      <c r="S161" s="5" t="n">
        <f aca="false">(M161*(D161-R161)+(Q161*R161))/D161</f>
        <v>700</v>
      </c>
      <c r="T161" s="6" t="n">
        <f aca="false">(Q161-M161)*R161*24/12.1/1000</f>
        <v>-0</v>
      </c>
    </row>
    <row r="162" customFormat="false" ht="14.35" hidden="false" customHeight="false" outlineLevel="0" collapsed="false">
      <c r="A162" s="4" t="n">
        <v>12662</v>
      </c>
      <c r="B162" s="15" t="n">
        <f aca="false">IF(C162&lt;=9,YEAR(A162),YEAR(A162)+1)</f>
        <v>1934</v>
      </c>
      <c r="C162" s="15" t="n">
        <f aca="false">MONTH(A162)</f>
        <v>8</v>
      </c>
      <c r="D162" s="15" t="n">
        <f aca="false">DAY(A162)</f>
        <v>31</v>
      </c>
      <c r="E162" s="15" t="n">
        <f aca="false">VLOOKUP(B162,WYT!$A$2:$L$97,12)</f>
        <v>0</v>
      </c>
      <c r="F162" s="15" t="n">
        <f aca="false">IF(C162=$W$5,1,0)</f>
        <v>0</v>
      </c>
      <c r="G162" s="15" t="n">
        <f aca="false">IF(C162=10,0,IF(F162=1,1,G161))</f>
        <v>1</v>
      </c>
      <c r="H162" s="5" t="n">
        <f aca="false">VA_base_426_data!B162</f>
        <v>2809.87461341057</v>
      </c>
      <c r="I162" s="5" t="n">
        <f aca="false">IF(AND(E162=1,OR(C162=4,C162=5)),25*12.1/24/D162*1000,0)</f>
        <v>0</v>
      </c>
      <c r="J162" s="5" t="n">
        <f aca="false">VA_base_426_data!C162</f>
        <v>750</v>
      </c>
      <c r="K162" s="5" t="n">
        <f aca="false">H162+I162-J162</f>
        <v>2059.87461341057</v>
      </c>
      <c r="L162" s="5" t="n">
        <f aca="false">MIN($W$7,J162+K162)</f>
        <v>2000</v>
      </c>
      <c r="M162" s="5" t="n">
        <f aca="false">VA_base_426_data!D162</f>
        <v>700</v>
      </c>
      <c r="N162" s="5" t="n">
        <f aca="false">IF(AND(C162=10,E162=1),$W$6,N161-P161)</f>
        <v>0</v>
      </c>
      <c r="O162" s="5" t="n">
        <f aca="false">IF(ABS(M162-L162)&gt;1,MIN(N162/((L162-M162)*24/12.1/1000),D162),D162)</f>
        <v>0</v>
      </c>
      <c r="P162" s="5" t="n">
        <f aca="false">MIN(IF(AND(G162,E162),(L162-M162)*24/12.1*O162/1000,0),N162)</f>
        <v>0</v>
      </c>
      <c r="Q162" s="5" t="n">
        <f aca="false">IF(P162&gt;0,P162/O162*12.1/24*1000+M162,0)</f>
        <v>0</v>
      </c>
      <c r="R162" s="0" t="n">
        <f aca="false">IF(Q162&gt;0,TRUNC(O162),0)</f>
        <v>0</v>
      </c>
      <c r="S162" s="5" t="n">
        <f aca="false">(M162*(D162-R162)+(Q162*R162))/D162</f>
        <v>700</v>
      </c>
      <c r="T162" s="6" t="n">
        <f aca="false">(Q162-M162)*R162*24/12.1/1000</f>
        <v>-0</v>
      </c>
    </row>
    <row r="163" customFormat="false" ht="14.35" hidden="false" customHeight="false" outlineLevel="0" collapsed="false">
      <c r="A163" s="4" t="n">
        <v>12692</v>
      </c>
      <c r="B163" s="15" t="n">
        <f aca="false">IF(C163&lt;=9,YEAR(A163),YEAR(A163)+1)</f>
        <v>1934</v>
      </c>
      <c r="C163" s="15" t="n">
        <f aca="false">MONTH(A163)</f>
        <v>9</v>
      </c>
      <c r="D163" s="15" t="n">
        <f aca="false">DAY(A163)</f>
        <v>30</v>
      </c>
      <c r="E163" s="15" t="n">
        <f aca="false">VLOOKUP(B163,WYT!$A$2:$L$97,12)</f>
        <v>0</v>
      </c>
      <c r="F163" s="15" t="n">
        <f aca="false">IF(C163=$W$5,1,0)</f>
        <v>0</v>
      </c>
      <c r="G163" s="15" t="n">
        <f aca="false">IF(C163=10,0,IF(F163=1,1,G162))</f>
        <v>1</v>
      </c>
      <c r="H163" s="5" t="n">
        <f aca="false">VA_base_426_data!B163</f>
        <v>1378.2347687381</v>
      </c>
      <c r="I163" s="5" t="n">
        <f aca="false">IF(AND(E163=1,OR(C163=4,C163=5)),25*12.1/24/D163*1000,0)</f>
        <v>0</v>
      </c>
      <c r="J163" s="5" t="n">
        <f aca="false">VA_base_426_data!C163</f>
        <v>750</v>
      </c>
      <c r="K163" s="5" t="n">
        <f aca="false">H163+I163-J163</f>
        <v>628.234768738097</v>
      </c>
      <c r="L163" s="5" t="n">
        <f aca="false">MIN($W$7,J163+K163)</f>
        <v>1378.2347687381</v>
      </c>
      <c r="M163" s="5" t="n">
        <f aca="false">VA_base_426_data!D163</f>
        <v>773.3333333</v>
      </c>
      <c r="N163" s="5" t="n">
        <f aca="false">IF(AND(C163=10,E163=1),$W$6,N162-P162)</f>
        <v>0</v>
      </c>
      <c r="O163" s="5" t="n">
        <f aca="false">IF(ABS(M163-L163)&gt;1,MIN(N163/((L163-M163)*24/12.1/1000),D163),D163)</f>
        <v>0</v>
      </c>
      <c r="P163" s="5" t="n">
        <f aca="false">MIN(IF(AND(G163,E163),(L163-M163)*24/12.1*O163/1000,0),N163)</f>
        <v>0</v>
      </c>
      <c r="Q163" s="5" t="n">
        <f aca="false">IF(P163&gt;0,P163/O163*12.1/24*1000+M163,0)</f>
        <v>0</v>
      </c>
      <c r="R163" s="0" t="n">
        <f aca="false">IF(Q163&gt;0,TRUNC(O163),0)</f>
        <v>0</v>
      </c>
      <c r="S163" s="5" t="n">
        <f aca="false">(M163*(D163-R163)+(Q163*R163))/D163</f>
        <v>773.3333333</v>
      </c>
      <c r="T163" s="6" t="n">
        <f aca="false">(Q163-M163)*R163*24/12.1/1000</f>
        <v>-0</v>
      </c>
    </row>
    <row r="164" customFormat="false" ht="14.35" hidden="false" customHeight="false" outlineLevel="0" collapsed="false">
      <c r="A164" s="4" t="n">
        <v>12723</v>
      </c>
      <c r="B164" s="15" t="n">
        <f aca="false">IF(C164&lt;=9,YEAR(A164),YEAR(A164)+1)</f>
        <v>1935</v>
      </c>
      <c r="C164" s="15" t="n">
        <f aca="false">MONTH(A164)</f>
        <v>10</v>
      </c>
      <c r="D164" s="15" t="n">
        <f aca="false">DAY(A164)</f>
        <v>31</v>
      </c>
      <c r="E164" s="15" t="n">
        <f aca="false">VLOOKUP(B164,WYT!$A$2:$L$97,12)</f>
        <v>1</v>
      </c>
      <c r="F164" s="15" t="n">
        <f aca="false">IF(C164=$W$5,1,0)</f>
        <v>0</v>
      </c>
      <c r="G164" s="15" t="n">
        <f aca="false">IF(C164=10,0,IF(F164=1,1,G163))</f>
        <v>0</v>
      </c>
      <c r="H164" s="5" t="n">
        <f aca="false">VA_base_426_data!B164</f>
        <v>1031.26332516638</v>
      </c>
      <c r="I164" s="5" t="n">
        <f aca="false">IF(AND(E164=1,OR(C164=4,C164=5)),25*12.1/24/D164*1000,0)</f>
        <v>0</v>
      </c>
      <c r="J164" s="5" t="n">
        <f aca="false">VA_base_426_data!C164</f>
        <v>900</v>
      </c>
      <c r="K164" s="5" t="n">
        <f aca="false">H164+I164-J164</f>
        <v>131.263325166381</v>
      </c>
      <c r="L164" s="5" t="n">
        <f aca="false">MIN($W$7,J164+K164)</f>
        <v>1031.26332516638</v>
      </c>
      <c r="M164" s="5" t="n">
        <f aca="false">VA_base_426_data!D164</f>
        <v>800</v>
      </c>
      <c r="N164" s="5" t="n">
        <f aca="false">IF(AND(C164=10,E164=1),$W$6,N163-P163)</f>
        <v>43</v>
      </c>
      <c r="O164" s="5" t="n">
        <f aca="false">IF(ABS(M164-L164)&gt;1,MIN(N164/((L164-M164)*24/12.1/1000),D164),D164)</f>
        <v>31</v>
      </c>
      <c r="P164" s="5" t="n">
        <f aca="false">MIN(IF(AND(G164,E164),(L164-M164)*24/12.1*O164/1000,0),N164)</f>
        <v>0</v>
      </c>
      <c r="Q164" s="5" t="n">
        <f aca="false">IF(P164&gt;0,P164/O164*12.1/24*1000+M164,0)</f>
        <v>0</v>
      </c>
      <c r="R164" s="0" t="n">
        <f aca="false">IF(Q164&gt;0,TRUNC(O164),0)</f>
        <v>0</v>
      </c>
      <c r="S164" s="5" t="n">
        <f aca="false">(M164*(D164-R164)+(Q164*R164))/D164</f>
        <v>800</v>
      </c>
      <c r="T164" s="6" t="n">
        <f aca="false">(Q164-M164)*R164*24/12.1/1000</f>
        <v>-0</v>
      </c>
    </row>
    <row r="165" customFormat="false" ht="14.35" hidden="false" customHeight="false" outlineLevel="0" collapsed="false">
      <c r="A165" s="4" t="n">
        <v>12753</v>
      </c>
      <c r="B165" s="15" t="n">
        <f aca="false">IF(C165&lt;=9,YEAR(A165),YEAR(A165)+1)</f>
        <v>1935</v>
      </c>
      <c r="C165" s="15" t="n">
        <f aca="false">MONTH(A165)</f>
        <v>11</v>
      </c>
      <c r="D165" s="15" t="n">
        <f aca="false">DAY(A165)</f>
        <v>30</v>
      </c>
      <c r="E165" s="15" t="n">
        <f aca="false">VLOOKUP(B165,WYT!$A$2:$L$97,12)</f>
        <v>1</v>
      </c>
      <c r="F165" s="15" t="n">
        <f aca="false">IF(C165=$W$5,1,0)</f>
        <v>0</v>
      </c>
      <c r="G165" s="15" t="n">
        <f aca="false">IF(C165=10,0,IF(F165=1,1,G164))</f>
        <v>0</v>
      </c>
      <c r="H165" s="5" t="n">
        <f aca="false">VA_base_426_data!B165</f>
        <v>900</v>
      </c>
      <c r="I165" s="5" t="n">
        <f aca="false">IF(AND(E165=1,OR(C165=4,C165=5)),25*12.1/24/D165*1000,0)</f>
        <v>0</v>
      </c>
      <c r="J165" s="5" t="n">
        <f aca="false">VA_base_426_data!C165</f>
        <v>900</v>
      </c>
      <c r="K165" s="5" t="n">
        <f aca="false">H165+I165-J165</f>
        <v>0</v>
      </c>
      <c r="L165" s="5" t="n">
        <f aca="false">MIN($W$7,J165+K165)</f>
        <v>900</v>
      </c>
      <c r="M165" s="5" t="n">
        <f aca="false">VA_base_426_data!D165</f>
        <v>800</v>
      </c>
      <c r="N165" s="5" t="n">
        <f aca="false">IF(AND(C165=10,E165=1),$W$6,N164-P164)</f>
        <v>43</v>
      </c>
      <c r="O165" s="5" t="n">
        <f aca="false">IF(ABS(M165-L165)&gt;1,MIN(N165/((L165-M165)*24/12.1/1000),D165),D165)</f>
        <v>30</v>
      </c>
      <c r="P165" s="5" t="n">
        <f aca="false">MIN(IF(AND(G165,E165),(L165-M165)*24/12.1*O165/1000,0),N165)</f>
        <v>0</v>
      </c>
      <c r="Q165" s="5" t="n">
        <f aca="false">IF(P165&gt;0,P165/O165*12.1/24*1000+M165,0)</f>
        <v>0</v>
      </c>
      <c r="R165" s="0" t="n">
        <f aca="false">IF(Q165&gt;0,TRUNC(O165),0)</f>
        <v>0</v>
      </c>
      <c r="S165" s="5" t="n">
        <f aca="false">(M165*(D165-R165)+(Q165*R165))/D165</f>
        <v>800</v>
      </c>
      <c r="T165" s="6" t="n">
        <f aca="false">(Q165-M165)*R165*24/12.1/1000</f>
        <v>-0</v>
      </c>
    </row>
    <row r="166" customFormat="false" ht="14.35" hidden="false" customHeight="false" outlineLevel="0" collapsed="false">
      <c r="A166" s="4" t="n">
        <v>12784</v>
      </c>
      <c r="B166" s="15" t="n">
        <f aca="false">IF(C166&lt;=9,YEAR(A166),YEAR(A166)+1)</f>
        <v>1935</v>
      </c>
      <c r="C166" s="15" t="n">
        <f aca="false">MONTH(A166)</f>
        <v>12</v>
      </c>
      <c r="D166" s="15" t="n">
        <f aca="false">DAY(A166)</f>
        <v>31</v>
      </c>
      <c r="E166" s="15" t="n">
        <f aca="false">VLOOKUP(B166,WYT!$A$2:$L$97,12)</f>
        <v>1</v>
      </c>
      <c r="F166" s="15" t="n">
        <f aca="false">IF(C166=$W$5,1,0)</f>
        <v>0</v>
      </c>
      <c r="G166" s="15" t="n">
        <f aca="false">IF(C166=10,0,IF(F166=1,1,G165))</f>
        <v>0</v>
      </c>
      <c r="H166" s="5" t="n">
        <f aca="false">VA_base_426_data!B166</f>
        <v>900</v>
      </c>
      <c r="I166" s="5" t="n">
        <f aca="false">IF(AND(E166=1,OR(C166=4,C166=5)),25*12.1/24/D166*1000,0)</f>
        <v>0</v>
      </c>
      <c r="J166" s="5" t="n">
        <f aca="false">VA_base_426_data!C166</f>
        <v>900</v>
      </c>
      <c r="K166" s="5" t="n">
        <f aca="false">H166+I166-J166</f>
        <v>0</v>
      </c>
      <c r="L166" s="5" t="n">
        <f aca="false">MIN($W$7,J166+K166)</f>
        <v>900</v>
      </c>
      <c r="M166" s="5" t="n">
        <f aca="false">VA_base_426_data!D166</f>
        <v>800</v>
      </c>
      <c r="N166" s="5" t="n">
        <f aca="false">IF(AND(C166=10,E166=1),$W$6,N165-P165)</f>
        <v>43</v>
      </c>
      <c r="O166" s="5" t="n">
        <f aca="false">IF(ABS(M166-L166)&gt;1,MIN(N166/((L166-M166)*24/12.1/1000),D166),D166)</f>
        <v>31</v>
      </c>
      <c r="P166" s="5" t="n">
        <f aca="false">MIN(IF(AND(G166,E166),(L166-M166)*24/12.1*O166/1000,0),N166)</f>
        <v>0</v>
      </c>
      <c r="Q166" s="5" t="n">
        <f aca="false">IF(P166&gt;0,P166/O166*12.1/24*1000+M166,0)</f>
        <v>0</v>
      </c>
      <c r="R166" s="0" t="n">
        <f aca="false">IF(Q166&gt;0,TRUNC(O166),0)</f>
        <v>0</v>
      </c>
      <c r="S166" s="5" t="n">
        <f aca="false">(M166*(D166-R166)+(Q166*R166))/D166</f>
        <v>800</v>
      </c>
      <c r="T166" s="6" t="n">
        <f aca="false">(Q166-M166)*R166*24/12.1/1000</f>
        <v>-0</v>
      </c>
    </row>
    <row r="167" customFormat="false" ht="14.35" hidden="false" customHeight="false" outlineLevel="0" collapsed="false">
      <c r="A167" s="4" t="n">
        <v>12815</v>
      </c>
      <c r="B167" s="15" t="n">
        <f aca="false">IF(C167&lt;=9,YEAR(A167),YEAR(A167)+1)</f>
        <v>1935</v>
      </c>
      <c r="C167" s="15" t="n">
        <f aca="false">MONTH(A167)</f>
        <v>1</v>
      </c>
      <c r="D167" s="15" t="n">
        <f aca="false">DAY(A167)</f>
        <v>31</v>
      </c>
      <c r="E167" s="15" t="n">
        <f aca="false">VLOOKUP(B167,WYT!$A$2:$L$97,12)</f>
        <v>1</v>
      </c>
      <c r="F167" s="15" t="n">
        <f aca="false">IF(C167=$W$5,1,0)</f>
        <v>0</v>
      </c>
      <c r="G167" s="15" t="n">
        <f aca="false">IF(C167=10,0,IF(F167=1,1,G166))</f>
        <v>0</v>
      </c>
      <c r="H167" s="5" t="n">
        <f aca="false">VA_base_426_data!B167</f>
        <v>900</v>
      </c>
      <c r="I167" s="5" t="n">
        <f aca="false">IF(AND(E167=1,OR(C167=4,C167=5)),25*12.1/24/D167*1000,0)</f>
        <v>0</v>
      </c>
      <c r="J167" s="5" t="n">
        <f aca="false">VA_base_426_data!C167</f>
        <v>900</v>
      </c>
      <c r="K167" s="5" t="n">
        <f aca="false">H167+I167-J167</f>
        <v>0</v>
      </c>
      <c r="L167" s="5" t="n">
        <f aca="false">MIN($W$7,J167+K167)</f>
        <v>900</v>
      </c>
      <c r="M167" s="5" t="n">
        <f aca="false">VA_base_426_data!D167</f>
        <v>800</v>
      </c>
      <c r="N167" s="5" t="n">
        <f aca="false">IF(AND(C167=10,E167=1),$W$6,N166-P166)</f>
        <v>43</v>
      </c>
      <c r="O167" s="5" t="n">
        <f aca="false">IF(ABS(M167-L167)&gt;1,MIN(N167/((L167-M167)*24/12.1/1000),D167),D167)</f>
        <v>31</v>
      </c>
      <c r="P167" s="5" t="n">
        <f aca="false">MIN(IF(AND(G167,E167),(L167-M167)*24/12.1*O167/1000,0),N167)</f>
        <v>0</v>
      </c>
      <c r="Q167" s="5" t="n">
        <f aca="false">IF(P167&gt;0,P167/O167*12.1/24*1000+M167,0)</f>
        <v>0</v>
      </c>
      <c r="R167" s="0" t="n">
        <f aca="false">IF(Q167&gt;0,TRUNC(O167),0)</f>
        <v>0</v>
      </c>
      <c r="S167" s="5" t="n">
        <f aca="false">(M167*(D167-R167)+(Q167*R167))/D167</f>
        <v>800</v>
      </c>
      <c r="T167" s="6" t="n">
        <f aca="false">(Q167-M167)*R167*24/12.1/1000</f>
        <v>-0</v>
      </c>
    </row>
    <row r="168" customFormat="false" ht="14.35" hidden="false" customHeight="false" outlineLevel="0" collapsed="false">
      <c r="A168" s="4" t="n">
        <v>12843</v>
      </c>
      <c r="B168" s="15" t="n">
        <f aca="false">IF(C168&lt;=9,YEAR(A168),YEAR(A168)+1)</f>
        <v>1935</v>
      </c>
      <c r="C168" s="15" t="n">
        <f aca="false">MONTH(A168)</f>
        <v>2</v>
      </c>
      <c r="D168" s="15" t="n">
        <f aca="false">DAY(A168)</f>
        <v>28</v>
      </c>
      <c r="E168" s="15" t="n">
        <f aca="false">VLOOKUP(B168,WYT!$A$2:$L$97,12)</f>
        <v>1</v>
      </c>
      <c r="F168" s="15" t="n">
        <f aca="false">IF(C168=$W$5,1,0)</f>
        <v>1</v>
      </c>
      <c r="G168" s="15" t="n">
        <f aca="false">IF(C168=10,0,IF(F168=1,1,G167))</f>
        <v>1</v>
      </c>
      <c r="H168" s="5" t="n">
        <f aca="false">VA_base_426_data!B168</f>
        <v>971.850821906195</v>
      </c>
      <c r="I168" s="5" t="n">
        <f aca="false">IF(AND(E168=1,OR(C168=4,C168=5)),25*12.1/24/D168*1000,0)</f>
        <v>0</v>
      </c>
      <c r="J168" s="5" t="n">
        <f aca="false">VA_base_426_data!C168</f>
        <v>900</v>
      </c>
      <c r="K168" s="5" t="n">
        <f aca="false">H168+I168-J168</f>
        <v>71.8508219061951</v>
      </c>
      <c r="L168" s="5" t="n">
        <f aca="false">MIN($W$7,J168+K168)</f>
        <v>971.850821906195</v>
      </c>
      <c r="M168" s="5" t="n">
        <f aca="false">VA_base_426_data!D168</f>
        <v>800</v>
      </c>
      <c r="N168" s="5" t="n">
        <f aca="false">IF(AND(C168=10,E168=1),$W$6,N167-P167)</f>
        <v>43</v>
      </c>
      <c r="O168" s="5" t="n">
        <f aca="false">IF(ABS(M168-L168)&gt;1,MIN(N168/((L168-M168)*24/12.1/1000),D168),D168)</f>
        <v>28</v>
      </c>
      <c r="P168" s="5" t="n">
        <f aca="false">MIN(IF(AND(G168,E168),(L168-M168)*24/12.1*O168/1000,0),N168)</f>
        <v>9.54411176206306</v>
      </c>
      <c r="Q168" s="5" t="n">
        <f aca="false">IF(P168&gt;0,P168/O168*12.1/24*1000+M168,0)</f>
        <v>971.850821906195</v>
      </c>
      <c r="R168" s="0" t="n">
        <f aca="false">IF(Q168&gt;0,TRUNC(O168),0)</f>
        <v>28</v>
      </c>
      <c r="S168" s="5" t="n">
        <f aca="false">(M168*(D168-R168)+(Q168*R168))/D168</f>
        <v>971.850821906195</v>
      </c>
      <c r="T168" s="6" t="n">
        <f aca="false">(Q168-M168)*R168*24/12.1/1000</f>
        <v>9.54411176206306</v>
      </c>
    </row>
    <row r="169" customFormat="false" ht="14.35" hidden="false" customHeight="false" outlineLevel="0" collapsed="false">
      <c r="A169" s="4" t="n">
        <v>12874</v>
      </c>
      <c r="B169" s="15" t="n">
        <f aca="false">IF(C169&lt;=9,YEAR(A169),YEAR(A169)+1)</f>
        <v>1935</v>
      </c>
      <c r="C169" s="15" t="n">
        <f aca="false">MONTH(A169)</f>
        <v>3</v>
      </c>
      <c r="D169" s="15" t="n">
        <f aca="false">DAY(A169)</f>
        <v>31</v>
      </c>
      <c r="E169" s="15" t="n">
        <f aca="false">VLOOKUP(B169,WYT!$A$2:$L$97,12)</f>
        <v>1</v>
      </c>
      <c r="F169" s="15" t="n">
        <f aca="false">IF(C169=$W$5,1,0)</f>
        <v>0</v>
      </c>
      <c r="G169" s="15" t="n">
        <f aca="false">IF(C169=10,0,IF(F169=1,1,G168))</f>
        <v>1</v>
      </c>
      <c r="H169" s="5" t="n">
        <f aca="false">VA_base_426_data!B169</f>
        <v>800</v>
      </c>
      <c r="I169" s="5" t="n">
        <f aca="false">IF(AND(E169=1,OR(C169=4,C169=5)),25*12.1/24/D169*1000,0)</f>
        <v>0</v>
      </c>
      <c r="J169" s="5" t="n">
        <f aca="false">VA_base_426_data!C169</f>
        <v>750</v>
      </c>
      <c r="K169" s="5" t="n">
        <f aca="false">H169+I169-J169</f>
        <v>50</v>
      </c>
      <c r="L169" s="5" t="n">
        <f aca="false">MIN($W$7,J169+K169)</f>
        <v>800</v>
      </c>
      <c r="M169" s="5" t="n">
        <f aca="false">VA_base_426_data!D169</f>
        <v>800</v>
      </c>
      <c r="N169" s="5" t="n">
        <f aca="false">IF(AND(C169=10,E169=1),$W$6,N168-P168)</f>
        <v>33.4558882379369</v>
      </c>
      <c r="O169" s="5" t="n">
        <f aca="false">IF(ABS(M169-L169)&gt;1,MIN(N169/((L169-M169)*24/12.1/1000),D169),D169)</f>
        <v>31</v>
      </c>
      <c r="P169" s="5" t="n">
        <f aca="false">MIN(IF(AND(G169,E169),(L169-M169)*24/12.1*O169/1000,0),N169)</f>
        <v>0</v>
      </c>
      <c r="Q169" s="5" t="n">
        <f aca="false">IF(P169&gt;0,P169/O169*12.1/24*1000+M169,0)</f>
        <v>0</v>
      </c>
      <c r="R169" s="0" t="n">
        <f aca="false">IF(Q169&gt;0,TRUNC(O169),0)</f>
        <v>0</v>
      </c>
      <c r="S169" s="5" t="n">
        <f aca="false">(M169*(D169-R169)+(Q169*R169))/D169</f>
        <v>800</v>
      </c>
      <c r="T169" s="6" t="n">
        <f aca="false">(Q169-M169)*R169*24/12.1/1000</f>
        <v>-0</v>
      </c>
    </row>
    <row r="170" customFormat="false" ht="14.35" hidden="false" customHeight="false" outlineLevel="0" collapsed="false">
      <c r="A170" s="4" t="n">
        <v>12904</v>
      </c>
      <c r="B170" s="15" t="n">
        <f aca="false">IF(C170&lt;=9,YEAR(A170),YEAR(A170)+1)</f>
        <v>1935</v>
      </c>
      <c r="C170" s="15" t="n">
        <f aca="false">MONTH(A170)</f>
        <v>4</v>
      </c>
      <c r="D170" s="15" t="n">
        <f aca="false">DAY(A170)</f>
        <v>30</v>
      </c>
      <c r="E170" s="15" t="n">
        <f aca="false">VLOOKUP(B170,WYT!$A$2:$L$97,12)</f>
        <v>1</v>
      </c>
      <c r="F170" s="15" t="n">
        <f aca="false">IF(C170=$W$5,1,0)</f>
        <v>0</v>
      </c>
      <c r="G170" s="15" t="n">
        <f aca="false">IF(C170=10,0,IF(F170=1,1,G169))</f>
        <v>1</v>
      </c>
      <c r="H170" s="5" t="n">
        <f aca="false">VA_base_426_data!B170</f>
        <v>1000</v>
      </c>
      <c r="I170" s="5" t="n">
        <f aca="false">IF(AND(E170=1,OR(C170=4,C170=5)),25*12.1/24/D170*1000,0)</f>
        <v>420.138888888889</v>
      </c>
      <c r="J170" s="5" t="n">
        <f aca="false">VA_base_426_data!C170</f>
        <v>1000</v>
      </c>
      <c r="K170" s="5" t="n">
        <f aca="false">H170+I170-J170</f>
        <v>420.138888888889</v>
      </c>
      <c r="L170" s="5" t="n">
        <f aca="false">MIN($W$7,J170+K170)</f>
        <v>1420.13888888889</v>
      </c>
      <c r="M170" s="5" t="n">
        <f aca="false">VA_base_426_data!D170</f>
        <v>700</v>
      </c>
      <c r="N170" s="5" t="n">
        <f aca="false">IF(AND(C170=10,E170=1),$W$6,N169-P169)</f>
        <v>33.4558882379369</v>
      </c>
      <c r="O170" s="5" t="n">
        <f aca="false">IF(ABS(M170-L170)&gt;1,MIN(N170/((L170-M170)*24/12.1/1000),D170),D170)</f>
        <v>23.4223479852866</v>
      </c>
      <c r="P170" s="5" t="n">
        <f aca="false">MIN(IF(AND(G170,E170),(L170-M170)*24/12.1*O170/1000,0),N170)</f>
        <v>33.4558882379369</v>
      </c>
      <c r="Q170" s="5" t="n">
        <f aca="false">IF(P170&gt;0,P170/O170*12.1/24*1000+M170,0)</f>
        <v>1420.13888888889</v>
      </c>
      <c r="R170" s="0" t="n">
        <f aca="false">IF(Q170&gt;0,TRUNC(O170),0)</f>
        <v>23</v>
      </c>
      <c r="S170" s="5" t="n">
        <f aca="false">(M170*(D170-R170)+(Q170*R170))/D170</f>
        <v>1252.10648148148</v>
      </c>
      <c r="T170" s="6" t="n">
        <f aca="false">(Q170-M170)*R170*24/12.1/1000</f>
        <v>32.8526170798898</v>
      </c>
    </row>
    <row r="171" customFormat="false" ht="14.35" hidden="false" customHeight="false" outlineLevel="0" collapsed="false">
      <c r="A171" s="4" t="n">
        <v>12935</v>
      </c>
      <c r="B171" s="15" t="n">
        <f aca="false">IF(C171&lt;=9,YEAR(A171),YEAR(A171)+1)</f>
        <v>1935</v>
      </c>
      <c r="C171" s="15" t="n">
        <f aca="false">MONTH(A171)</f>
        <v>5</v>
      </c>
      <c r="D171" s="15" t="n">
        <f aca="false">DAY(A171)</f>
        <v>31</v>
      </c>
      <c r="E171" s="15" t="n">
        <f aca="false">VLOOKUP(B171,WYT!$A$2:$L$97,12)</f>
        <v>1</v>
      </c>
      <c r="F171" s="15" t="n">
        <f aca="false">IF(C171=$W$5,1,0)</f>
        <v>0</v>
      </c>
      <c r="G171" s="15" t="n">
        <f aca="false">IF(C171=10,0,IF(F171=1,1,G170))</f>
        <v>1</v>
      </c>
      <c r="H171" s="5" t="n">
        <f aca="false">VA_base_426_data!B171</f>
        <v>1000</v>
      </c>
      <c r="I171" s="5" t="n">
        <f aca="false">IF(AND(E171=1,OR(C171=4,C171=5)),25*12.1/24/D171*1000,0)</f>
        <v>406.586021505376</v>
      </c>
      <c r="J171" s="5" t="n">
        <f aca="false">VA_base_426_data!C171</f>
        <v>1000</v>
      </c>
      <c r="K171" s="5" t="n">
        <f aca="false">H171+I171-J171</f>
        <v>406.586021505376</v>
      </c>
      <c r="L171" s="5" t="n">
        <f aca="false">MIN($W$7,J171+K171)</f>
        <v>1406.58602150538</v>
      </c>
      <c r="M171" s="5" t="n">
        <f aca="false">VA_base_426_data!D171</f>
        <v>700</v>
      </c>
      <c r="N171" s="5" t="n">
        <f aca="false">IF(AND(C171=10,E171=1),$W$6,N170-P170)</f>
        <v>0</v>
      </c>
      <c r="O171" s="5" t="n">
        <f aca="false">IF(ABS(M171-L171)&gt;1,MIN(N171/((L171-M171)*24/12.1/1000),D171),D171)</f>
        <v>0</v>
      </c>
      <c r="P171" s="5" t="n">
        <f aca="false">MIN(IF(AND(G171,E171),(L171-M171)*24/12.1*O171/1000,0),N171)</f>
        <v>0</v>
      </c>
      <c r="Q171" s="5" t="n">
        <f aca="false">IF(P171&gt;0,P171/O171*12.1/24*1000+M171,0)</f>
        <v>0</v>
      </c>
      <c r="R171" s="0" t="n">
        <f aca="false">IF(Q171&gt;0,TRUNC(O171),0)</f>
        <v>0</v>
      </c>
      <c r="S171" s="5" t="n">
        <f aca="false">(M171*(D171-R171)+(Q171*R171))/D171</f>
        <v>700</v>
      </c>
      <c r="T171" s="6" t="n">
        <f aca="false">(Q171-M171)*R171*24/12.1/1000</f>
        <v>-0</v>
      </c>
    </row>
    <row r="172" customFormat="false" ht="14.35" hidden="false" customHeight="false" outlineLevel="0" collapsed="false">
      <c r="A172" s="4" t="n">
        <v>12965</v>
      </c>
      <c r="B172" s="15" t="n">
        <f aca="false">IF(C172&lt;=9,YEAR(A172),YEAR(A172)+1)</f>
        <v>1935</v>
      </c>
      <c r="C172" s="15" t="n">
        <f aca="false">MONTH(A172)</f>
        <v>6</v>
      </c>
      <c r="D172" s="15" t="n">
        <f aca="false">DAY(A172)</f>
        <v>30</v>
      </c>
      <c r="E172" s="15" t="n">
        <f aca="false">VLOOKUP(B172,WYT!$A$2:$L$97,12)</f>
        <v>1</v>
      </c>
      <c r="F172" s="15" t="n">
        <f aca="false">IF(C172=$W$5,1,0)</f>
        <v>0</v>
      </c>
      <c r="G172" s="15" t="n">
        <f aca="false">IF(C172=10,0,IF(F172=1,1,G171))</f>
        <v>1</v>
      </c>
      <c r="H172" s="5" t="n">
        <f aca="false">VA_base_426_data!B172</f>
        <v>2152.08851470146</v>
      </c>
      <c r="I172" s="5" t="n">
        <f aca="false">IF(AND(E172=1,OR(C172=4,C172=5)),25*12.1/24/D172*1000,0)</f>
        <v>0</v>
      </c>
      <c r="J172" s="5" t="n">
        <f aca="false">VA_base_426_data!C172</f>
        <v>1000</v>
      </c>
      <c r="K172" s="5" t="n">
        <f aca="false">H172+I172-J172</f>
        <v>1152.08851470146</v>
      </c>
      <c r="L172" s="5" t="n">
        <f aca="false">MIN($W$7,J172+K172)</f>
        <v>2000</v>
      </c>
      <c r="M172" s="5" t="n">
        <f aca="false">VA_base_426_data!D172</f>
        <v>700</v>
      </c>
      <c r="N172" s="5" t="n">
        <f aca="false">IF(AND(C172=10,E172=1),$W$6,N171-P171)</f>
        <v>0</v>
      </c>
      <c r="O172" s="5" t="n">
        <f aca="false">IF(ABS(M172-L172)&gt;1,MIN(N172/((L172-M172)*24/12.1/1000),D172),D172)</f>
        <v>0</v>
      </c>
      <c r="P172" s="5" t="n">
        <f aca="false">MIN(IF(AND(G172,E172),(L172-M172)*24/12.1*O172/1000,0),N172)</f>
        <v>0</v>
      </c>
      <c r="Q172" s="5" t="n">
        <f aca="false">IF(P172&gt;0,P172/O172*12.1/24*1000+M172,0)</f>
        <v>0</v>
      </c>
      <c r="R172" s="0" t="n">
        <f aca="false">IF(Q172&gt;0,TRUNC(O172),0)</f>
        <v>0</v>
      </c>
      <c r="S172" s="5" t="n">
        <f aca="false">(M172*(D172-R172)+(Q172*R172))/D172</f>
        <v>700</v>
      </c>
      <c r="T172" s="6" t="n">
        <f aca="false">(Q172-M172)*R172*24/12.1/1000</f>
        <v>-0</v>
      </c>
    </row>
    <row r="173" customFormat="false" ht="14.35" hidden="false" customHeight="false" outlineLevel="0" collapsed="false">
      <c r="A173" s="4" t="n">
        <v>12996</v>
      </c>
      <c r="B173" s="15" t="n">
        <f aca="false">IF(C173&lt;=9,YEAR(A173),YEAR(A173)+1)</f>
        <v>1935</v>
      </c>
      <c r="C173" s="15" t="n">
        <f aca="false">MONTH(A173)</f>
        <v>7</v>
      </c>
      <c r="D173" s="15" t="n">
        <f aca="false">DAY(A173)</f>
        <v>31</v>
      </c>
      <c r="E173" s="15" t="n">
        <f aca="false">VLOOKUP(B173,WYT!$A$2:$L$97,12)</f>
        <v>1</v>
      </c>
      <c r="F173" s="15" t="n">
        <f aca="false">IF(C173=$W$5,1,0)</f>
        <v>0</v>
      </c>
      <c r="G173" s="15" t="n">
        <f aca="false">IF(C173=10,0,IF(F173=1,1,G172))</f>
        <v>1</v>
      </c>
      <c r="H173" s="5" t="n">
        <f aca="false">VA_base_426_data!B173</f>
        <v>8194.40785203873</v>
      </c>
      <c r="I173" s="5" t="n">
        <f aca="false">IF(AND(E173=1,OR(C173=4,C173=5)),25*12.1/24/D173*1000,0)</f>
        <v>0</v>
      </c>
      <c r="J173" s="5" t="n">
        <f aca="false">VA_base_426_data!C173</f>
        <v>1000</v>
      </c>
      <c r="K173" s="5" t="n">
        <f aca="false">H173+I173-J173</f>
        <v>7194.40785203873</v>
      </c>
      <c r="L173" s="5" t="n">
        <f aca="false">MIN($W$7,J173+K173)</f>
        <v>2000</v>
      </c>
      <c r="M173" s="5" t="n">
        <f aca="false">VA_base_426_data!D173</f>
        <v>700</v>
      </c>
      <c r="N173" s="5" t="n">
        <f aca="false">IF(AND(C173=10,E173=1),$W$6,N172-P172)</f>
        <v>0</v>
      </c>
      <c r="O173" s="5" t="n">
        <f aca="false">IF(ABS(M173-L173)&gt;1,MIN(N173/((L173-M173)*24/12.1/1000),D173),D173)</f>
        <v>0</v>
      </c>
      <c r="P173" s="5" t="n">
        <f aca="false">MIN(IF(AND(G173,E173),(L173-M173)*24/12.1*O173/1000,0),N173)</f>
        <v>0</v>
      </c>
      <c r="Q173" s="5" t="n">
        <f aca="false">IF(P173&gt;0,P173/O173*12.1/24*1000+M173,0)</f>
        <v>0</v>
      </c>
      <c r="R173" s="0" t="n">
        <f aca="false">IF(Q173&gt;0,TRUNC(O173),0)</f>
        <v>0</v>
      </c>
      <c r="S173" s="5" t="n">
        <f aca="false">(M173*(D173-R173)+(Q173*R173))/D173</f>
        <v>700</v>
      </c>
      <c r="T173" s="6" t="n">
        <f aca="false">(Q173-M173)*R173*24/12.1/1000</f>
        <v>-0</v>
      </c>
    </row>
    <row r="174" customFormat="false" ht="14.35" hidden="false" customHeight="false" outlineLevel="0" collapsed="false">
      <c r="A174" s="4" t="n">
        <v>13027</v>
      </c>
      <c r="B174" s="15" t="n">
        <f aca="false">IF(C174&lt;=9,YEAR(A174),YEAR(A174)+1)</f>
        <v>1935</v>
      </c>
      <c r="C174" s="15" t="n">
        <f aca="false">MONTH(A174)</f>
        <v>8</v>
      </c>
      <c r="D174" s="15" t="n">
        <f aca="false">DAY(A174)</f>
        <v>31</v>
      </c>
      <c r="E174" s="15" t="n">
        <f aca="false">VLOOKUP(B174,WYT!$A$2:$L$97,12)</f>
        <v>1</v>
      </c>
      <c r="F174" s="15" t="n">
        <f aca="false">IF(C174=$W$5,1,0)</f>
        <v>0</v>
      </c>
      <c r="G174" s="15" t="n">
        <f aca="false">IF(C174=10,0,IF(F174=1,1,G173))</f>
        <v>1</v>
      </c>
      <c r="H174" s="5" t="n">
        <f aca="false">VA_base_426_data!B174</f>
        <v>7792.23568642189</v>
      </c>
      <c r="I174" s="5" t="n">
        <f aca="false">IF(AND(E174=1,OR(C174=4,C174=5)),25*12.1/24/D174*1000,0)</f>
        <v>0</v>
      </c>
      <c r="J174" s="5" t="n">
        <f aca="false">VA_base_426_data!C174</f>
        <v>1000</v>
      </c>
      <c r="K174" s="5" t="n">
        <f aca="false">H174+I174-J174</f>
        <v>6792.23568642189</v>
      </c>
      <c r="L174" s="5" t="n">
        <f aca="false">MIN($W$7,J174+K174)</f>
        <v>2000</v>
      </c>
      <c r="M174" s="5" t="n">
        <f aca="false">VA_base_426_data!D174</f>
        <v>700</v>
      </c>
      <c r="N174" s="5" t="n">
        <f aca="false">IF(AND(C174=10,E174=1),$W$6,N173-P173)</f>
        <v>0</v>
      </c>
      <c r="O174" s="5" t="n">
        <f aca="false">IF(ABS(M174-L174)&gt;1,MIN(N174/((L174-M174)*24/12.1/1000),D174),D174)</f>
        <v>0</v>
      </c>
      <c r="P174" s="5" t="n">
        <f aca="false">MIN(IF(AND(G174,E174),(L174-M174)*24/12.1*O174/1000,0),N174)</f>
        <v>0</v>
      </c>
      <c r="Q174" s="5" t="n">
        <f aca="false">IF(P174&gt;0,P174/O174*12.1/24*1000+M174,0)</f>
        <v>0</v>
      </c>
      <c r="R174" s="0" t="n">
        <f aca="false">IF(Q174&gt;0,TRUNC(O174),0)</f>
        <v>0</v>
      </c>
      <c r="S174" s="5" t="n">
        <f aca="false">(M174*(D174-R174)+(Q174*R174))/D174</f>
        <v>700</v>
      </c>
      <c r="T174" s="6" t="n">
        <f aca="false">(Q174-M174)*R174*24/12.1/1000</f>
        <v>-0</v>
      </c>
    </row>
    <row r="175" customFormat="false" ht="14.35" hidden="false" customHeight="false" outlineLevel="0" collapsed="false">
      <c r="A175" s="4" t="n">
        <v>13057</v>
      </c>
      <c r="B175" s="15" t="n">
        <f aca="false">IF(C175&lt;=9,YEAR(A175),YEAR(A175)+1)</f>
        <v>1935</v>
      </c>
      <c r="C175" s="15" t="n">
        <f aca="false">MONTH(A175)</f>
        <v>9</v>
      </c>
      <c r="D175" s="15" t="n">
        <f aca="false">DAY(A175)</f>
        <v>30</v>
      </c>
      <c r="E175" s="15" t="n">
        <f aca="false">VLOOKUP(B175,WYT!$A$2:$L$97,12)</f>
        <v>1</v>
      </c>
      <c r="F175" s="15" t="n">
        <f aca="false">IF(C175=$W$5,1,0)</f>
        <v>0</v>
      </c>
      <c r="G175" s="15" t="n">
        <f aca="false">IF(C175=10,0,IF(F175=1,1,G174))</f>
        <v>1</v>
      </c>
      <c r="H175" s="5" t="n">
        <f aca="false">VA_base_426_data!B175</f>
        <v>1498.41578311714</v>
      </c>
      <c r="I175" s="5" t="n">
        <f aca="false">IF(AND(E175=1,OR(C175=4,C175=5)),25*12.1/24/D175*1000,0)</f>
        <v>0</v>
      </c>
      <c r="J175" s="5" t="n">
        <f aca="false">VA_base_426_data!C175</f>
        <v>1000</v>
      </c>
      <c r="K175" s="5" t="n">
        <f aca="false">H175+I175-J175</f>
        <v>498.415783117137</v>
      </c>
      <c r="L175" s="5" t="n">
        <f aca="false">MIN($W$7,J175+K175)</f>
        <v>1498.41578311714</v>
      </c>
      <c r="M175" s="5" t="n">
        <f aca="false">VA_base_426_data!D175</f>
        <v>773.3333333</v>
      </c>
      <c r="N175" s="5" t="n">
        <f aca="false">IF(AND(C175=10,E175=1),$W$6,N174-P174)</f>
        <v>0</v>
      </c>
      <c r="O175" s="5" t="n">
        <f aca="false">IF(ABS(M175-L175)&gt;1,MIN(N175/((L175-M175)*24/12.1/1000),D175),D175)</f>
        <v>0</v>
      </c>
      <c r="P175" s="5" t="n">
        <f aca="false">MIN(IF(AND(G175,E175),(L175-M175)*24/12.1*O175/1000,0),N175)</f>
        <v>0</v>
      </c>
      <c r="Q175" s="5" t="n">
        <f aca="false">IF(P175&gt;0,P175/O175*12.1/24*1000+M175,0)</f>
        <v>0</v>
      </c>
      <c r="R175" s="0" t="n">
        <f aca="false">IF(Q175&gt;0,TRUNC(O175),0)</f>
        <v>0</v>
      </c>
      <c r="S175" s="5" t="n">
        <f aca="false">(M175*(D175-R175)+(Q175*R175))/D175</f>
        <v>773.3333333</v>
      </c>
      <c r="T175" s="6" t="n">
        <f aca="false">(Q175-M175)*R175*24/12.1/1000</f>
        <v>-0</v>
      </c>
    </row>
    <row r="176" customFormat="false" ht="14.35" hidden="false" customHeight="false" outlineLevel="0" collapsed="false">
      <c r="A176" s="4" t="n">
        <v>13088</v>
      </c>
      <c r="B176" s="15" t="n">
        <f aca="false">IF(C176&lt;=9,YEAR(A176),YEAR(A176)+1)</f>
        <v>1936</v>
      </c>
      <c r="C176" s="15" t="n">
        <f aca="false">MONTH(A176)</f>
        <v>10</v>
      </c>
      <c r="D176" s="15" t="n">
        <f aca="false">DAY(A176)</f>
        <v>31</v>
      </c>
      <c r="E176" s="15" t="n">
        <f aca="false">VLOOKUP(B176,WYT!$A$2:$L$97,12)</f>
        <v>1</v>
      </c>
      <c r="F176" s="15" t="n">
        <f aca="false">IF(C176=$W$5,1,0)</f>
        <v>0</v>
      </c>
      <c r="G176" s="15" t="n">
        <f aca="false">IF(C176=10,0,IF(F176=1,1,G175))</f>
        <v>0</v>
      </c>
      <c r="H176" s="5" t="n">
        <f aca="false">VA_base_426_data!B176</f>
        <v>1700</v>
      </c>
      <c r="I176" s="5" t="n">
        <f aca="false">IF(AND(E176=1,OR(C176=4,C176=5)),25*12.1/24/D176*1000,0)</f>
        <v>0</v>
      </c>
      <c r="J176" s="5" t="n">
        <f aca="false">VA_base_426_data!C176</f>
        <v>1700</v>
      </c>
      <c r="K176" s="5" t="n">
        <f aca="false">H176+I176-J176</f>
        <v>0</v>
      </c>
      <c r="L176" s="5" t="n">
        <f aca="false">MIN($W$7,J176+K176)</f>
        <v>1700</v>
      </c>
      <c r="M176" s="5" t="n">
        <f aca="false">VA_base_426_data!D176</f>
        <v>800</v>
      </c>
      <c r="N176" s="5" t="n">
        <f aca="false">IF(AND(C176=10,E176=1),$W$6,N175-P175)</f>
        <v>43</v>
      </c>
      <c r="O176" s="5" t="n">
        <f aca="false">IF(ABS(M176-L176)&gt;1,MIN(N176/((L176-M176)*24/12.1/1000),D176),D176)</f>
        <v>24.087962962963</v>
      </c>
      <c r="P176" s="5" t="n">
        <f aca="false">MIN(IF(AND(G176,E176),(L176-M176)*24/12.1*O176/1000,0),N176)</f>
        <v>0</v>
      </c>
      <c r="Q176" s="5" t="n">
        <f aca="false">IF(P176&gt;0,P176/O176*12.1/24*1000+M176,0)</f>
        <v>0</v>
      </c>
      <c r="R176" s="0" t="n">
        <f aca="false">IF(Q176&gt;0,TRUNC(O176),0)</f>
        <v>0</v>
      </c>
      <c r="S176" s="5" t="n">
        <f aca="false">(M176*(D176-R176)+(Q176*R176))/D176</f>
        <v>800</v>
      </c>
      <c r="T176" s="6" t="n">
        <f aca="false">(Q176-M176)*R176*24/12.1/1000</f>
        <v>-0</v>
      </c>
    </row>
    <row r="177" customFormat="false" ht="14.35" hidden="false" customHeight="false" outlineLevel="0" collapsed="false">
      <c r="A177" s="4" t="n">
        <v>13118</v>
      </c>
      <c r="B177" s="15" t="n">
        <f aca="false">IF(C177&lt;=9,YEAR(A177),YEAR(A177)+1)</f>
        <v>1936</v>
      </c>
      <c r="C177" s="15" t="n">
        <f aca="false">MONTH(A177)</f>
        <v>11</v>
      </c>
      <c r="D177" s="15" t="n">
        <f aca="false">DAY(A177)</f>
        <v>30</v>
      </c>
      <c r="E177" s="15" t="n">
        <f aca="false">VLOOKUP(B177,WYT!$A$2:$L$97,12)</f>
        <v>1</v>
      </c>
      <c r="F177" s="15" t="n">
        <f aca="false">IF(C177=$W$5,1,0)</f>
        <v>0</v>
      </c>
      <c r="G177" s="15" t="n">
        <f aca="false">IF(C177=10,0,IF(F177=1,1,G176))</f>
        <v>0</v>
      </c>
      <c r="H177" s="5" t="n">
        <f aca="false">VA_base_426_data!B177</f>
        <v>1700</v>
      </c>
      <c r="I177" s="5" t="n">
        <f aca="false">IF(AND(E177=1,OR(C177=4,C177=5)),25*12.1/24/D177*1000,0)</f>
        <v>0</v>
      </c>
      <c r="J177" s="5" t="n">
        <f aca="false">VA_base_426_data!C177</f>
        <v>1700</v>
      </c>
      <c r="K177" s="5" t="n">
        <f aca="false">H177+I177-J177</f>
        <v>0</v>
      </c>
      <c r="L177" s="5" t="n">
        <f aca="false">MIN($W$7,J177+K177)</f>
        <v>1700</v>
      </c>
      <c r="M177" s="5" t="n">
        <f aca="false">VA_base_426_data!D177</f>
        <v>800</v>
      </c>
      <c r="N177" s="5" t="n">
        <f aca="false">IF(AND(C177=10,E177=1),$W$6,N176-P176)</f>
        <v>43</v>
      </c>
      <c r="O177" s="5" t="n">
        <f aca="false">IF(ABS(M177-L177)&gt;1,MIN(N177/((L177-M177)*24/12.1/1000),D177),D177)</f>
        <v>24.087962962963</v>
      </c>
      <c r="P177" s="5" t="n">
        <f aca="false">MIN(IF(AND(G177,E177),(L177-M177)*24/12.1*O177/1000,0),N177)</f>
        <v>0</v>
      </c>
      <c r="Q177" s="5" t="n">
        <f aca="false">IF(P177&gt;0,P177/O177*12.1/24*1000+M177,0)</f>
        <v>0</v>
      </c>
      <c r="R177" s="0" t="n">
        <f aca="false">IF(Q177&gt;0,TRUNC(O177),0)</f>
        <v>0</v>
      </c>
      <c r="S177" s="5" t="n">
        <f aca="false">(M177*(D177-R177)+(Q177*R177))/D177</f>
        <v>800</v>
      </c>
      <c r="T177" s="6" t="n">
        <f aca="false">(Q177-M177)*R177*24/12.1/1000</f>
        <v>-0</v>
      </c>
    </row>
    <row r="178" customFormat="false" ht="14.35" hidden="false" customHeight="false" outlineLevel="0" collapsed="false">
      <c r="A178" s="4" t="n">
        <v>13149</v>
      </c>
      <c r="B178" s="15" t="n">
        <f aca="false">IF(C178&lt;=9,YEAR(A178),YEAR(A178)+1)</f>
        <v>1936</v>
      </c>
      <c r="C178" s="15" t="n">
        <f aca="false">MONTH(A178)</f>
        <v>12</v>
      </c>
      <c r="D178" s="15" t="n">
        <f aca="false">DAY(A178)</f>
        <v>31</v>
      </c>
      <c r="E178" s="15" t="n">
        <f aca="false">VLOOKUP(B178,WYT!$A$2:$L$97,12)</f>
        <v>1</v>
      </c>
      <c r="F178" s="15" t="n">
        <f aca="false">IF(C178=$W$5,1,0)</f>
        <v>0</v>
      </c>
      <c r="G178" s="15" t="n">
        <f aca="false">IF(C178=10,0,IF(F178=1,1,G177))</f>
        <v>0</v>
      </c>
      <c r="H178" s="5" t="n">
        <f aca="false">VA_base_426_data!B178</f>
        <v>1700</v>
      </c>
      <c r="I178" s="5" t="n">
        <f aca="false">IF(AND(E178=1,OR(C178=4,C178=5)),25*12.1/24/D178*1000,0)</f>
        <v>0</v>
      </c>
      <c r="J178" s="5" t="n">
        <f aca="false">VA_base_426_data!C178</f>
        <v>1700</v>
      </c>
      <c r="K178" s="5" t="n">
        <f aca="false">H178+I178-J178</f>
        <v>0</v>
      </c>
      <c r="L178" s="5" t="n">
        <f aca="false">MIN($W$7,J178+K178)</f>
        <v>1700</v>
      </c>
      <c r="M178" s="5" t="n">
        <f aca="false">VA_base_426_data!D178</f>
        <v>800</v>
      </c>
      <c r="N178" s="5" t="n">
        <f aca="false">IF(AND(C178=10,E178=1),$W$6,N177-P177)</f>
        <v>43</v>
      </c>
      <c r="O178" s="5" t="n">
        <f aca="false">IF(ABS(M178-L178)&gt;1,MIN(N178/((L178-M178)*24/12.1/1000),D178),D178)</f>
        <v>24.087962962963</v>
      </c>
      <c r="P178" s="5" t="n">
        <f aca="false">MIN(IF(AND(G178,E178),(L178-M178)*24/12.1*O178/1000,0),N178)</f>
        <v>0</v>
      </c>
      <c r="Q178" s="5" t="n">
        <f aca="false">IF(P178&gt;0,P178/O178*12.1/24*1000+M178,0)</f>
        <v>0</v>
      </c>
      <c r="R178" s="0" t="n">
        <f aca="false">IF(Q178&gt;0,TRUNC(O178),0)</f>
        <v>0</v>
      </c>
      <c r="S178" s="5" t="n">
        <f aca="false">(M178*(D178-R178)+(Q178*R178))/D178</f>
        <v>800</v>
      </c>
      <c r="T178" s="6" t="n">
        <f aca="false">(Q178-M178)*R178*24/12.1/1000</f>
        <v>-0</v>
      </c>
    </row>
    <row r="179" customFormat="false" ht="14.35" hidden="false" customHeight="false" outlineLevel="0" collapsed="false">
      <c r="A179" s="4" t="n">
        <v>13180</v>
      </c>
      <c r="B179" s="15" t="n">
        <f aca="false">IF(C179&lt;=9,YEAR(A179),YEAR(A179)+1)</f>
        <v>1936</v>
      </c>
      <c r="C179" s="15" t="n">
        <f aca="false">MONTH(A179)</f>
        <v>1</v>
      </c>
      <c r="D179" s="15" t="n">
        <f aca="false">DAY(A179)</f>
        <v>31</v>
      </c>
      <c r="E179" s="15" t="n">
        <f aca="false">VLOOKUP(B179,WYT!$A$2:$L$97,12)</f>
        <v>1</v>
      </c>
      <c r="F179" s="15" t="n">
        <f aca="false">IF(C179=$W$5,1,0)</f>
        <v>0</v>
      </c>
      <c r="G179" s="15" t="n">
        <f aca="false">IF(C179=10,0,IF(F179=1,1,G178))</f>
        <v>0</v>
      </c>
      <c r="H179" s="5" t="n">
        <f aca="false">VA_base_426_data!B179</f>
        <v>1700</v>
      </c>
      <c r="I179" s="5" t="n">
        <f aca="false">IF(AND(E179=1,OR(C179=4,C179=5)),25*12.1/24/D179*1000,0)</f>
        <v>0</v>
      </c>
      <c r="J179" s="5" t="n">
        <f aca="false">VA_base_426_data!C179</f>
        <v>1700</v>
      </c>
      <c r="K179" s="5" t="n">
        <f aca="false">H179+I179-J179</f>
        <v>0</v>
      </c>
      <c r="L179" s="5" t="n">
        <f aca="false">MIN($W$7,J179+K179)</f>
        <v>1700</v>
      </c>
      <c r="M179" s="5" t="n">
        <f aca="false">VA_base_426_data!D179</f>
        <v>800</v>
      </c>
      <c r="N179" s="5" t="n">
        <f aca="false">IF(AND(C179=10,E179=1),$W$6,N178-P178)</f>
        <v>43</v>
      </c>
      <c r="O179" s="5" t="n">
        <f aca="false">IF(ABS(M179-L179)&gt;1,MIN(N179/((L179-M179)*24/12.1/1000),D179),D179)</f>
        <v>24.087962962963</v>
      </c>
      <c r="P179" s="5" t="n">
        <f aca="false">MIN(IF(AND(G179,E179),(L179-M179)*24/12.1*O179/1000,0),N179)</f>
        <v>0</v>
      </c>
      <c r="Q179" s="5" t="n">
        <f aca="false">IF(P179&gt;0,P179/O179*12.1/24*1000+M179,0)</f>
        <v>0</v>
      </c>
      <c r="R179" s="0" t="n">
        <f aca="false">IF(Q179&gt;0,TRUNC(O179),0)</f>
        <v>0</v>
      </c>
      <c r="S179" s="5" t="n">
        <f aca="false">(M179*(D179-R179)+(Q179*R179))/D179</f>
        <v>800</v>
      </c>
      <c r="T179" s="6" t="n">
        <f aca="false">(Q179-M179)*R179*24/12.1/1000</f>
        <v>-0</v>
      </c>
    </row>
    <row r="180" customFormat="false" ht="14.35" hidden="false" customHeight="false" outlineLevel="0" collapsed="false">
      <c r="A180" s="4" t="n">
        <v>13209</v>
      </c>
      <c r="B180" s="15" t="n">
        <f aca="false">IF(C180&lt;=9,YEAR(A180),YEAR(A180)+1)</f>
        <v>1936</v>
      </c>
      <c r="C180" s="15" t="n">
        <f aca="false">MONTH(A180)</f>
        <v>2</v>
      </c>
      <c r="D180" s="15" t="n">
        <f aca="false">DAY(A180)</f>
        <v>29</v>
      </c>
      <c r="E180" s="15" t="n">
        <f aca="false">VLOOKUP(B180,WYT!$A$2:$L$97,12)</f>
        <v>1</v>
      </c>
      <c r="F180" s="15" t="n">
        <f aca="false">IF(C180=$W$5,1,0)</f>
        <v>1</v>
      </c>
      <c r="G180" s="15" t="n">
        <f aca="false">IF(C180=10,0,IF(F180=1,1,G179))</f>
        <v>1</v>
      </c>
      <c r="H180" s="5" t="n">
        <f aca="false">VA_base_426_data!B180</f>
        <v>1700</v>
      </c>
      <c r="I180" s="5" t="n">
        <f aca="false">IF(AND(E180=1,OR(C180=4,C180=5)),25*12.1/24/D180*1000,0)</f>
        <v>0</v>
      </c>
      <c r="J180" s="5" t="n">
        <f aca="false">VA_base_426_data!C180</f>
        <v>1700</v>
      </c>
      <c r="K180" s="5" t="n">
        <f aca="false">H180+I180-J180</f>
        <v>0</v>
      </c>
      <c r="L180" s="5" t="n">
        <f aca="false">MIN($W$7,J180+K180)</f>
        <v>1700</v>
      </c>
      <c r="M180" s="5" t="n">
        <f aca="false">VA_base_426_data!D180</f>
        <v>800</v>
      </c>
      <c r="N180" s="5" t="n">
        <f aca="false">IF(AND(C180=10,E180=1),$W$6,N179-P179)</f>
        <v>43</v>
      </c>
      <c r="O180" s="5" t="n">
        <f aca="false">IF(ABS(M180-L180)&gt;1,MIN(N180/((L180-M180)*24/12.1/1000),D180),D180)</f>
        <v>24.087962962963</v>
      </c>
      <c r="P180" s="5" t="n">
        <f aca="false">MIN(IF(AND(G180,E180),(L180-M180)*24/12.1*O180/1000,0),N180)</f>
        <v>43</v>
      </c>
      <c r="Q180" s="5" t="n">
        <f aca="false">IF(P180&gt;0,P180/O180*12.1/24*1000+M180,0)</f>
        <v>1700</v>
      </c>
      <c r="R180" s="0" t="n">
        <f aca="false">IF(Q180&gt;0,TRUNC(O180),0)</f>
        <v>24</v>
      </c>
      <c r="S180" s="5" t="n">
        <f aca="false">(M180*(D180-R180)+(Q180*R180))/D180</f>
        <v>1544.8275862069</v>
      </c>
      <c r="T180" s="6" t="n">
        <f aca="false">(Q180-M180)*R180*24/12.1/1000</f>
        <v>42.8429752066116</v>
      </c>
    </row>
    <row r="181" customFormat="false" ht="14.35" hidden="false" customHeight="false" outlineLevel="0" collapsed="false">
      <c r="A181" s="4" t="n">
        <v>13240</v>
      </c>
      <c r="B181" s="15" t="n">
        <f aca="false">IF(C181&lt;=9,YEAR(A181),YEAR(A181)+1)</f>
        <v>1936</v>
      </c>
      <c r="C181" s="15" t="n">
        <f aca="false">MONTH(A181)</f>
        <v>3</v>
      </c>
      <c r="D181" s="15" t="n">
        <f aca="false">DAY(A181)</f>
        <v>31</v>
      </c>
      <c r="E181" s="15" t="n">
        <f aca="false">VLOOKUP(B181,WYT!$A$2:$L$97,12)</f>
        <v>1</v>
      </c>
      <c r="F181" s="15" t="n">
        <f aca="false">IF(C181=$W$5,1,0)</f>
        <v>0</v>
      </c>
      <c r="G181" s="15" t="n">
        <f aca="false">IF(C181=10,0,IF(F181=1,1,G180))</f>
        <v>1</v>
      </c>
      <c r="H181" s="5" t="n">
        <f aca="false">VA_base_426_data!B181</f>
        <v>1700</v>
      </c>
      <c r="I181" s="5" t="n">
        <f aca="false">IF(AND(E181=1,OR(C181=4,C181=5)),25*12.1/24/D181*1000,0)</f>
        <v>0</v>
      </c>
      <c r="J181" s="5" t="n">
        <f aca="false">VA_base_426_data!C181</f>
        <v>1700</v>
      </c>
      <c r="K181" s="5" t="n">
        <f aca="false">H181+I181-J181</f>
        <v>0</v>
      </c>
      <c r="L181" s="5" t="n">
        <f aca="false">MIN($W$7,J181+K181)</f>
        <v>1700</v>
      </c>
      <c r="M181" s="5" t="n">
        <f aca="false">VA_base_426_data!D181</f>
        <v>800</v>
      </c>
      <c r="N181" s="5" t="n">
        <f aca="false">IF(AND(C181=10,E181=1),$W$6,N180-P180)</f>
        <v>0</v>
      </c>
      <c r="O181" s="5" t="n">
        <f aca="false">IF(ABS(M181-L181)&gt;1,MIN(N181/((L181-M181)*24/12.1/1000),D181),D181)</f>
        <v>0</v>
      </c>
      <c r="P181" s="5" t="n">
        <f aca="false">MIN(IF(AND(G181,E181),(L181-M181)*24/12.1*O181/1000,0),N181)</f>
        <v>0</v>
      </c>
      <c r="Q181" s="5" t="n">
        <f aca="false">IF(P181&gt;0,P181/O181*12.1/24*1000+M181,0)</f>
        <v>0</v>
      </c>
      <c r="R181" s="0" t="n">
        <f aca="false">IF(Q181&gt;0,TRUNC(O181),0)</f>
        <v>0</v>
      </c>
      <c r="S181" s="5" t="n">
        <f aca="false">(M181*(D181-R181)+(Q181*R181))/D181</f>
        <v>800</v>
      </c>
      <c r="T181" s="6" t="n">
        <f aca="false">(Q181-M181)*R181*24/12.1/1000</f>
        <v>-0</v>
      </c>
    </row>
    <row r="182" customFormat="false" ht="14.35" hidden="false" customHeight="false" outlineLevel="0" collapsed="false">
      <c r="A182" s="4" t="n">
        <v>13270</v>
      </c>
      <c r="B182" s="15" t="n">
        <f aca="false">IF(C182&lt;=9,YEAR(A182),YEAR(A182)+1)</f>
        <v>1936</v>
      </c>
      <c r="C182" s="15" t="n">
        <f aca="false">MONTH(A182)</f>
        <v>4</v>
      </c>
      <c r="D182" s="15" t="n">
        <f aca="false">DAY(A182)</f>
        <v>30</v>
      </c>
      <c r="E182" s="15" t="n">
        <f aca="false">VLOOKUP(B182,WYT!$A$2:$L$97,12)</f>
        <v>1</v>
      </c>
      <c r="F182" s="15" t="n">
        <f aca="false">IF(C182=$W$5,1,0)</f>
        <v>0</v>
      </c>
      <c r="G182" s="15" t="n">
        <f aca="false">IF(C182=10,0,IF(F182=1,1,G181))</f>
        <v>1</v>
      </c>
      <c r="H182" s="5" t="n">
        <f aca="false">VA_base_426_data!B182</f>
        <v>1000</v>
      </c>
      <c r="I182" s="5" t="n">
        <f aca="false">IF(AND(E182=1,OR(C182=4,C182=5)),25*12.1/24/D182*1000,0)</f>
        <v>420.138888888889</v>
      </c>
      <c r="J182" s="5" t="n">
        <f aca="false">VA_base_426_data!C182</f>
        <v>1000</v>
      </c>
      <c r="K182" s="5" t="n">
        <f aca="false">H182+I182-J182</f>
        <v>420.138888888889</v>
      </c>
      <c r="L182" s="5" t="n">
        <f aca="false">MIN($W$7,J182+K182)</f>
        <v>1420.13888888889</v>
      </c>
      <c r="M182" s="5" t="n">
        <f aca="false">VA_base_426_data!D182</f>
        <v>700</v>
      </c>
      <c r="N182" s="5" t="n">
        <f aca="false">IF(AND(C182=10,E182=1),$W$6,N181-P181)</f>
        <v>0</v>
      </c>
      <c r="O182" s="5" t="n">
        <f aca="false">IF(ABS(M182-L182)&gt;1,MIN(N182/((L182-M182)*24/12.1/1000),D182),D182)</f>
        <v>0</v>
      </c>
      <c r="P182" s="5" t="n">
        <f aca="false">MIN(IF(AND(G182,E182),(L182-M182)*24/12.1*O182/1000,0),N182)</f>
        <v>0</v>
      </c>
      <c r="Q182" s="5" t="n">
        <f aca="false">IF(P182&gt;0,P182/O182*12.1/24*1000+M182,0)</f>
        <v>0</v>
      </c>
      <c r="R182" s="0" t="n">
        <f aca="false">IF(Q182&gt;0,TRUNC(O182),0)</f>
        <v>0</v>
      </c>
      <c r="S182" s="5" t="n">
        <f aca="false">(M182*(D182-R182)+(Q182*R182))/D182</f>
        <v>700</v>
      </c>
      <c r="T182" s="6" t="n">
        <f aca="false">(Q182-M182)*R182*24/12.1/1000</f>
        <v>-0</v>
      </c>
    </row>
    <row r="183" customFormat="false" ht="14.35" hidden="false" customHeight="false" outlineLevel="0" collapsed="false">
      <c r="A183" s="4" t="n">
        <v>13301</v>
      </c>
      <c r="B183" s="15" t="n">
        <f aca="false">IF(C183&lt;=9,YEAR(A183),YEAR(A183)+1)</f>
        <v>1936</v>
      </c>
      <c r="C183" s="15" t="n">
        <f aca="false">MONTH(A183)</f>
        <v>5</v>
      </c>
      <c r="D183" s="15" t="n">
        <f aca="false">DAY(A183)</f>
        <v>31</v>
      </c>
      <c r="E183" s="15" t="n">
        <f aca="false">VLOOKUP(B183,WYT!$A$2:$L$97,12)</f>
        <v>1</v>
      </c>
      <c r="F183" s="15" t="n">
        <f aca="false">IF(C183=$W$5,1,0)</f>
        <v>0</v>
      </c>
      <c r="G183" s="15" t="n">
        <f aca="false">IF(C183=10,0,IF(F183=1,1,G182))</f>
        <v>1</v>
      </c>
      <c r="H183" s="5" t="n">
        <f aca="false">VA_base_426_data!B183</f>
        <v>1000</v>
      </c>
      <c r="I183" s="5" t="n">
        <f aca="false">IF(AND(E183=1,OR(C183=4,C183=5)),25*12.1/24/D183*1000,0)</f>
        <v>406.586021505376</v>
      </c>
      <c r="J183" s="5" t="n">
        <f aca="false">VA_base_426_data!C183</f>
        <v>1000</v>
      </c>
      <c r="K183" s="5" t="n">
        <f aca="false">H183+I183-J183</f>
        <v>406.586021505376</v>
      </c>
      <c r="L183" s="5" t="n">
        <f aca="false">MIN($W$7,J183+K183)</f>
        <v>1406.58602150538</v>
      </c>
      <c r="M183" s="5" t="n">
        <f aca="false">VA_base_426_data!D183</f>
        <v>700</v>
      </c>
      <c r="N183" s="5" t="n">
        <f aca="false">IF(AND(C183=10,E183=1),$W$6,N182-P182)</f>
        <v>0</v>
      </c>
      <c r="O183" s="5" t="n">
        <f aca="false">IF(ABS(M183-L183)&gt;1,MIN(N183/((L183-M183)*24/12.1/1000),D183),D183)</f>
        <v>0</v>
      </c>
      <c r="P183" s="5" t="n">
        <f aca="false">MIN(IF(AND(G183,E183),(L183-M183)*24/12.1*O183/1000,0),N183)</f>
        <v>0</v>
      </c>
      <c r="Q183" s="5" t="n">
        <f aca="false">IF(P183&gt;0,P183/O183*12.1/24*1000+M183,0)</f>
        <v>0</v>
      </c>
      <c r="R183" s="0" t="n">
        <f aca="false">IF(Q183&gt;0,TRUNC(O183),0)</f>
        <v>0</v>
      </c>
      <c r="S183" s="5" t="n">
        <f aca="false">(M183*(D183-R183)+(Q183*R183))/D183</f>
        <v>700</v>
      </c>
      <c r="T183" s="6" t="n">
        <f aca="false">(Q183-M183)*R183*24/12.1/1000</f>
        <v>-0</v>
      </c>
    </row>
    <row r="184" customFormat="false" ht="14.35" hidden="false" customHeight="false" outlineLevel="0" collapsed="false">
      <c r="A184" s="4" t="n">
        <v>13331</v>
      </c>
      <c r="B184" s="15" t="n">
        <f aca="false">IF(C184&lt;=9,YEAR(A184),YEAR(A184)+1)</f>
        <v>1936</v>
      </c>
      <c r="C184" s="15" t="n">
        <f aca="false">MONTH(A184)</f>
        <v>6</v>
      </c>
      <c r="D184" s="15" t="n">
        <f aca="false">DAY(A184)</f>
        <v>30</v>
      </c>
      <c r="E184" s="15" t="n">
        <f aca="false">VLOOKUP(B184,WYT!$A$2:$L$97,12)</f>
        <v>1</v>
      </c>
      <c r="F184" s="15" t="n">
        <f aca="false">IF(C184=$W$5,1,0)</f>
        <v>0</v>
      </c>
      <c r="G184" s="15" t="n">
        <f aca="false">IF(C184=10,0,IF(F184=1,1,G183))</f>
        <v>1</v>
      </c>
      <c r="H184" s="5" t="n">
        <f aca="false">VA_base_426_data!B184</f>
        <v>1000</v>
      </c>
      <c r="I184" s="5" t="n">
        <f aca="false">IF(AND(E184=1,OR(C184=4,C184=5)),25*12.1/24/D184*1000,0)</f>
        <v>0</v>
      </c>
      <c r="J184" s="5" t="n">
        <f aca="false">VA_base_426_data!C184</f>
        <v>1000</v>
      </c>
      <c r="K184" s="5" t="n">
        <f aca="false">H184+I184-J184</f>
        <v>0</v>
      </c>
      <c r="L184" s="5" t="n">
        <f aca="false">MIN($W$7,J184+K184)</f>
        <v>1000</v>
      </c>
      <c r="M184" s="5" t="n">
        <f aca="false">VA_base_426_data!D184</f>
        <v>700</v>
      </c>
      <c r="N184" s="5" t="n">
        <f aca="false">IF(AND(C184=10,E184=1),$W$6,N183-P183)</f>
        <v>0</v>
      </c>
      <c r="O184" s="5" t="n">
        <f aca="false">IF(ABS(M184-L184)&gt;1,MIN(N184/((L184-M184)*24/12.1/1000),D184),D184)</f>
        <v>0</v>
      </c>
      <c r="P184" s="5" t="n">
        <f aca="false">MIN(IF(AND(G184,E184),(L184-M184)*24/12.1*O184/1000,0),N184)</f>
        <v>0</v>
      </c>
      <c r="Q184" s="5" t="n">
        <f aca="false">IF(P184&gt;0,P184/O184*12.1/24*1000+M184,0)</f>
        <v>0</v>
      </c>
      <c r="R184" s="0" t="n">
        <f aca="false">IF(Q184&gt;0,TRUNC(O184),0)</f>
        <v>0</v>
      </c>
      <c r="S184" s="5" t="n">
        <f aca="false">(M184*(D184-R184)+(Q184*R184))/D184</f>
        <v>700</v>
      </c>
      <c r="T184" s="6" t="n">
        <f aca="false">(Q184-M184)*R184*24/12.1/1000</f>
        <v>-0</v>
      </c>
    </row>
    <row r="185" customFormat="false" ht="14.35" hidden="false" customHeight="false" outlineLevel="0" collapsed="false">
      <c r="A185" s="4" t="n">
        <v>13362</v>
      </c>
      <c r="B185" s="15" t="n">
        <f aca="false">IF(C185&lt;=9,YEAR(A185),YEAR(A185)+1)</f>
        <v>1936</v>
      </c>
      <c r="C185" s="15" t="n">
        <f aca="false">MONTH(A185)</f>
        <v>7</v>
      </c>
      <c r="D185" s="15" t="n">
        <f aca="false">DAY(A185)</f>
        <v>31</v>
      </c>
      <c r="E185" s="15" t="n">
        <f aca="false">VLOOKUP(B185,WYT!$A$2:$L$97,12)</f>
        <v>1</v>
      </c>
      <c r="F185" s="15" t="n">
        <f aca="false">IF(C185=$W$5,1,0)</f>
        <v>0</v>
      </c>
      <c r="G185" s="15" t="n">
        <f aca="false">IF(C185=10,0,IF(F185=1,1,G184))</f>
        <v>1</v>
      </c>
      <c r="H185" s="5" t="n">
        <f aca="false">VA_base_426_data!B185</f>
        <v>8228.93978053922</v>
      </c>
      <c r="I185" s="5" t="n">
        <f aca="false">IF(AND(E185=1,OR(C185=4,C185=5)),25*12.1/24/D185*1000,0)</f>
        <v>0</v>
      </c>
      <c r="J185" s="5" t="n">
        <f aca="false">VA_base_426_data!C185</f>
        <v>1000</v>
      </c>
      <c r="K185" s="5" t="n">
        <f aca="false">H185+I185-J185</f>
        <v>7228.93978053922</v>
      </c>
      <c r="L185" s="5" t="n">
        <f aca="false">MIN($W$7,J185+K185)</f>
        <v>2000</v>
      </c>
      <c r="M185" s="5" t="n">
        <f aca="false">VA_base_426_data!D185</f>
        <v>700</v>
      </c>
      <c r="N185" s="5" t="n">
        <f aca="false">IF(AND(C185=10,E185=1),$W$6,N184-P184)</f>
        <v>0</v>
      </c>
      <c r="O185" s="5" t="n">
        <f aca="false">IF(ABS(M185-L185)&gt;1,MIN(N185/((L185-M185)*24/12.1/1000),D185),D185)</f>
        <v>0</v>
      </c>
      <c r="P185" s="5" t="n">
        <f aca="false">MIN(IF(AND(G185,E185),(L185-M185)*24/12.1*O185/1000,0),N185)</f>
        <v>0</v>
      </c>
      <c r="Q185" s="5" t="n">
        <f aca="false">IF(P185&gt;0,P185/O185*12.1/24*1000+M185,0)</f>
        <v>0</v>
      </c>
      <c r="R185" s="0" t="n">
        <f aca="false">IF(Q185&gt;0,TRUNC(O185),0)</f>
        <v>0</v>
      </c>
      <c r="S185" s="5" t="n">
        <f aca="false">(M185*(D185-R185)+(Q185*R185))/D185</f>
        <v>700</v>
      </c>
      <c r="T185" s="6" t="n">
        <f aca="false">(Q185-M185)*R185*24/12.1/1000</f>
        <v>-0</v>
      </c>
    </row>
    <row r="186" customFormat="false" ht="14.35" hidden="false" customHeight="false" outlineLevel="0" collapsed="false">
      <c r="A186" s="4" t="n">
        <v>13393</v>
      </c>
      <c r="B186" s="15" t="n">
        <f aca="false">IF(C186&lt;=9,YEAR(A186),YEAR(A186)+1)</f>
        <v>1936</v>
      </c>
      <c r="C186" s="15" t="n">
        <f aca="false">MONTH(A186)</f>
        <v>8</v>
      </c>
      <c r="D186" s="15" t="n">
        <f aca="false">DAY(A186)</f>
        <v>31</v>
      </c>
      <c r="E186" s="15" t="n">
        <f aca="false">VLOOKUP(B186,WYT!$A$2:$L$97,12)</f>
        <v>1</v>
      </c>
      <c r="F186" s="15" t="n">
        <f aca="false">IF(C186=$W$5,1,0)</f>
        <v>0</v>
      </c>
      <c r="G186" s="15" t="n">
        <f aca="false">IF(C186=10,0,IF(F186=1,1,G185))</f>
        <v>1</v>
      </c>
      <c r="H186" s="5" t="n">
        <f aca="false">VA_base_426_data!B186</f>
        <v>7781.96255156381</v>
      </c>
      <c r="I186" s="5" t="n">
        <f aca="false">IF(AND(E186=1,OR(C186=4,C186=5)),25*12.1/24/D186*1000,0)</f>
        <v>0</v>
      </c>
      <c r="J186" s="5" t="n">
        <f aca="false">VA_base_426_data!C186</f>
        <v>1000</v>
      </c>
      <c r="K186" s="5" t="n">
        <f aca="false">H186+I186-J186</f>
        <v>6781.96255156381</v>
      </c>
      <c r="L186" s="5" t="n">
        <f aca="false">MIN($W$7,J186+K186)</f>
        <v>2000</v>
      </c>
      <c r="M186" s="5" t="n">
        <f aca="false">VA_base_426_data!D186</f>
        <v>700</v>
      </c>
      <c r="N186" s="5" t="n">
        <f aca="false">IF(AND(C186=10,E186=1),$W$6,N185-P185)</f>
        <v>0</v>
      </c>
      <c r="O186" s="5" t="n">
        <f aca="false">IF(ABS(M186-L186)&gt;1,MIN(N186/((L186-M186)*24/12.1/1000),D186),D186)</f>
        <v>0</v>
      </c>
      <c r="P186" s="5" t="n">
        <f aca="false">MIN(IF(AND(G186,E186),(L186-M186)*24/12.1*O186/1000,0),N186)</f>
        <v>0</v>
      </c>
      <c r="Q186" s="5" t="n">
        <f aca="false">IF(P186&gt;0,P186/O186*12.1/24*1000+M186,0)</f>
        <v>0</v>
      </c>
      <c r="R186" s="0" t="n">
        <f aca="false">IF(Q186&gt;0,TRUNC(O186),0)</f>
        <v>0</v>
      </c>
      <c r="S186" s="5" t="n">
        <f aca="false">(M186*(D186-R186)+(Q186*R186))/D186</f>
        <v>700</v>
      </c>
      <c r="T186" s="6" t="n">
        <f aca="false">(Q186-M186)*R186*24/12.1/1000</f>
        <v>-0</v>
      </c>
    </row>
    <row r="187" customFormat="false" ht="14.35" hidden="false" customHeight="false" outlineLevel="0" collapsed="false">
      <c r="A187" s="4" t="n">
        <v>13423</v>
      </c>
      <c r="B187" s="15" t="n">
        <f aca="false">IF(C187&lt;=9,YEAR(A187),YEAR(A187)+1)</f>
        <v>1936</v>
      </c>
      <c r="C187" s="15" t="n">
        <f aca="false">MONTH(A187)</f>
        <v>9</v>
      </c>
      <c r="D187" s="15" t="n">
        <f aca="false">DAY(A187)</f>
        <v>30</v>
      </c>
      <c r="E187" s="15" t="n">
        <f aca="false">VLOOKUP(B187,WYT!$A$2:$L$97,12)</f>
        <v>1</v>
      </c>
      <c r="F187" s="15" t="n">
        <f aca="false">IF(C187=$W$5,1,0)</f>
        <v>0</v>
      </c>
      <c r="G187" s="15" t="n">
        <f aca="false">IF(C187=10,0,IF(F187=1,1,G186))</f>
        <v>1</v>
      </c>
      <c r="H187" s="5" t="n">
        <f aca="false">VA_base_426_data!B187</f>
        <v>5802.94371119681</v>
      </c>
      <c r="I187" s="5" t="n">
        <f aca="false">IF(AND(E187=1,OR(C187=4,C187=5)),25*12.1/24/D187*1000,0)</f>
        <v>0</v>
      </c>
      <c r="J187" s="5" t="n">
        <f aca="false">VA_base_426_data!C187</f>
        <v>1000</v>
      </c>
      <c r="K187" s="5" t="n">
        <f aca="false">H187+I187-J187</f>
        <v>4802.94371119681</v>
      </c>
      <c r="L187" s="5" t="n">
        <f aca="false">MIN($W$7,J187+K187)</f>
        <v>2000</v>
      </c>
      <c r="M187" s="5" t="n">
        <f aca="false">VA_base_426_data!D187</f>
        <v>773.3333333</v>
      </c>
      <c r="N187" s="5" t="n">
        <f aca="false">IF(AND(C187=10,E187=1),$W$6,N186-P186)</f>
        <v>0</v>
      </c>
      <c r="O187" s="5" t="n">
        <f aca="false">IF(ABS(M187-L187)&gt;1,MIN(N187/((L187-M187)*24/12.1/1000),D187),D187)</f>
        <v>0</v>
      </c>
      <c r="P187" s="5" t="n">
        <f aca="false">MIN(IF(AND(G187,E187),(L187-M187)*24/12.1*O187/1000,0),N187)</f>
        <v>0</v>
      </c>
      <c r="Q187" s="5" t="n">
        <f aca="false">IF(P187&gt;0,P187/O187*12.1/24*1000+M187,0)</f>
        <v>0</v>
      </c>
      <c r="R187" s="0" t="n">
        <f aca="false">IF(Q187&gt;0,TRUNC(O187),0)</f>
        <v>0</v>
      </c>
      <c r="S187" s="5" t="n">
        <f aca="false">(M187*(D187-R187)+(Q187*R187))/D187</f>
        <v>773.3333333</v>
      </c>
      <c r="T187" s="6" t="n">
        <f aca="false">(Q187-M187)*R187*24/12.1/1000</f>
        <v>-0</v>
      </c>
    </row>
    <row r="188" customFormat="false" ht="14.35" hidden="false" customHeight="false" outlineLevel="0" collapsed="false">
      <c r="A188" s="4" t="n">
        <v>13454</v>
      </c>
      <c r="B188" s="15" t="n">
        <f aca="false">IF(C188&lt;=9,YEAR(A188),YEAR(A188)+1)</f>
        <v>1937</v>
      </c>
      <c r="C188" s="15" t="n">
        <f aca="false">MONTH(A188)</f>
        <v>10</v>
      </c>
      <c r="D188" s="15" t="n">
        <f aca="false">DAY(A188)</f>
        <v>31</v>
      </c>
      <c r="E188" s="15" t="n">
        <f aca="false">VLOOKUP(B188,WYT!$A$2:$L$97,12)</f>
        <v>1</v>
      </c>
      <c r="F188" s="15" t="n">
        <f aca="false">IF(C188=$W$5,1,0)</f>
        <v>0</v>
      </c>
      <c r="G188" s="15" t="n">
        <f aca="false">IF(C188=10,0,IF(F188=1,1,G187))</f>
        <v>0</v>
      </c>
      <c r="H188" s="5" t="n">
        <f aca="false">VA_base_426_data!B188</f>
        <v>3705.44725625414</v>
      </c>
      <c r="I188" s="5" t="n">
        <f aca="false">IF(AND(E188=1,OR(C188=4,C188=5)),25*12.1/24/D188*1000,0)</f>
        <v>0</v>
      </c>
      <c r="J188" s="5" t="n">
        <f aca="false">VA_base_426_data!C188</f>
        <v>1700</v>
      </c>
      <c r="K188" s="5" t="n">
        <f aca="false">H188+I188-J188</f>
        <v>2005.44725625414</v>
      </c>
      <c r="L188" s="5" t="n">
        <f aca="false">MIN($W$7,J188+K188)</f>
        <v>2000</v>
      </c>
      <c r="M188" s="5" t="n">
        <f aca="false">VA_base_426_data!D188</f>
        <v>800</v>
      </c>
      <c r="N188" s="5" t="n">
        <f aca="false">IF(AND(C188=10,E188=1),$W$6,N187-P187)</f>
        <v>43</v>
      </c>
      <c r="O188" s="5" t="n">
        <f aca="false">IF(ABS(M188-L188)&gt;1,MIN(N188/((L188-M188)*24/12.1/1000),D188),D188)</f>
        <v>18.0659722222222</v>
      </c>
      <c r="P188" s="5" t="n">
        <f aca="false">MIN(IF(AND(G188,E188),(L188-M188)*24/12.1*O188/1000,0),N188)</f>
        <v>0</v>
      </c>
      <c r="Q188" s="5" t="n">
        <f aca="false">IF(P188&gt;0,P188/O188*12.1/24*1000+M188,0)</f>
        <v>0</v>
      </c>
      <c r="R188" s="0" t="n">
        <f aca="false">IF(Q188&gt;0,TRUNC(O188),0)</f>
        <v>0</v>
      </c>
      <c r="S188" s="5" t="n">
        <f aca="false">(M188*(D188-R188)+(Q188*R188))/D188</f>
        <v>800</v>
      </c>
      <c r="T188" s="6" t="n">
        <f aca="false">(Q188-M188)*R188*24/12.1/1000</f>
        <v>-0</v>
      </c>
    </row>
    <row r="189" customFormat="false" ht="14.35" hidden="false" customHeight="false" outlineLevel="0" collapsed="false">
      <c r="A189" s="4" t="n">
        <v>13484</v>
      </c>
      <c r="B189" s="15" t="n">
        <f aca="false">IF(C189&lt;=9,YEAR(A189),YEAR(A189)+1)</f>
        <v>1937</v>
      </c>
      <c r="C189" s="15" t="n">
        <f aca="false">MONTH(A189)</f>
        <v>11</v>
      </c>
      <c r="D189" s="15" t="n">
        <f aca="false">DAY(A189)</f>
        <v>30</v>
      </c>
      <c r="E189" s="15" t="n">
        <f aca="false">VLOOKUP(B189,WYT!$A$2:$L$97,12)</f>
        <v>1</v>
      </c>
      <c r="F189" s="15" t="n">
        <f aca="false">IF(C189=$W$5,1,0)</f>
        <v>0</v>
      </c>
      <c r="G189" s="15" t="n">
        <f aca="false">IF(C189=10,0,IF(F189=1,1,G188))</f>
        <v>0</v>
      </c>
      <c r="H189" s="5" t="n">
        <f aca="false">VA_base_426_data!B189</f>
        <v>1700</v>
      </c>
      <c r="I189" s="5" t="n">
        <f aca="false">IF(AND(E189=1,OR(C189=4,C189=5)),25*12.1/24/D189*1000,0)</f>
        <v>0</v>
      </c>
      <c r="J189" s="5" t="n">
        <f aca="false">VA_base_426_data!C189</f>
        <v>1700</v>
      </c>
      <c r="K189" s="5" t="n">
        <f aca="false">H189+I189-J189</f>
        <v>0</v>
      </c>
      <c r="L189" s="5" t="n">
        <f aca="false">MIN($W$7,J189+K189)</f>
        <v>1700</v>
      </c>
      <c r="M189" s="5" t="n">
        <f aca="false">VA_base_426_data!D189</f>
        <v>800</v>
      </c>
      <c r="N189" s="5" t="n">
        <f aca="false">IF(AND(C189=10,E189=1),$W$6,N188-P188)</f>
        <v>43</v>
      </c>
      <c r="O189" s="5" t="n">
        <f aca="false">IF(ABS(M189-L189)&gt;1,MIN(N189/((L189-M189)*24/12.1/1000),D189),D189)</f>
        <v>24.087962962963</v>
      </c>
      <c r="P189" s="5" t="n">
        <f aca="false">MIN(IF(AND(G189,E189),(L189-M189)*24/12.1*O189/1000,0),N189)</f>
        <v>0</v>
      </c>
      <c r="Q189" s="5" t="n">
        <f aca="false">IF(P189&gt;0,P189/O189*12.1/24*1000+M189,0)</f>
        <v>0</v>
      </c>
      <c r="R189" s="0" t="n">
        <f aca="false">IF(Q189&gt;0,TRUNC(O189),0)</f>
        <v>0</v>
      </c>
      <c r="S189" s="5" t="n">
        <f aca="false">(M189*(D189-R189)+(Q189*R189))/D189</f>
        <v>800</v>
      </c>
      <c r="T189" s="6" t="n">
        <f aca="false">(Q189-M189)*R189*24/12.1/1000</f>
        <v>-0</v>
      </c>
    </row>
    <row r="190" customFormat="false" ht="14.35" hidden="false" customHeight="false" outlineLevel="0" collapsed="false">
      <c r="A190" s="4" t="n">
        <v>13515</v>
      </c>
      <c r="B190" s="15" t="n">
        <f aca="false">IF(C190&lt;=9,YEAR(A190),YEAR(A190)+1)</f>
        <v>1937</v>
      </c>
      <c r="C190" s="15" t="n">
        <f aca="false">MONTH(A190)</f>
        <v>12</v>
      </c>
      <c r="D190" s="15" t="n">
        <f aca="false">DAY(A190)</f>
        <v>31</v>
      </c>
      <c r="E190" s="15" t="n">
        <f aca="false">VLOOKUP(B190,WYT!$A$2:$L$97,12)</f>
        <v>1</v>
      </c>
      <c r="F190" s="15" t="n">
        <f aca="false">IF(C190=$W$5,1,0)</f>
        <v>0</v>
      </c>
      <c r="G190" s="15" t="n">
        <f aca="false">IF(C190=10,0,IF(F190=1,1,G189))</f>
        <v>0</v>
      </c>
      <c r="H190" s="5" t="n">
        <f aca="false">VA_base_426_data!B190</f>
        <v>1700</v>
      </c>
      <c r="I190" s="5" t="n">
        <f aca="false">IF(AND(E190=1,OR(C190=4,C190=5)),25*12.1/24/D190*1000,0)</f>
        <v>0</v>
      </c>
      <c r="J190" s="5" t="n">
        <f aca="false">VA_base_426_data!C190</f>
        <v>1700</v>
      </c>
      <c r="K190" s="5" t="n">
        <f aca="false">H190+I190-J190</f>
        <v>0</v>
      </c>
      <c r="L190" s="5" t="n">
        <f aca="false">MIN($W$7,J190+K190)</f>
        <v>1700</v>
      </c>
      <c r="M190" s="5" t="n">
        <f aca="false">VA_base_426_data!D190</f>
        <v>800</v>
      </c>
      <c r="N190" s="5" t="n">
        <f aca="false">IF(AND(C190=10,E190=1),$W$6,N189-P189)</f>
        <v>43</v>
      </c>
      <c r="O190" s="5" t="n">
        <f aca="false">IF(ABS(M190-L190)&gt;1,MIN(N190/((L190-M190)*24/12.1/1000),D190),D190)</f>
        <v>24.087962962963</v>
      </c>
      <c r="P190" s="5" t="n">
        <f aca="false">MIN(IF(AND(G190,E190),(L190-M190)*24/12.1*O190/1000,0),N190)</f>
        <v>0</v>
      </c>
      <c r="Q190" s="5" t="n">
        <f aca="false">IF(P190&gt;0,P190/O190*12.1/24*1000+M190,0)</f>
        <v>0</v>
      </c>
      <c r="R190" s="0" t="n">
        <f aca="false">IF(Q190&gt;0,TRUNC(O190),0)</f>
        <v>0</v>
      </c>
      <c r="S190" s="5" t="n">
        <f aca="false">(M190*(D190-R190)+(Q190*R190))/D190</f>
        <v>800</v>
      </c>
      <c r="T190" s="6" t="n">
        <f aca="false">(Q190-M190)*R190*24/12.1/1000</f>
        <v>-0</v>
      </c>
    </row>
    <row r="191" customFormat="false" ht="14.35" hidden="false" customHeight="false" outlineLevel="0" collapsed="false">
      <c r="A191" s="4" t="n">
        <v>13546</v>
      </c>
      <c r="B191" s="15" t="n">
        <f aca="false">IF(C191&lt;=9,YEAR(A191),YEAR(A191)+1)</f>
        <v>1937</v>
      </c>
      <c r="C191" s="15" t="n">
        <f aca="false">MONTH(A191)</f>
        <v>1</v>
      </c>
      <c r="D191" s="15" t="n">
        <f aca="false">DAY(A191)</f>
        <v>31</v>
      </c>
      <c r="E191" s="15" t="n">
        <f aca="false">VLOOKUP(B191,WYT!$A$2:$L$97,12)</f>
        <v>1</v>
      </c>
      <c r="F191" s="15" t="n">
        <f aca="false">IF(C191=$W$5,1,0)</f>
        <v>0</v>
      </c>
      <c r="G191" s="15" t="n">
        <f aca="false">IF(C191=10,0,IF(F191=1,1,G190))</f>
        <v>0</v>
      </c>
      <c r="H191" s="5" t="n">
        <f aca="false">VA_base_426_data!B191</f>
        <v>1700</v>
      </c>
      <c r="I191" s="5" t="n">
        <f aca="false">IF(AND(E191=1,OR(C191=4,C191=5)),25*12.1/24/D191*1000,0)</f>
        <v>0</v>
      </c>
      <c r="J191" s="5" t="n">
        <f aca="false">VA_base_426_data!C191</f>
        <v>1700</v>
      </c>
      <c r="K191" s="5" t="n">
        <f aca="false">H191+I191-J191</f>
        <v>0</v>
      </c>
      <c r="L191" s="5" t="n">
        <f aca="false">MIN($W$7,J191+K191)</f>
        <v>1700</v>
      </c>
      <c r="M191" s="5" t="n">
        <f aca="false">VA_base_426_data!D191</f>
        <v>800</v>
      </c>
      <c r="N191" s="5" t="n">
        <f aca="false">IF(AND(C191=10,E191=1),$W$6,N190-P190)</f>
        <v>43</v>
      </c>
      <c r="O191" s="5" t="n">
        <f aca="false">IF(ABS(M191-L191)&gt;1,MIN(N191/((L191-M191)*24/12.1/1000),D191),D191)</f>
        <v>24.087962962963</v>
      </c>
      <c r="P191" s="5" t="n">
        <f aca="false">MIN(IF(AND(G191,E191),(L191-M191)*24/12.1*O191/1000,0),N191)</f>
        <v>0</v>
      </c>
      <c r="Q191" s="5" t="n">
        <f aca="false">IF(P191&gt;0,P191/O191*12.1/24*1000+M191,0)</f>
        <v>0</v>
      </c>
      <c r="R191" s="0" t="n">
        <f aca="false">IF(Q191&gt;0,TRUNC(O191),0)</f>
        <v>0</v>
      </c>
      <c r="S191" s="5" t="n">
        <f aca="false">(M191*(D191-R191)+(Q191*R191))/D191</f>
        <v>800</v>
      </c>
      <c r="T191" s="6" t="n">
        <f aca="false">(Q191-M191)*R191*24/12.1/1000</f>
        <v>-0</v>
      </c>
    </row>
    <row r="192" customFormat="false" ht="14.35" hidden="false" customHeight="false" outlineLevel="0" collapsed="false">
      <c r="A192" s="4" t="n">
        <v>13574</v>
      </c>
      <c r="B192" s="15" t="n">
        <f aca="false">IF(C192&lt;=9,YEAR(A192),YEAR(A192)+1)</f>
        <v>1937</v>
      </c>
      <c r="C192" s="15" t="n">
        <f aca="false">MONTH(A192)</f>
        <v>2</v>
      </c>
      <c r="D192" s="15" t="n">
        <f aca="false">DAY(A192)</f>
        <v>28</v>
      </c>
      <c r="E192" s="15" t="n">
        <f aca="false">VLOOKUP(B192,WYT!$A$2:$L$97,12)</f>
        <v>1</v>
      </c>
      <c r="F192" s="15" t="n">
        <f aca="false">IF(C192=$W$5,1,0)</f>
        <v>1</v>
      </c>
      <c r="G192" s="15" t="n">
        <f aca="false">IF(C192=10,0,IF(F192=1,1,G191))</f>
        <v>1</v>
      </c>
      <c r="H192" s="5" t="n">
        <f aca="false">VA_base_426_data!B192</f>
        <v>1700</v>
      </c>
      <c r="I192" s="5" t="n">
        <f aca="false">IF(AND(E192=1,OR(C192=4,C192=5)),25*12.1/24/D192*1000,0)</f>
        <v>0</v>
      </c>
      <c r="J192" s="5" t="n">
        <f aca="false">VA_base_426_data!C192</f>
        <v>1700</v>
      </c>
      <c r="K192" s="5" t="n">
        <f aca="false">H192+I192-J192</f>
        <v>0</v>
      </c>
      <c r="L192" s="5" t="n">
        <f aca="false">MIN($W$7,J192+K192)</f>
        <v>1700</v>
      </c>
      <c r="M192" s="5" t="n">
        <f aca="false">VA_base_426_data!D192</f>
        <v>800</v>
      </c>
      <c r="N192" s="5" t="n">
        <f aca="false">IF(AND(C192=10,E192=1),$W$6,N191-P191)</f>
        <v>43</v>
      </c>
      <c r="O192" s="5" t="n">
        <f aca="false">IF(ABS(M192-L192)&gt;1,MIN(N192/((L192-M192)*24/12.1/1000),D192),D192)</f>
        <v>24.087962962963</v>
      </c>
      <c r="P192" s="5" t="n">
        <f aca="false">MIN(IF(AND(G192,E192),(L192-M192)*24/12.1*O192/1000,0),N192)</f>
        <v>43</v>
      </c>
      <c r="Q192" s="5" t="n">
        <f aca="false">IF(P192&gt;0,P192/O192*12.1/24*1000+M192,0)</f>
        <v>1700</v>
      </c>
      <c r="R192" s="0" t="n">
        <f aca="false">IF(Q192&gt;0,TRUNC(O192),0)</f>
        <v>24</v>
      </c>
      <c r="S192" s="5" t="n">
        <f aca="false">(M192*(D192-R192)+(Q192*R192))/D192</f>
        <v>1571.42857142857</v>
      </c>
      <c r="T192" s="6" t="n">
        <f aca="false">(Q192-M192)*R192*24/12.1/1000</f>
        <v>42.8429752066116</v>
      </c>
    </row>
    <row r="193" customFormat="false" ht="14.35" hidden="false" customHeight="false" outlineLevel="0" collapsed="false">
      <c r="A193" s="4" t="n">
        <v>13605</v>
      </c>
      <c r="B193" s="15" t="n">
        <f aca="false">IF(C193&lt;=9,YEAR(A193),YEAR(A193)+1)</f>
        <v>1937</v>
      </c>
      <c r="C193" s="15" t="n">
        <f aca="false">MONTH(A193)</f>
        <v>3</v>
      </c>
      <c r="D193" s="15" t="n">
        <f aca="false">DAY(A193)</f>
        <v>31</v>
      </c>
      <c r="E193" s="15" t="n">
        <f aca="false">VLOOKUP(B193,WYT!$A$2:$L$97,12)</f>
        <v>1</v>
      </c>
      <c r="F193" s="15" t="n">
        <f aca="false">IF(C193=$W$5,1,0)</f>
        <v>0</v>
      </c>
      <c r="G193" s="15" t="n">
        <f aca="false">IF(C193=10,0,IF(F193=1,1,G192))</f>
        <v>1</v>
      </c>
      <c r="H193" s="5" t="n">
        <f aca="false">VA_base_426_data!B193</f>
        <v>1700</v>
      </c>
      <c r="I193" s="5" t="n">
        <f aca="false">IF(AND(E193=1,OR(C193=4,C193=5)),25*12.1/24/D193*1000,0)</f>
        <v>0</v>
      </c>
      <c r="J193" s="5" t="n">
        <f aca="false">VA_base_426_data!C193</f>
        <v>1700</v>
      </c>
      <c r="K193" s="5" t="n">
        <f aca="false">H193+I193-J193</f>
        <v>0</v>
      </c>
      <c r="L193" s="5" t="n">
        <f aca="false">MIN($W$7,J193+K193)</f>
        <v>1700</v>
      </c>
      <c r="M193" s="5" t="n">
        <f aca="false">VA_base_426_data!D193</f>
        <v>800</v>
      </c>
      <c r="N193" s="5" t="n">
        <f aca="false">IF(AND(C193=10,E193=1),$W$6,N192-P192)</f>
        <v>0</v>
      </c>
      <c r="O193" s="5" t="n">
        <f aca="false">IF(ABS(M193-L193)&gt;1,MIN(N193/((L193-M193)*24/12.1/1000),D193),D193)</f>
        <v>0</v>
      </c>
      <c r="P193" s="5" t="n">
        <f aca="false">MIN(IF(AND(G193,E193),(L193-M193)*24/12.1*O193/1000,0),N193)</f>
        <v>0</v>
      </c>
      <c r="Q193" s="5" t="n">
        <f aca="false">IF(P193&gt;0,P193/O193*12.1/24*1000+M193,0)</f>
        <v>0</v>
      </c>
      <c r="R193" s="0" t="n">
        <f aca="false">IF(Q193&gt;0,TRUNC(O193),0)</f>
        <v>0</v>
      </c>
      <c r="S193" s="5" t="n">
        <f aca="false">(M193*(D193-R193)+(Q193*R193))/D193</f>
        <v>800</v>
      </c>
      <c r="T193" s="6" t="n">
        <f aca="false">(Q193-M193)*R193*24/12.1/1000</f>
        <v>-0</v>
      </c>
    </row>
    <row r="194" customFormat="false" ht="14.35" hidden="false" customHeight="false" outlineLevel="0" collapsed="false">
      <c r="A194" s="4" t="n">
        <v>13635</v>
      </c>
      <c r="B194" s="15" t="n">
        <f aca="false">IF(C194&lt;=9,YEAR(A194),YEAR(A194)+1)</f>
        <v>1937</v>
      </c>
      <c r="C194" s="15" t="n">
        <f aca="false">MONTH(A194)</f>
        <v>4</v>
      </c>
      <c r="D194" s="15" t="n">
        <f aca="false">DAY(A194)</f>
        <v>30</v>
      </c>
      <c r="E194" s="15" t="n">
        <f aca="false">VLOOKUP(B194,WYT!$A$2:$L$97,12)</f>
        <v>1</v>
      </c>
      <c r="F194" s="15" t="n">
        <f aca="false">IF(C194=$W$5,1,0)</f>
        <v>0</v>
      </c>
      <c r="G194" s="15" t="n">
        <f aca="false">IF(C194=10,0,IF(F194=1,1,G193))</f>
        <v>1</v>
      </c>
      <c r="H194" s="5" t="n">
        <f aca="false">VA_base_426_data!B194</f>
        <v>1000</v>
      </c>
      <c r="I194" s="5" t="n">
        <f aca="false">IF(AND(E194=1,OR(C194=4,C194=5)),25*12.1/24/D194*1000,0)</f>
        <v>420.138888888889</v>
      </c>
      <c r="J194" s="5" t="n">
        <f aca="false">VA_base_426_data!C194</f>
        <v>1000</v>
      </c>
      <c r="K194" s="5" t="n">
        <f aca="false">H194+I194-J194</f>
        <v>420.138888888889</v>
      </c>
      <c r="L194" s="5" t="n">
        <f aca="false">MIN($W$7,J194+K194)</f>
        <v>1420.13888888889</v>
      </c>
      <c r="M194" s="5" t="n">
        <f aca="false">VA_base_426_data!D194</f>
        <v>700</v>
      </c>
      <c r="N194" s="5" t="n">
        <f aca="false">IF(AND(C194=10,E194=1),$W$6,N193-P193)</f>
        <v>0</v>
      </c>
      <c r="O194" s="5" t="n">
        <f aca="false">IF(ABS(M194-L194)&gt;1,MIN(N194/((L194-M194)*24/12.1/1000),D194),D194)</f>
        <v>0</v>
      </c>
      <c r="P194" s="5" t="n">
        <f aca="false">MIN(IF(AND(G194,E194),(L194-M194)*24/12.1*O194/1000,0),N194)</f>
        <v>0</v>
      </c>
      <c r="Q194" s="5" t="n">
        <f aca="false">IF(P194&gt;0,P194/O194*12.1/24*1000+M194,0)</f>
        <v>0</v>
      </c>
      <c r="R194" s="0" t="n">
        <f aca="false">IF(Q194&gt;0,TRUNC(O194),0)</f>
        <v>0</v>
      </c>
      <c r="S194" s="5" t="n">
        <f aca="false">(M194*(D194-R194)+(Q194*R194))/D194</f>
        <v>700</v>
      </c>
      <c r="T194" s="6" t="n">
        <f aca="false">(Q194-M194)*R194*24/12.1/1000</f>
        <v>-0</v>
      </c>
    </row>
    <row r="195" customFormat="false" ht="14.35" hidden="false" customHeight="false" outlineLevel="0" collapsed="false">
      <c r="A195" s="4" t="n">
        <v>13666</v>
      </c>
      <c r="B195" s="15" t="n">
        <f aca="false">IF(C195&lt;=9,YEAR(A195),YEAR(A195)+1)</f>
        <v>1937</v>
      </c>
      <c r="C195" s="15" t="n">
        <f aca="false">MONTH(A195)</f>
        <v>5</v>
      </c>
      <c r="D195" s="15" t="n">
        <f aca="false">DAY(A195)</f>
        <v>31</v>
      </c>
      <c r="E195" s="15" t="n">
        <f aca="false">VLOOKUP(B195,WYT!$A$2:$L$97,12)</f>
        <v>1</v>
      </c>
      <c r="F195" s="15" t="n">
        <f aca="false">IF(C195=$W$5,1,0)</f>
        <v>0</v>
      </c>
      <c r="G195" s="15" t="n">
        <f aca="false">IF(C195=10,0,IF(F195=1,1,G194))</f>
        <v>1</v>
      </c>
      <c r="H195" s="5" t="n">
        <f aca="false">VA_base_426_data!B195</f>
        <v>1000</v>
      </c>
      <c r="I195" s="5" t="n">
        <f aca="false">IF(AND(E195=1,OR(C195=4,C195=5)),25*12.1/24/D195*1000,0)</f>
        <v>406.586021505376</v>
      </c>
      <c r="J195" s="5" t="n">
        <f aca="false">VA_base_426_data!C195</f>
        <v>1000</v>
      </c>
      <c r="K195" s="5" t="n">
        <f aca="false">H195+I195-J195</f>
        <v>406.586021505376</v>
      </c>
      <c r="L195" s="5" t="n">
        <f aca="false">MIN($W$7,J195+K195)</f>
        <v>1406.58602150538</v>
      </c>
      <c r="M195" s="5" t="n">
        <f aca="false">VA_base_426_data!D195</f>
        <v>700</v>
      </c>
      <c r="N195" s="5" t="n">
        <f aca="false">IF(AND(C195=10,E195=1),$W$6,N194-P194)</f>
        <v>0</v>
      </c>
      <c r="O195" s="5" t="n">
        <f aca="false">IF(ABS(M195-L195)&gt;1,MIN(N195/((L195-M195)*24/12.1/1000),D195),D195)</f>
        <v>0</v>
      </c>
      <c r="P195" s="5" t="n">
        <f aca="false">MIN(IF(AND(G195,E195),(L195-M195)*24/12.1*O195/1000,0),N195)</f>
        <v>0</v>
      </c>
      <c r="Q195" s="5" t="n">
        <f aca="false">IF(P195&gt;0,P195/O195*12.1/24*1000+M195,0)</f>
        <v>0</v>
      </c>
      <c r="R195" s="0" t="n">
        <f aca="false">IF(Q195&gt;0,TRUNC(O195),0)</f>
        <v>0</v>
      </c>
      <c r="S195" s="5" t="n">
        <f aca="false">(M195*(D195-R195)+(Q195*R195))/D195</f>
        <v>700</v>
      </c>
      <c r="T195" s="6" t="n">
        <f aca="false">(Q195-M195)*R195*24/12.1/1000</f>
        <v>-0</v>
      </c>
    </row>
    <row r="196" customFormat="false" ht="14.35" hidden="false" customHeight="false" outlineLevel="0" collapsed="false">
      <c r="A196" s="4" t="n">
        <v>13696</v>
      </c>
      <c r="B196" s="15" t="n">
        <f aca="false">IF(C196&lt;=9,YEAR(A196),YEAR(A196)+1)</f>
        <v>1937</v>
      </c>
      <c r="C196" s="15" t="n">
        <f aca="false">MONTH(A196)</f>
        <v>6</v>
      </c>
      <c r="D196" s="15" t="n">
        <f aca="false">DAY(A196)</f>
        <v>30</v>
      </c>
      <c r="E196" s="15" t="n">
        <f aca="false">VLOOKUP(B196,WYT!$A$2:$L$97,12)</f>
        <v>1</v>
      </c>
      <c r="F196" s="15" t="n">
        <f aca="false">IF(C196=$W$5,1,0)</f>
        <v>0</v>
      </c>
      <c r="G196" s="15" t="n">
        <f aca="false">IF(C196=10,0,IF(F196=1,1,G195))</f>
        <v>1</v>
      </c>
      <c r="H196" s="5" t="n">
        <f aca="false">VA_base_426_data!B196</f>
        <v>5945.48435268788</v>
      </c>
      <c r="I196" s="5" t="n">
        <f aca="false">IF(AND(E196=1,OR(C196=4,C196=5)),25*12.1/24/D196*1000,0)</f>
        <v>0</v>
      </c>
      <c r="J196" s="5" t="n">
        <f aca="false">VA_base_426_data!C196</f>
        <v>1000</v>
      </c>
      <c r="K196" s="5" t="n">
        <f aca="false">H196+I196-J196</f>
        <v>4945.48435268788</v>
      </c>
      <c r="L196" s="5" t="n">
        <f aca="false">MIN($W$7,J196+K196)</f>
        <v>2000</v>
      </c>
      <c r="M196" s="5" t="n">
        <f aca="false">VA_base_426_data!D196</f>
        <v>700</v>
      </c>
      <c r="N196" s="5" t="n">
        <f aca="false">IF(AND(C196=10,E196=1),$W$6,N195-P195)</f>
        <v>0</v>
      </c>
      <c r="O196" s="5" t="n">
        <f aca="false">IF(ABS(M196-L196)&gt;1,MIN(N196/((L196-M196)*24/12.1/1000),D196),D196)</f>
        <v>0</v>
      </c>
      <c r="P196" s="5" t="n">
        <f aca="false">MIN(IF(AND(G196,E196),(L196-M196)*24/12.1*O196/1000,0),N196)</f>
        <v>0</v>
      </c>
      <c r="Q196" s="5" t="n">
        <f aca="false">IF(P196&gt;0,P196/O196*12.1/24*1000+M196,0)</f>
        <v>0</v>
      </c>
      <c r="R196" s="0" t="n">
        <f aca="false">IF(Q196&gt;0,TRUNC(O196),0)</f>
        <v>0</v>
      </c>
      <c r="S196" s="5" t="n">
        <f aca="false">(M196*(D196-R196)+(Q196*R196))/D196</f>
        <v>700</v>
      </c>
      <c r="T196" s="6" t="n">
        <f aca="false">(Q196-M196)*R196*24/12.1/1000</f>
        <v>-0</v>
      </c>
    </row>
    <row r="197" customFormat="false" ht="14.35" hidden="false" customHeight="false" outlineLevel="0" collapsed="false">
      <c r="A197" s="4" t="n">
        <v>13727</v>
      </c>
      <c r="B197" s="15" t="n">
        <f aca="false">IF(C197&lt;=9,YEAR(A197),YEAR(A197)+1)</f>
        <v>1937</v>
      </c>
      <c r="C197" s="15" t="n">
        <f aca="false">MONTH(A197)</f>
        <v>7</v>
      </c>
      <c r="D197" s="15" t="n">
        <f aca="false">DAY(A197)</f>
        <v>31</v>
      </c>
      <c r="E197" s="15" t="n">
        <f aca="false">VLOOKUP(B197,WYT!$A$2:$L$97,12)</f>
        <v>1</v>
      </c>
      <c r="F197" s="15" t="n">
        <f aca="false">IF(C197=$W$5,1,0)</f>
        <v>0</v>
      </c>
      <c r="G197" s="15" t="n">
        <f aca="false">IF(C197=10,0,IF(F197=1,1,G196))</f>
        <v>1</v>
      </c>
      <c r="H197" s="5" t="n">
        <f aca="false">VA_base_426_data!B197</f>
        <v>8338.00400572152</v>
      </c>
      <c r="I197" s="5" t="n">
        <f aca="false">IF(AND(E197=1,OR(C197=4,C197=5)),25*12.1/24/D197*1000,0)</f>
        <v>0</v>
      </c>
      <c r="J197" s="5" t="n">
        <f aca="false">VA_base_426_data!C197</f>
        <v>1000</v>
      </c>
      <c r="K197" s="5" t="n">
        <f aca="false">H197+I197-J197</f>
        <v>7338.00400572152</v>
      </c>
      <c r="L197" s="5" t="n">
        <f aca="false">MIN($W$7,J197+K197)</f>
        <v>2000</v>
      </c>
      <c r="M197" s="5" t="n">
        <f aca="false">VA_base_426_data!D197</f>
        <v>700</v>
      </c>
      <c r="N197" s="5" t="n">
        <f aca="false">IF(AND(C197=10,E197=1),$W$6,N196-P196)</f>
        <v>0</v>
      </c>
      <c r="O197" s="5" t="n">
        <f aca="false">IF(ABS(M197-L197)&gt;1,MIN(N197/((L197-M197)*24/12.1/1000),D197),D197)</f>
        <v>0</v>
      </c>
      <c r="P197" s="5" t="n">
        <f aca="false">MIN(IF(AND(G197,E197),(L197-M197)*24/12.1*O197/1000,0),N197)</f>
        <v>0</v>
      </c>
      <c r="Q197" s="5" t="n">
        <f aca="false">IF(P197&gt;0,P197/O197*12.1/24*1000+M197,0)</f>
        <v>0</v>
      </c>
      <c r="R197" s="0" t="n">
        <f aca="false">IF(Q197&gt;0,TRUNC(O197),0)</f>
        <v>0</v>
      </c>
      <c r="S197" s="5" t="n">
        <f aca="false">(M197*(D197-R197)+(Q197*R197))/D197</f>
        <v>700</v>
      </c>
      <c r="T197" s="6" t="n">
        <f aca="false">(Q197-M197)*R197*24/12.1/1000</f>
        <v>-0</v>
      </c>
    </row>
    <row r="198" customFormat="false" ht="14.35" hidden="false" customHeight="false" outlineLevel="0" collapsed="false">
      <c r="A198" s="4" t="n">
        <v>13758</v>
      </c>
      <c r="B198" s="15" t="n">
        <f aca="false">IF(C198&lt;=9,YEAR(A198),YEAR(A198)+1)</f>
        <v>1937</v>
      </c>
      <c r="C198" s="15" t="n">
        <f aca="false">MONTH(A198)</f>
        <v>8</v>
      </c>
      <c r="D198" s="15" t="n">
        <f aca="false">DAY(A198)</f>
        <v>31</v>
      </c>
      <c r="E198" s="15" t="n">
        <f aca="false">VLOOKUP(B198,WYT!$A$2:$L$97,12)</f>
        <v>1</v>
      </c>
      <c r="F198" s="15" t="n">
        <f aca="false">IF(C198=$W$5,1,0)</f>
        <v>0</v>
      </c>
      <c r="G198" s="15" t="n">
        <f aca="false">IF(C198=10,0,IF(F198=1,1,G197))</f>
        <v>1</v>
      </c>
      <c r="H198" s="5" t="n">
        <f aca="false">VA_base_426_data!B198</f>
        <v>3858.51400255123</v>
      </c>
      <c r="I198" s="5" t="n">
        <f aca="false">IF(AND(E198=1,OR(C198=4,C198=5)),25*12.1/24/D198*1000,0)</f>
        <v>0</v>
      </c>
      <c r="J198" s="5" t="n">
        <f aca="false">VA_base_426_data!C198</f>
        <v>1000</v>
      </c>
      <c r="K198" s="5" t="n">
        <f aca="false">H198+I198-J198</f>
        <v>2858.51400255123</v>
      </c>
      <c r="L198" s="5" t="n">
        <f aca="false">MIN($W$7,J198+K198)</f>
        <v>2000</v>
      </c>
      <c r="M198" s="5" t="n">
        <f aca="false">VA_base_426_data!D198</f>
        <v>700</v>
      </c>
      <c r="N198" s="5" t="n">
        <f aca="false">IF(AND(C198=10,E198=1),$W$6,N197-P197)</f>
        <v>0</v>
      </c>
      <c r="O198" s="5" t="n">
        <f aca="false">IF(ABS(M198-L198)&gt;1,MIN(N198/((L198-M198)*24/12.1/1000),D198),D198)</f>
        <v>0</v>
      </c>
      <c r="P198" s="5" t="n">
        <f aca="false">MIN(IF(AND(G198,E198),(L198-M198)*24/12.1*O198/1000,0),N198)</f>
        <v>0</v>
      </c>
      <c r="Q198" s="5" t="n">
        <f aca="false">IF(P198&gt;0,P198/O198*12.1/24*1000+M198,0)</f>
        <v>0</v>
      </c>
      <c r="R198" s="0" t="n">
        <f aca="false">IF(Q198&gt;0,TRUNC(O198),0)</f>
        <v>0</v>
      </c>
      <c r="S198" s="5" t="n">
        <f aca="false">(M198*(D198-R198)+(Q198*R198))/D198</f>
        <v>700</v>
      </c>
      <c r="T198" s="6" t="n">
        <f aca="false">(Q198-M198)*R198*24/12.1/1000</f>
        <v>-0</v>
      </c>
    </row>
    <row r="199" customFormat="false" ht="14.35" hidden="false" customHeight="false" outlineLevel="0" collapsed="false">
      <c r="A199" s="4" t="n">
        <v>13788</v>
      </c>
      <c r="B199" s="15" t="n">
        <f aca="false">IF(C199&lt;=9,YEAR(A199),YEAR(A199)+1)</f>
        <v>1937</v>
      </c>
      <c r="C199" s="15" t="n">
        <f aca="false">MONTH(A199)</f>
        <v>9</v>
      </c>
      <c r="D199" s="15" t="n">
        <f aca="false">DAY(A199)</f>
        <v>30</v>
      </c>
      <c r="E199" s="15" t="n">
        <f aca="false">VLOOKUP(B199,WYT!$A$2:$L$97,12)</f>
        <v>1</v>
      </c>
      <c r="F199" s="15" t="n">
        <f aca="false">IF(C199=$W$5,1,0)</f>
        <v>0</v>
      </c>
      <c r="G199" s="15" t="n">
        <f aca="false">IF(C199=10,0,IF(F199=1,1,G198))</f>
        <v>1</v>
      </c>
      <c r="H199" s="5" t="n">
        <f aca="false">VA_base_426_data!B199</f>
        <v>1124.07643934869</v>
      </c>
      <c r="I199" s="5" t="n">
        <f aca="false">IF(AND(E199=1,OR(C199=4,C199=5)),25*12.1/24/D199*1000,0)</f>
        <v>0</v>
      </c>
      <c r="J199" s="5" t="n">
        <f aca="false">VA_base_426_data!C199</f>
        <v>1000</v>
      </c>
      <c r="K199" s="5" t="n">
        <f aca="false">H199+I199-J199</f>
        <v>124.076439348687</v>
      </c>
      <c r="L199" s="5" t="n">
        <f aca="false">MIN($W$7,J199+K199)</f>
        <v>1124.07643934869</v>
      </c>
      <c r="M199" s="5" t="n">
        <f aca="false">VA_base_426_data!D199</f>
        <v>773.3333333</v>
      </c>
      <c r="N199" s="5" t="n">
        <f aca="false">IF(AND(C199=10,E199=1),$W$6,N198-P198)</f>
        <v>0</v>
      </c>
      <c r="O199" s="5" t="n">
        <f aca="false">IF(ABS(M199-L199)&gt;1,MIN(N199/((L199-M199)*24/12.1/1000),D199),D199)</f>
        <v>0</v>
      </c>
      <c r="P199" s="5" t="n">
        <f aca="false">MIN(IF(AND(G199,E199),(L199-M199)*24/12.1*O199/1000,0),N199)</f>
        <v>0</v>
      </c>
      <c r="Q199" s="5" t="n">
        <f aca="false">IF(P199&gt;0,P199/O199*12.1/24*1000+M199,0)</f>
        <v>0</v>
      </c>
      <c r="R199" s="0" t="n">
        <f aca="false">IF(Q199&gt;0,TRUNC(O199),0)</f>
        <v>0</v>
      </c>
      <c r="S199" s="5" t="n">
        <f aca="false">(M199*(D199-R199)+(Q199*R199))/D199</f>
        <v>773.3333333</v>
      </c>
      <c r="T199" s="6" t="n">
        <f aca="false">(Q199-M199)*R199*24/12.1/1000</f>
        <v>-0</v>
      </c>
    </row>
    <row r="200" customFormat="false" ht="14.35" hidden="false" customHeight="false" outlineLevel="0" collapsed="false">
      <c r="A200" s="4" t="n">
        <v>13819</v>
      </c>
      <c r="B200" s="15" t="n">
        <f aca="false">IF(C200&lt;=9,YEAR(A200),YEAR(A200)+1)</f>
        <v>1938</v>
      </c>
      <c r="C200" s="15" t="n">
        <f aca="false">MONTH(A200)</f>
        <v>10</v>
      </c>
      <c r="D200" s="15" t="n">
        <f aca="false">DAY(A200)</f>
        <v>31</v>
      </c>
      <c r="E200" s="15" t="n">
        <f aca="false">VLOOKUP(B200,WYT!$A$2:$L$97,12)</f>
        <v>0</v>
      </c>
      <c r="F200" s="15" t="n">
        <f aca="false">IF(C200=$W$5,1,0)</f>
        <v>0</v>
      </c>
      <c r="G200" s="15" t="n">
        <f aca="false">IF(C200=10,0,IF(F200=1,1,G199))</f>
        <v>0</v>
      </c>
      <c r="H200" s="5" t="n">
        <f aca="false">VA_base_426_data!B200</f>
        <v>1700</v>
      </c>
      <c r="I200" s="5" t="n">
        <f aca="false">IF(AND(E200=1,OR(C200=4,C200=5)),25*12.1/24/D200*1000,0)</f>
        <v>0</v>
      </c>
      <c r="J200" s="5" t="n">
        <f aca="false">VA_base_426_data!C200</f>
        <v>1700</v>
      </c>
      <c r="K200" s="5" t="n">
        <f aca="false">H200+I200-J200</f>
        <v>0</v>
      </c>
      <c r="L200" s="5" t="n">
        <f aca="false">MIN($W$7,J200+K200)</f>
        <v>1700</v>
      </c>
      <c r="M200" s="5" t="n">
        <f aca="false">VA_base_426_data!D200</f>
        <v>800</v>
      </c>
      <c r="N200" s="5" t="n">
        <f aca="false">IF(AND(C200=10,E200=1),$W$6,N199-P199)</f>
        <v>0</v>
      </c>
      <c r="O200" s="5" t="n">
        <f aca="false">IF(ABS(M200-L200)&gt;1,MIN(N200/((L200-M200)*24/12.1/1000),D200),D200)</f>
        <v>0</v>
      </c>
      <c r="P200" s="5" t="n">
        <f aca="false">MIN(IF(AND(G200,E200),(L200-M200)*24/12.1*O200/1000,0),N200)</f>
        <v>0</v>
      </c>
      <c r="Q200" s="5" t="n">
        <f aca="false">IF(P200&gt;0,P200/O200*12.1/24*1000+M200,0)</f>
        <v>0</v>
      </c>
      <c r="R200" s="0" t="n">
        <f aca="false">IF(Q200&gt;0,TRUNC(O200),0)</f>
        <v>0</v>
      </c>
      <c r="S200" s="5" t="n">
        <f aca="false">(M200*(D200-R200)+(Q200*R200))/D200</f>
        <v>800</v>
      </c>
      <c r="T200" s="6" t="n">
        <f aca="false">(Q200-M200)*R200*24/12.1/1000</f>
        <v>-0</v>
      </c>
    </row>
    <row r="201" customFormat="false" ht="14.35" hidden="false" customHeight="false" outlineLevel="0" collapsed="false">
      <c r="A201" s="4" t="n">
        <v>13849</v>
      </c>
      <c r="B201" s="15" t="n">
        <f aca="false">IF(C201&lt;=9,YEAR(A201),YEAR(A201)+1)</f>
        <v>1938</v>
      </c>
      <c r="C201" s="15" t="n">
        <f aca="false">MONTH(A201)</f>
        <v>11</v>
      </c>
      <c r="D201" s="15" t="n">
        <f aca="false">DAY(A201)</f>
        <v>30</v>
      </c>
      <c r="E201" s="15" t="n">
        <f aca="false">VLOOKUP(B201,WYT!$A$2:$L$97,12)</f>
        <v>0</v>
      </c>
      <c r="F201" s="15" t="n">
        <f aca="false">IF(C201=$W$5,1,0)</f>
        <v>0</v>
      </c>
      <c r="G201" s="15" t="n">
        <f aca="false">IF(C201=10,0,IF(F201=1,1,G200))</f>
        <v>0</v>
      </c>
      <c r="H201" s="5" t="n">
        <f aca="false">VA_base_426_data!B201</f>
        <v>1700</v>
      </c>
      <c r="I201" s="5" t="n">
        <f aca="false">IF(AND(E201=1,OR(C201=4,C201=5)),25*12.1/24/D201*1000,0)</f>
        <v>0</v>
      </c>
      <c r="J201" s="5" t="n">
        <f aca="false">VA_base_426_data!C201</f>
        <v>1700</v>
      </c>
      <c r="K201" s="5" t="n">
        <f aca="false">H201+I201-J201</f>
        <v>0</v>
      </c>
      <c r="L201" s="5" t="n">
        <f aca="false">MIN($W$7,J201+K201)</f>
        <v>1700</v>
      </c>
      <c r="M201" s="5" t="n">
        <f aca="false">VA_base_426_data!D201</f>
        <v>800</v>
      </c>
      <c r="N201" s="5" t="n">
        <f aca="false">IF(AND(C201=10,E201=1),$W$6,N200-P200)</f>
        <v>0</v>
      </c>
      <c r="O201" s="5" t="n">
        <f aca="false">IF(ABS(M201-L201)&gt;1,MIN(N201/((L201-M201)*24/12.1/1000),D201),D201)</f>
        <v>0</v>
      </c>
      <c r="P201" s="5" t="n">
        <f aca="false">MIN(IF(AND(G201,E201),(L201-M201)*24/12.1*O201/1000,0),N201)</f>
        <v>0</v>
      </c>
      <c r="Q201" s="5" t="n">
        <f aca="false">IF(P201&gt;0,P201/O201*12.1/24*1000+M201,0)</f>
        <v>0</v>
      </c>
      <c r="R201" s="0" t="n">
        <f aca="false">IF(Q201&gt;0,TRUNC(O201),0)</f>
        <v>0</v>
      </c>
      <c r="S201" s="5" t="n">
        <f aca="false">(M201*(D201-R201)+(Q201*R201))/D201</f>
        <v>800</v>
      </c>
      <c r="T201" s="6" t="n">
        <f aca="false">(Q201-M201)*R201*24/12.1/1000</f>
        <v>-0</v>
      </c>
    </row>
    <row r="202" customFormat="false" ht="14.35" hidden="false" customHeight="false" outlineLevel="0" collapsed="false">
      <c r="A202" s="4" t="n">
        <v>13880</v>
      </c>
      <c r="B202" s="15" t="n">
        <f aca="false">IF(C202&lt;=9,YEAR(A202),YEAR(A202)+1)</f>
        <v>1938</v>
      </c>
      <c r="C202" s="15" t="n">
        <f aca="false">MONTH(A202)</f>
        <v>12</v>
      </c>
      <c r="D202" s="15" t="n">
        <f aca="false">DAY(A202)</f>
        <v>31</v>
      </c>
      <c r="E202" s="15" t="n">
        <f aca="false">VLOOKUP(B202,WYT!$A$2:$L$97,12)</f>
        <v>0</v>
      </c>
      <c r="F202" s="15" t="n">
        <f aca="false">IF(C202=$W$5,1,0)</f>
        <v>0</v>
      </c>
      <c r="G202" s="15" t="n">
        <f aca="false">IF(C202=10,0,IF(F202=1,1,G201))</f>
        <v>0</v>
      </c>
      <c r="H202" s="5" t="n">
        <f aca="false">VA_base_426_data!B202</f>
        <v>1700</v>
      </c>
      <c r="I202" s="5" t="n">
        <f aca="false">IF(AND(E202=1,OR(C202=4,C202=5)),25*12.1/24/D202*1000,0)</f>
        <v>0</v>
      </c>
      <c r="J202" s="5" t="n">
        <f aca="false">VA_base_426_data!C202</f>
        <v>1700</v>
      </c>
      <c r="K202" s="5" t="n">
        <f aca="false">H202+I202-J202</f>
        <v>0</v>
      </c>
      <c r="L202" s="5" t="n">
        <f aca="false">MIN($W$7,J202+K202)</f>
        <v>1700</v>
      </c>
      <c r="M202" s="5" t="n">
        <f aca="false">VA_base_426_data!D202</f>
        <v>800</v>
      </c>
      <c r="N202" s="5" t="n">
        <f aca="false">IF(AND(C202=10,E202=1),$W$6,N201-P201)</f>
        <v>0</v>
      </c>
      <c r="O202" s="5" t="n">
        <f aca="false">IF(ABS(M202-L202)&gt;1,MIN(N202/((L202-M202)*24/12.1/1000),D202),D202)</f>
        <v>0</v>
      </c>
      <c r="P202" s="5" t="n">
        <f aca="false">MIN(IF(AND(G202,E202),(L202-M202)*24/12.1*O202/1000,0),N202)</f>
        <v>0</v>
      </c>
      <c r="Q202" s="5" t="n">
        <f aca="false">IF(P202&gt;0,P202/O202*12.1/24*1000+M202,0)</f>
        <v>0</v>
      </c>
      <c r="R202" s="0" t="n">
        <f aca="false">IF(Q202&gt;0,TRUNC(O202),0)</f>
        <v>0</v>
      </c>
      <c r="S202" s="5" t="n">
        <f aca="false">(M202*(D202-R202)+(Q202*R202))/D202</f>
        <v>800</v>
      </c>
      <c r="T202" s="6" t="n">
        <f aca="false">(Q202-M202)*R202*24/12.1/1000</f>
        <v>-0</v>
      </c>
    </row>
    <row r="203" customFormat="false" ht="14.35" hidden="false" customHeight="false" outlineLevel="0" collapsed="false">
      <c r="A203" s="4" t="n">
        <v>13911</v>
      </c>
      <c r="B203" s="15" t="n">
        <f aca="false">IF(C203&lt;=9,YEAR(A203),YEAR(A203)+1)</f>
        <v>1938</v>
      </c>
      <c r="C203" s="15" t="n">
        <f aca="false">MONTH(A203)</f>
        <v>1</v>
      </c>
      <c r="D203" s="15" t="n">
        <f aca="false">DAY(A203)</f>
        <v>31</v>
      </c>
      <c r="E203" s="15" t="n">
        <f aca="false">VLOOKUP(B203,WYT!$A$2:$L$97,12)</f>
        <v>0</v>
      </c>
      <c r="F203" s="15" t="n">
        <f aca="false">IF(C203=$W$5,1,0)</f>
        <v>0</v>
      </c>
      <c r="G203" s="15" t="n">
        <f aca="false">IF(C203=10,0,IF(F203=1,1,G202))</f>
        <v>0</v>
      </c>
      <c r="H203" s="5" t="n">
        <f aca="false">VA_base_426_data!B203</f>
        <v>1700</v>
      </c>
      <c r="I203" s="5" t="n">
        <f aca="false">IF(AND(E203=1,OR(C203=4,C203=5)),25*12.1/24/D203*1000,0)</f>
        <v>0</v>
      </c>
      <c r="J203" s="5" t="n">
        <f aca="false">VA_base_426_data!C203</f>
        <v>1700</v>
      </c>
      <c r="K203" s="5" t="n">
        <f aca="false">H203+I203-J203</f>
        <v>0</v>
      </c>
      <c r="L203" s="5" t="n">
        <f aca="false">MIN($W$7,J203+K203)</f>
        <v>1700</v>
      </c>
      <c r="M203" s="5" t="n">
        <f aca="false">VA_base_426_data!D203</f>
        <v>800</v>
      </c>
      <c r="N203" s="5" t="n">
        <f aca="false">IF(AND(C203=10,E203=1),$W$6,N202-P202)</f>
        <v>0</v>
      </c>
      <c r="O203" s="5" t="n">
        <f aca="false">IF(ABS(M203-L203)&gt;1,MIN(N203/((L203-M203)*24/12.1/1000),D203),D203)</f>
        <v>0</v>
      </c>
      <c r="P203" s="5" t="n">
        <f aca="false">MIN(IF(AND(G203,E203),(L203-M203)*24/12.1*O203/1000,0),N203)</f>
        <v>0</v>
      </c>
      <c r="Q203" s="5" t="n">
        <f aca="false">IF(P203&gt;0,P203/O203*12.1/24*1000+M203,0)</f>
        <v>0</v>
      </c>
      <c r="R203" s="0" t="n">
        <f aca="false">IF(Q203&gt;0,TRUNC(O203),0)</f>
        <v>0</v>
      </c>
      <c r="S203" s="5" t="n">
        <f aca="false">(M203*(D203-R203)+(Q203*R203))/D203</f>
        <v>800</v>
      </c>
      <c r="T203" s="6" t="n">
        <f aca="false">(Q203-M203)*R203*24/12.1/1000</f>
        <v>-0</v>
      </c>
    </row>
    <row r="204" customFormat="false" ht="14.35" hidden="false" customHeight="false" outlineLevel="0" collapsed="false">
      <c r="A204" s="4" t="n">
        <v>13939</v>
      </c>
      <c r="B204" s="15" t="n">
        <f aca="false">IF(C204&lt;=9,YEAR(A204),YEAR(A204)+1)</f>
        <v>1938</v>
      </c>
      <c r="C204" s="15" t="n">
        <f aca="false">MONTH(A204)</f>
        <v>2</v>
      </c>
      <c r="D204" s="15" t="n">
        <f aca="false">DAY(A204)</f>
        <v>28</v>
      </c>
      <c r="E204" s="15" t="n">
        <f aca="false">VLOOKUP(B204,WYT!$A$2:$L$97,12)</f>
        <v>0</v>
      </c>
      <c r="F204" s="15" t="n">
        <f aca="false">IF(C204=$W$5,1,0)</f>
        <v>1</v>
      </c>
      <c r="G204" s="15" t="n">
        <f aca="false">IF(C204=10,0,IF(F204=1,1,G203))</f>
        <v>1</v>
      </c>
      <c r="H204" s="5" t="n">
        <f aca="false">VA_base_426_data!B204</f>
        <v>5353.23497244852</v>
      </c>
      <c r="I204" s="5" t="n">
        <f aca="false">IF(AND(E204=1,OR(C204=4,C204=5)),25*12.1/24/D204*1000,0)</f>
        <v>0</v>
      </c>
      <c r="J204" s="5" t="n">
        <f aca="false">VA_base_426_data!C204</f>
        <v>1700</v>
      </c>
      <c r="K204" s="5" t="n">
        <f aca="false">H204+I204-J204</f>
        <v>3653.23497244852</v>
      </c>
      <c r="L204" s="5" t="n">
        <f aca="false">MIN($W$7,J204+K204)</f>
        <v>2000</v>
      </c>
      <c r="M204" s="5" t="n">
        <f aca="false">VA_base_426_data!D204</f>
        <v>800</v>
      </c>
      <c r="N204" s="5" t="n">
        <f aca="false">IF(AND(C204=10,E204=1),$W$6,N203-P203)</f>
        <v>0</v>
      </c>
      <c r="O204" s="5" t="n">
        <f aca="false">IF(ABS(M204-L204)&gt;1,MIN(N204/((L204-M204)*24/12.1/1000),D204),D204)</f>
        <v>0</v>
      </c>
      <c r="P204" s="5" t="n">
        <f aca="false">MIN(IF(AND(G204,E204),(L204-M204)*24/12.1*O204/1000,0),N204)</f>
        <v>0</v>
      </c>
      <c r="Q204" s="5" t="n">
        <f aca="false">IF(P204&gt;0,P204/O204*12.1/24*1000+M204,0)</f>
        <v>0</v>
      </c>
      <c r="R204" s="0" t="n">
        <f aca="false">IF(Q204&gt;0,TRUNC(O204),0)</f>
        <v>0</v>
      </c>
      <c r="S204" s="5" t="n">
        <f aca="false">(M204*(D204-R204)+(Q204*R204))/D204</f>
        <v>800</v>
      </c>
      <c r="T204" s="6" t="n">
        <f aca="false">(Q204-M204)*R204*24/12.1/1000</f>
        <v>-0</v>
      </c>
    </row>
    <row r="205" customFormat="false" ht="14.35" hidden="false" customHeight="false" outlineLevel="0" collapsed="false">
      <c r="A205" s="4" t="n">
        <v>13970</v>
      </c>
      <c r="B205" s="15" t="n">
        <f aca="false">IF(C205&lt;=9,YEAR(A205),YEAR(A205)+1)</f>
        <v>1938</v>
      </c>
      <c r="C205" s="15" t="n">
        <f aca="false">MONTH(A205)</f>
        <v>3</v>
      </c>
      <c r="D205" s="15" t="n">
        <f aca="false">DAY(A205)</f>
        <v>31</v>
      </c>
      <c r="E205" s="15" t="n">
        <f aca="false">VLOOKUP(B205,WYT!$A$2:$L$97,12)</f>
        <v>0</v>
      </c>
      <c r="F205" s="15" t="n">
        <f aca="false">IF(C205=$W$5,1,0)</f>
        <v>0</v>
      </c>
      <c r="G205" s="15" t="n">
        <f aca="false">IF(C205=10,0,IF(F205=1,1,G204))</f>
        <v>1</v>
      </c>
      <c r="H205" s="5" t="n">
        <f aca="false">VA_base_426_data!B205</f>
        <v>19362.9883846221</v>
      </c>
      <c r="I205" s="5" t="n">
        <f aca="false">IF(AND(E205=1,OR(C205=4,C205=5)),25*12.1/24/D205*1000,0)</f>
        <v>0</v>
      </c>
      <c r="J205" s="5" t="n">
        <f aca="false">VA_base_426_data!C205</f>
        <v>1700</v>
      </c>
      <c r="K205" s="5" t="n">
        <f aca="false">H205+I205-J205</f>
        <v>17662.9883846221</v>
      </c>
      <c r="L205" s="5" t="n">
        <f aca="false">MIN($W$7,J205+K205)</f>
        <v>2000</v>
      </c>
      <c r="M205" s="5" t="n">
        <f aca="false">VA_base_426_data!D205</f>
        <v>800</v>
      </c>
      <c r="N205" s="5" t="n">
        <f aca="false">IF(AND(C205=10,E205=1),$W$6,N204-P204)</f>
        <v>0</v>
      </c>
      <c r="O205" s="5" t="n">
        <f aca="false">IF(ABS(M205-L205)&gt;1,MIN(N205/((L205-M205)*24/12.1/1000),D205),D205)</f>
        <v>0</v>
      </c>
      <c r="P205" s="5" t="n">
        <f aca="false">MIN(IF(AND(G205,E205),(L205-M205)*24/12.1*O205/1000,0),N205)</f>
        <v>0</v>
      </c>
      <c r="Q205" s="5" t="n">
        <f aca="false">IF(P205&gt;0,P205/O205*12.1/24*1000+M205,0)</f>
        <v>0</v>
      </c>
      <c r="R205" s="0" t="n">
        <f aca="false">IF(Q205&gt;0,TRUNC(O205),0)</f>
        <v>0</v>
      </c>
      <c r="S205" s="5" t="n">
        <f aca="false">(M205*(D205-R205)+(Q205*R205))/D205</f>
        <v>800</v>
      </c>
      <c r="T205" s="6" t="n">
        <f aca="false">(Q205-M205)*R205*24/12.1/1000</f>
        <v>-0</v>
      </c>
    </row>
    <row r="206" customFormat="false" ht="14.35" hidden="false" customHeight="false" outlineLevel="0" collapsed="false">
      <c r="A206" s="4" t="n">
        <v>14000</v>
      </c>
      <c r="B206" s="15" t="n">
        <f aca="false">IF(C206&lt;=9,YEAR(A206),YEAR(A206)+1)</f>
        <v>1938</v>
      </c>
      <c r="C206" s="15" t="n">
        <f aca="false">MONTH(A206)</f>
        <v>4</v>
      </c>
      <c r="D206" s="15" t="n">
        <f aca="false">DAY(A206)</f>
        <v>30</v>
      </c>
      <c r="E206" s="15" t="n">
        <f aca="false">VLOOKUP(B206,WYT!$A$2:$L$97,12)</f>
        <v>0</v>
      </c>
      <c r="F206" s="15" t="n">
        <f aca="false">IF(C206=$W$5,1,0)</f>
        <v>0</v>
      </c>
      <c r="G206" s="15" t="n">
        <f aca="false">IF(C206=10,0,IF(F206=1,1,G205))</f>
        <v>1</v>
      </c>
      <c r="H206" s="5" t="n">
        <f aca="false">VA_base_426_data!B206</f>
        <v>13116.3148656956</v>
      </c>
      <c r="I206" s="5" t="n">
        <f aca="false">IF(AND(E206=1,OR(C206=4,C206=5)),25*12.1/24/D206*1000,0)</f>
        <v>0</v>
      </c>
      <c r="J206" s="5" t="n">
        <f aca="false">VA_base_426_data!C206</f>
        <v>1000</v>
      </c>
      <c r="K206" s="5" t="n">
        <f aca="false">H206+I206-J206</f>
        <v>12116.3148656956</v>
      </c>
      <c r="L206" s="5" t="n">
        <f aca="false">MIN($W$7,J206+K206)</f>
        <v>2000</v>
      </c>
      <c r="M206" s="5" t="n">
        <f aca="false">VA_base_426_data!D206</f>
        <v>700</v>
      </c>
      <c r="N206" s="5" t="n">
        <f aca="false">IF(AND(C206=10,E206=1),$W$6,N205-P205)</f>
        <v>0</v>
      </c>
      <c r="O206" s="5" t="n">
        <f aca="false">IF(ABS(M206-L206)&gt;1,MIN(N206/((L206-M206)*24/12.1/1000),D206),D206)</f>
        <v>0</v>
      </c>
      <c r="P206" s="5" t="n">
        <f aca="false">MIN(IF(AND(G206,E206),(L206-M206)*24/12.1*O206/1000,0),N206)</f>
        <v>0</v>
      </c>
      <c r="Q206" s="5" t="n">
        <f aca="false">IF(P206&gt;0,P206/O206*12.1/24*1000+M206,0)</f>
        <v>0</v>
      </c>
      <c r="R206" s="0" t="n">
        <f aca="false">IF(Q206&gt;0,TRUNC(O206),0)</f>
        <v>0</v>
      </c>
      <c r="S206" s="5" t="n">
        <f aca="false">(M206*(D206-R206)+(Q206*R206))/D206</f>
        <v>700</v>
      </c>
      <c r="T206" s="6" t="n">
        <f aca="false">(Q206-M206)*R206*24/12.1/1000</f>
        <v>-0</v>
      </c>
    </row>
    <row r="207" customFormat="false" ht="14.35" hidden="false" customHeight="false" outlineLevel="0" collapsed="false">
      <c r="A207" s="4" t="n">
        <v>14031</v>
      </c>
      <c r="B207" s="15" t="n">
        <f aca="false">IF(C207&lt;=9,YEAR(A207),YEAR(A207)+1)</f>
        <v>1938</v>
      </c>
      <c r="C207" s="15" t="n">
        <f aca="false">MONTH(A207)</f>
        <v>5</v>
      </c>
      <c r="D207" s="15" t="n">
        <f aca="false">DAY(A207)</f>
        <v>31</v>
      </c>
      <c r="E207" s="15" t="n">
        <f aca="false">VLOOKUP(B207,WYT!$A$2:$L$97,12)</f>
        <v>0</v>
      </c>
      <c r="F207" s="15" t="n">
        <f aca="false">IF(C207=$W$5,1,0)</f>
        <v>0</v>
      </c>
      <c r="G207" s="15" t="n">
        <f aca="false">IF(C207=10,0,IF(F207=1,1,G206))</f>
        <v>1</v>
      </c>
      <c r="H207" s="5" t="n">
        <f aca="false">VA_base_426_data!B207</f>
        <v>17332.7098214883</v>
      </c>
      <c r="I207" s="5" t="n">
        <f aca="false">IF(AND(E207=1,OR(C207=4,C207=5)),25*12.1/24/D207*1000,0)</f>
        <v>0</v>
      </c>
      <c r="J207" s="5" t="n">
        <f aca="false">VA_base_426_data!C207</f>
        <v>1000</v>
      </c>
      <c r="K207" s="5" t="n">
        <f aca="false">H207+I207-J207</f>
        <v>16332.7098214883</v>
      </c>
      <c r="L207" s="5" t="n">
        <f aca="false">MIN($W$7,J207+K207)</f>
        <v>2000</v>
      </c>
      <c r="M207" s="5" t="n">
        <f aca="false">VA_base_426_data!D207</f>
        <v>700</v>
      </c>
      <c r="N207" s="5" t="n">
        <f aca="false">IF(AND(C207=10,E207=1),$W$6,N206-P206)</f>
        <v>0</v>
      </c>
      <c r="O207" s="5" t="n">
        <f aca="false">IF(ABS(M207-L207)&gt;1,MIN(N207/((L207-M207)*24/12.1/1000),D207),D207)</f>
        <v>0</v>
      </c>
      <c r="P207" s="5" t="n">
        <f aca="false">MIN(IF(AND(G207,E207),(L207-M207)*24/12.1*O207/1000,0),N207)</f>
        <v>0</v>
      </c>
      <c r="Q207" s="5" t="n">
        <f aca="false">IF(P207&gt;0,P207/O207*12.1/24*1000+M207,0)</f>
        <v>0</v>
      </c>
      <c r="R207" s="0" t="n">
        <f aca="false">IF(Q207&gt;0,TRUNC(O207),0)</f>
        <v>0</v>
      </c>
      <c r="S207" s="5" t="n">
        <f aca="false">(M207*(D207-R207)+(Q207*R207))/D207</f>
        <v>700</v>
      </c>
      <c r="T207" s="6" t="n">
        <f aca="false">(Q207-M207)*R207*24/12.1/1000</f>
        <v>-0</v>
      </c>
    </row>
    <row r="208" customFormat="false" ht="14.35" hidden="false" customHeight="false" outlineLevel="0" collapsed="false">
      <c r="A208" s="4" t="n">
        <v>14061</v>
      </c>
      <c r="B208" s="15" t="n">
        <f aca="false">IF(C208&lt;=9,YEAR(A208),YEAR(A208)+1)</f>
        <v>1938</v>
      </c>
      <c r="C208" s="15" t="n">
        <f aca="false">MONTH(A208)</f>
        <v>6</v>
      </c>
      <c r="D208" s="15" t="n">
        <f aca="false">DAY(A208)</f>
        <v>30</v>
      </c>
      <c r="E208" s="15" t="n">
        <f aca="false">VLOOKUP(B208,WYT!$A$2:$L$97,12)</f>
        <v>0</v>
      </c>
      <c r="F208" s="15" t="n">
        <f aca="false">IF(C208=$W$5,1,0)</f>
        <v>0</v>
      </c>
      <c r="G208" s="15" t="n">
        <f aca="false">IF(C208=10,0,IF(F208=1,1,G207))</f>
        <v>1</v>
      </c>
      <c r="H208" s="5" t="n">
        <f aca="false">VA_base_426_data!B208</f>
        <v>8203.28438192461</v>
      </c>
      <c r="I208" s="5" t="n">
        <f aca="false">IF(AND(E208=1,OR(C208=4,C208=5)),25*12.1/24/D208*1000,0)</f>
        <v>0</v>
      </c>
      <c r="J208" s="5" t="n">
        <f aca="false">VA_base_426_data!C208</f>
        <v>1000</v>
      </c>
      <c r="K208" s="5" t="n">
        <f aca="false">H208+I208-J208</f>
        <v>7203.28438192461</v>
      </c>
      <c r="L208" s="5" t="n">
        <f aca="false">MIN($W$7,J208+K208)</f>
        <v>2000</v>
      </c>
      <c r="M208" s="5" t="n">
        <f aca="false">VA_base_426_data!D208</f>
        <v>700</v>
      </c>
      <c r="N208" s="5" t="n">
        <f aca="false">IF(AND(C208=10,E208=1),$W$6,N207-P207)</f>
        <v>0</v>
      </c>
      <c r="O208" s="5" t="n">
        <f aca="false">IF(ABS(M208-L208)&gt;1,MIN(N208/((L208-M208)*24/12.1/1000),D208),D208)</f>
        <v>0</v>
      </c>
      <c r="P208" s="5" t="n">
        <f aca="false">MIN(IF(AND(G208,E208),(L208-M208)*24/12.1*O208/1000,0),N208)</f>
        <v>0</v>
      </c>
      <c r="Q208" s="5" t="n">
        <f aca="false">IF(P208&gt;0,P208/O208*12.1/24*1000+M208,0)</f>
        <v>0</v>
      </c>
      <c r="R208" s="0" t="n">
        <f aca="false">IF(Q208&gt;0,TRUNC(O208),0)</f>
        <v>0</v>
      </c>
      <c r="S208" s="5" t="n">
        <f aca="false">(M208*(D208-R208)+(Q208*R208))/D208</f>
        <v>700</v>
      </c>
      <c r="T208" s="6" t="n">
        <f aca="false">(Q208-M208)*R208*24/12.1/1000</f>
        <v>-0</v>
      </c>
    </row>
    <row r="209" customFormat="false" ht="14.35" hidden="false" customHeight="false" outlineLevel="0" collapsed="false">
      <c r="A209" s="4" t="n">
        <v>14092</v>
      </c>
      <c r="B209" s="15" t="n">
        <f aca="false">IF(C209&lt;=9,YEAR(A209),YEAR(A209)+1)</f>
        <v>1938</v>
      </c>
      <c r="C209" s="15" t="n">
        <f aca="false">MONTH(A209)</f>
        <v>7</v>
      </c>
      <c r="D209" s="15" t="n">
        <f aca="false">DAY(A209)</f>
        <v>31</v>
      </c>
      <c r="E209" s="15" t="n">
        <f aca="false">VLOOKUP(B209,WYT!$A$2:$L$97,12)</f>
        <v>0</v>
      </c>
      <c r="F209" s="15" t="n">
        <f aca="false">IF(C209=$W$5,1,0)</f>
        <v>0</v>
      </c>
      <c r="G209" s="15" t="n">
        <f aca="false">IF(C209=10,0,IF(F209=1,1,G208))</f>
        <v>1</v>
      </c>
      <c r="H209" s="5" t="n">
        <f aca="false">VA_base_426_data!B209</f>
        <v>3995.94086106413</v>
      </c>
      <c r="I209" s="5" t="n">
        <f aca="false">IF(AND(E209=1,OR(C209=4,C209=5)),25*12.1/24/D209*1000,0)</f>
        <v>0</v>
      </c>
      <c r="J209" s="5" t="n">
        <f aca="false">VA_base_426_data!C209</f>
        <v>1000</v>
      </c>
      <c r="K209" s="5" t="n">
        <f aca="false">H209+I209-J209</f>
        <v>2995.94086106413</v>
      </c>
      <c r="L209" s="5" t="n">
        <f aca="false">MIN($W$7,J209+K209)</f>
        <v>2000</v>
      </c>
      <c r="M209" s="5" t="n">
        <f aca="false">VA_base_426_data!D209</f>
        <v>700</v>
      </c>
      <c r="N209" s="5" t="n">
        <f aca="false">IF(AND(C209=10,E209=1),$W$6,N208-P208)</f>
        <v>0</v>
      </c>
      <c r="O209" s="5" t="n">
        <f aca="false">IF(ABS(M209-L209)&gt;1,MIN(N209/((L209-M209)*24/12.1/1000),D209),D209)</f>
        <v>0</v>
      </c>
      <c r="P209" s="5" t="n">
        <f aca="false">MIN(IF(AND(G209,E209),(L209-M209)*24/12.1*O209/1000,0),N209)</f>
        <v>0</v>
      </c>
      <c r="Q209" s="5" t="n">
        <f aca="false">IF(P209&gt;0,P209/O209*12.1/24*1000+M209,0)</f>
        <v>0</v>
      </c>
      <c r="R209" s="0" t="n">
        <f aca="false">IF(Q209&gt;0,TRUNC(O209),0)</f>
        <v>0</v>
      </c>
      <c r="S209" s="5" t="n">
        <f aca="false">(M209*(D209-R209)+(Q209*R209))/D209</f>
        <v>700</v>
      </c>
      <c r="T209" s="6" t="n">
        <f aca="false">(Q209-M209)*R209*24/12.1/1000</f>
        <v>-0</v>
      </c>
    </row>
    <row r="210" customFormat="false" ht="14.35" hidden="false" customHeight="false" outlineLevel="0" collapsed="false">
      <c r="A210" s="4" t="n">
        <v>14123</v>
      </c>
      <c r="B210" s="15" t="n">
        <f aca="false">IF(C210&lt;=9,YEAR(A210),YEAR(A210)+1)</f>
        <v>1938</v>
      </c>
      <c r="C210" s="15" t="n">
        <f aca="false">MONTH(A210)</f>
        <v>8</v>
      </c>
      <c r="D210" s="15" t="n">
        <f aca="false">DAY(A210)</f>
        <v>31</v>
      </c>
      <c r="E210" s="15" t="n">
        <f aca="false">VLOOKUP(B210,WYT!$A$2:$L$97,12)</f>
        <v>0</v>
      </c>
      <c r="F210" s="15" t="n">
        <f aca="false">IF(C210=$W$5,1,0)</f>
        <v>0</v>
      </c>
      <c r="G210" s="15" t="n">
        <f aca="false">IF(C210=10,0,IF(F210=1,1,G209))</f>
        <v>1</v>
      </c>
      <c r="H210" s="5" t="n">
        <f aca="false">VA_base_426_data!B210</f>
        <v>3946.02852164116</v>
      </c>
      <c r="I210" s="5" t="n">
        <f aca="false">IF(AND(E210=1,OR(C210=4,C210=5)),25*12.1/24/D210*1000,0)</f>
        <v>0</v>
      </c>
      <c r="J210" s="5" t="n">
        <f aca="false">VA_base_426_data!C210</f>
        <v>1000</v>
      </c>
      <c r="K210" s="5" t="n">
        <f aca="false">H210+I210-J210</f>
        <v>2946.02852164116</v>
      </c>
      <c r="L210" s="5" t="n">
        <f aca="false">MIN($W$7,J210+K210)</f>
        <v>2000</v>
      </c>
      <c r="M210" s="5" t="n">
        <f aca="false">VA_base_426_data!D210</f>
        <v>700</v>
      </c>
      <c r="N210" s="5" t="n">
        <f aca="false">IF(AND(C210=10,E210=1),$W$6,N209-P209)</f>
        <v>0</v>
      </c>
      <c r="O210" s="5" t="n">
        <f aca="false">IF(ABS(M210-L210)&gt;1,MIN(N210/((L210-M210)*24/12.1/1000),D210),D210)</f>
        <v>0</v>
      </c>
      <c r="P210" s="5" t="n">
        <f aca="false">MIN(IF(AND(G210,E210),(L210-M210)*24/12.1*O210/1000,0),N210)</f>
        <v>0</v>
      </c>
      <c r="Q210" s="5" t="n">
        <f aca="false">IF(P210&gt;0,P210/O210*12.1/24*1000+M210,0)</f>
        <v>0</v>
      </c>
      <c r="R210" s="0" t="n">
        <f aca="false">IF(Q210&gt;0,TRUNC(O210),0)</f>
        <v>0</v>
      </c>
      <c r="S210" s="5" t="n">
        <f aca="false">(M210*(D210-R210)+(Q210*R210))/D210</f>
        <v>700</v>
      </c>
      <c r="T210" s="6" t="n">
        <f aca="false">(Q210-M210)*R210*24/12.1/1000</f>
        <v>-0</v>
      </c>
    </row>
    <row r="211" customFormat="false" ht="14.35" hidden="false" customHeight="false" outlineLevel="0" collapsed="false">
      <c r="A211" s="4" t="n">
        <v>14153</v>
      </c>
      <c r="B211" s="15" t="n">
        <f aca="false">IF(C211&lt;=9,YEAR(A211),YEAR(A211)+1)</f>
        <v>1938</v>
      </c>
      <c r="C211" s="15" t="n">
        <f aca="false">MONTH(A211)</f>
        <v>9</v>
      </c>
      <c r="D211" s="15" t="n">
        <f aca="false">DAY(A211)</f>
        <v>30</v>
      </c>
      <c r="E211" s="15" t="n">
        <f aca="false">VLOOKUP(B211,WYT!$A$2:$L$97,12)</f>
        <v>0</v>
      </c>
      <c r="F211" s="15" t="n">
        <f aca="false">IF(C211=$W$5,1,0)</f>
        <v>0</v>
      </c>
      <c r="G211" s="15" t="n">
        <f aca="false">IF(C211=10,0,IF(F211=1,1,G210))</f>
        <v>1</v>
      </c>
      <c r="H211" s="5" t="n">
        <f aca="false">VA_base_426_data!B211</f>
        <v>9797.16567993164</v>
      </c>
      <c r="I211" s="5" t="n">
        <f aca="false">IF(AND(E211=1,OR(C211=4,C211=5)),25*12.1/24/D211*1000,0)</f>
        <v>0</v>
      </c>
      <c r="J211" s="5" t="n">
        <f aca="false">VA_base_426_data!C211</f>
        <v>1000</v>
      </c>
      <c r="K211" s="5" t="n">
        <f aca="false">H211+I211-J211</f>
        <v>8797.16567993164</v>
      </c>
      <c r="L211" s="5" t="n">
        <f aca="false">MIN($W$7,J211+K211)</f>
        <v>2000</v>
      </c>
      <c r="M211" s="5" t="n">
        <f aca="false">VA_base_426_data!D211</f>
        <v>773.3333333</v>
      </c>
      <c r="N211" s="5" t="n">
        <f aca="false">IF(AND(C211=10,E211=1),$W$6,N210-P210)</f>
        <v>0</v>
      </c>
      <c r="O211" s="5" t="n">
        <f aca="false">IF(ABS(M211-L211)&gt;1,MIN(N211/((L211-M211)*24/12.1/1000),D211),D211)</f>
        <v>0</v>
      </c>
      <c r="P211" s="5" t="n">
        <f aca="false">MIN(IF(AND(G211,E211),(L211-M211)*24/12.1*O211/1000,0),N211)</f>
        <v>0</v>
      </c>
      <c r="Q211" s="5" t="n">
        <f aca="false">IF(P211&gt;0,P211/O211*12.1/24*1000+M211,0)</f>
        <v>0</v>
      </c>
      <c r="R211" s="0" t="n">
        <f aca="false">IF(Q211&gt;0,TRUNC(O211),0)</f>
        <v>0</v>
      </c>
      <c r="S211" s="5" t="n">
        <f aca="false">(M211*(D211-R211)+(Q211*R211))/D211</f>
        <v>773.3333333</v>
      </c>
      <c r="T211" s="6" t="n">
        <f aca="false">(Q211-M211)*R211*24/12.1/1000</f>
        <v>-0</v>
      </c>
    </row>
    <row r="212" customFormat="false" ht="14.35" hidden="false" customHeight="false" outlineLevel="0" collapsed="false">
      <c r="A212" s="4" t="n">
        <v>14184</v>
      </c>
      <c r="B212" s="15" t="n">
        <f aca="false">IF(C212&lt;=9,YEAR(A212),YEAR(A212)+1)</f>
        <v>1939</v>
      </c>
      <c r="C212" s="15" t="n">
        <f aca="false">MONTH(A212)</f>
        <v>10</v>
      </c>
      <c r="D212" s="15" t="n">
        <f aca="false">DAY(A212)</f>
        <v>31</v>
      </c>
      <c r="E212" s="15" t="n">
        <f aca="false">VLOOKUP(B212,WYT!$A$2:$L$97,12)</f>
        <v>1</v>
      </c>
      <c r="F212" s="15" t="n">
        <f aca="false">IF(C212=$W$5,1,0)</f>
        <v>0</v>
      </c>
      <c r="G212" s="15" t="n">
        <f aca="false">IF(C212=10,0,IF(F212=1,1,G211))</f>
        <v>0</v>
      </c>
      <c r="H212" s="5" t="n">
        <f aca="false">VA_base_426_data!B212</f>
        <v>4000</v>
      </c>
      <c r="I212" s="5" t="n">
        <f aca="false">IF(AND(E212=1,OR(C212=4,C212=5)),25*12.1/24/D212*1000,0)</f>
        <v>0</v>
      </c>
      <c r="J212" s="5" t="n">
        <f aca="false">VA_base_426_data!C212</f>
        <v>1700</v>
      </c>
      <c r="K212" s="5" t="n">
        <f aca="false">H212+I212-J212</f>
        <v>2300</v>
      </c>
      <c r="L212" s="5" t="n">
        <f aca="false">MIN($W$7,J212+K212)</f>
        <v>2000</v>
      </c>
      <c r="M212" s="5" t="n">
        <f aca="false">VA_base_426_data!D212</f>
        <v>800</v>
      </c>
      <c r="N212" s="5" t="n">
        <f aca="false">IF(AND(C212=10,E212=1),$W$6,N211-P211)</f>
        <v>43</v>
      </c>
      <c r="O212" s="5" t="n">
        <f aca="false">IF(ABS(M212-L212)&gt;1,MIN(N212/((L212-M212)*24/12.1/1000),D212),D212)</f>
        <v>18.0659722222222</v>
      </c>
      <c r="P212" s="5" t="n">
        <f aca="false">MIN(IF(AND(G212,E212),(L212-M212)*24/12.1*O212/1000,0),N212)</f>
        <v>0</v>
      </c>
      <c r="Q212" s="5" t="n">
        <f aca="false">IF(P212&gt;0,P212/O212*12.1/24*1000+M212,0)</f>
        <v>0</v>
      </c>
      <c r="R212" s="0" t="n">
        <f aca="false">IF(Q212&gt;0,TRUNC(O212),0)</f>
        <v>0</v>
      </c>
      <c r="S212" s="5" t="n">
        <f aca="false">(M212*(D212-R212)+(Q212*R212))/D212</f>
        <v>800</v>
      </c>
      <c r="T212" s="6" t="n">
        <f aca="false">(Q212-M212)*R212*24/12.1/1000</f>
        <v>-0</v>
      </c>
    </row>
    <row r="213" customFormat="false" ht="14.35" hidden="false" customHeight="false" outlineLevel="0" collapsed="false">
      <c r="A213" s="4" t="n">
        <v>14214</v>
      </c>
      <c r="B213" s="15" t="n">
        <f aca="false">IF(C213&lt;=9,YEAR(A213),YEAR(A213)+1)</f>
        <v>1939</v>
      </c>
      <c r="C213" s="15" t="n">
        <f aca="false">MONTH(A213)</f>
        <v>11</v>
      </c>
      <c r="D213" s="15" t="n">
        <f aca="false">DAY(A213)</f>
        <v>30</v>
      </c>
      <c r="E213" s="15" t="n">
        <f aca="false">VLOOKUP(B213,WYT!$A$2:$L$97,12)</f>
        <v>1</v>
      </c>
      <c r="F213" s="15" t="n">
        <f aca="false">IF(C213=$W$5,1,0)</f>
        <v>0</v>
      </c>
      <c r="G213" s="15" t="n">
        <f aca="false">IF(C213=10,0,IF(F213=1,1,G212))</f>
        <v>0</v>
      </c>
      <c r="H213" s="5" t="n">
        <f aca="false">VA_base_426_data!B213</f>
        <v>2500</v>
      </c>
      <c r="I213" s="5" t="n">
        <f aca="false">IF(AND(E213=1,OR(C213=4,C213=5)),25*12.1/24/D213*1000,0)</f>
        <v>0</v>
      </c>
      <c r="J213" s="5" t="n">
        <f aca="false">VA_base_426_data!C213</f>
        <v>1700</v>
      </c>
      <c r="K213" s="5" t="n">
        <f aca="false">H213+I213-J213</f>
        <v>800</v>
      </c>
      <c r="L213" s="5" t="n">
        <f aca="false">MIN($W$7,J213+K213)</f>
        <v>2000</v>
      </c>
      <c r="M213" s="5" t="n">
        <f aca="false">VA_base_426_data!D213</f>
        <v>800</v>
      </c>
      <c r="N213" s="5" t="n">
        <f aca="false">IF(AND(C213=10,E213=1),$W$6,N212-P212)</f>
        <v>43</v>
      </c>
      <c r="O213" s="5" t="n">
        <f aca="false">IF(ABS(M213-L213)&gt;1,MIN(N213/((L213-M213)*24/12.1/1000),D213),D213)</f>
        <v>18.0659722222222</v>
      </c>
      <c r="P213" s="5" t="n">
        <f aca="false">MIN(IF(AND(G213,E213),(L213-M213)*24/12.1*O213/1000,0),N213)</f>
        <v>0</v>
      </c>
      <c r="Q213" s="5" t="n">
        <f aca="false">IF(P213&gt;0,P213/O213*12.1/24*1000+M213,0)</f>
        <v>0</v>
      </c>
      <c r="R213" s="0" t="n">
        <f aca="false">IF(Q213&gt;0,TRUNC(O213),0)</f>
        <v>0</v>
      </c>
      <c r="S213" s="5" t="n">
        <f aca="false">(M213*(D213-R213)+(Q213*R213))/D213</f>
        <v>800</v>
      </c>
      <c r="T213" s="6" t="n">
        <f aca="false">(Q213-M213)*R213*24/12.1/1000</f>
        <v>-0</v>
      </c>
    </row>
    <row r="214" customFormat="false" ht="14.35" hidden="false" customHeight="false" outlineLevel="0" collapsed="false">
      <c r="A214" s="4" t="n">
        <v>14245</v>
      </c>
      <c r="B214" s="15" t="n">
        <f aca="false">IF(C214&lt;=9,YEAR(A214),YEAR(A214)+1)</f>
        <v>1939</v>
      </c>
      <c r="C214" s="15" t="n">
        <f aca="false">MONTH(A214)</f>
        <v>12</v>
      </c>
      <c r="D214" s="15" t="n">
        <f aca="false">DAY(A214)</f>
        <v>31</v>
      </c>
      <c r="E214" s="15" t="n">
        <f aca="false">VLOOKUP(B214,WYT!$A$2:$L$97,12)</f>
        <v>1</v>
      </c>
      <c r="F214" s="15" t="n">
        <f aca="false">IF(C214=$W$5,1,0)</f>
        <v>0</v>
      </c>
      <c r="G214" s="15" t="n">
        <f aca="false">IF(C214=10,0,IF(F214=1,1,G213))</f>
        <v>0</v>
      </c>
      <c r="H214" s="5" t="n">
        <f aca="false">VA_base_426_data!B214</f>
        <v>4112.87766530275</v>
      </c>
      <c r="I214" s="5" t="n">
        <f aca="false">IF(AND(E214=1,OR(C214=4,C214=5)),25*12.1/24/D214*1000,0)</f>
        <v>0</v>
      </c>
      <c r="J214" s="5" t="n">
        <f aca="false">VA_base_426_data!C214</f>
        <v>1700</v>
      </c>
      <c r="K214" s="5" t="n">
        <f aca="false">H214+I214-J214</f>
        <v>2412.87766530275</v>
      </c>
      <c r="L214" s="5" t="n">
        <f aca="false">MIN($W$7,J214+K214)</f>
        <v>2000</v>
      </c>
      <c r="M214" s="5" t="n">
        <f aca="false">VA_base_426_data!D214</f>
        <v>800</v>
      </c>
      <c r="N214" s="5" t="n">
        <f aca="false">IF(AND(C214=10,E214=1),$W$6,N213-P213)</f>
        <v>43</v>
      </c>
      <c r="O214" s="5" t="n">
        <f aca="false">IF(ABS(M214-L214)&gt;1,MIN(N214/((L214-M214)*24/12.1/1000),D214),D214)</f>
        <v>18.0659722222222</v>
      </c>
      <c r="P214" s="5" t="n">
        <f aca="false">MIN(IF(AND(G214,E214),(L214-M214)*24/12.1*O214/1000,0),N214)</f>
        <v>0</v>
      </c>
      <c r="Q214" s="5" t="n">
        <f aca="false">IF(P214&gt;0,P214/O214*12.1/24*1000+M214,0)</f>
        <v>0</v>
      </c>
      <c r="R214" s="0" t="n">
        <f aca="false">IF(Q214&gt;0,TRUNC(O214),0)</f>
        <v>0</v>
      </c>
      <c r="S214" s="5" t="n">
        <f aca="false">(M214*(D214-R214)+(Q214*R214))/D214</f>
        <v>800</v>
      </c>
      <c r="T214" s="6" t="n">
        <f aca="false">(Q214-M214)*R214*24/12.1/1000</f>
        <v>-0</v>
      </c>
    </row>
    <row r="215" customFormat="false" ht="14.35" hidden="false" customHeight="false" outlineLevel="0" collapsed="false">
      <c r="A215" s="4" t="n">
        <v>14276</v>
      </c>
      <c r="B215" s="15" t="n">
        <f aca="false">IF(C215&lt;=9,YEAR(A215),YEAR(A215)+1)</f>
        <v>1939</v>
      </c>
      <c r="C215" s="15" t="n">
        <f aca="false">MONTH(A215)</f>
        <v>1</v>
      </c>
      <c r="D215" s="15" t="n">
        <f aca="false">DAY(A215)</f>
        <v>31</v>
      </c>
      <c r="E215" s="15" t="n">
        <f aca="false">VLOOKUP(B215,WYT!$A$2:$L$97,12)</f>
        <v>1</v>
      </c>
      <c r="F215" s="15" t="n">
        <f aca="false">IF(C215=$W$5,1,0)</f>
        <v>0</v>
      </c>
      <c r="G215" s="15" t="n">
        <f aca="false">IF(C215=10,0,IF(F215=1,1,G214))</f>
        <v>0</v>
      </c>
      <c r="H215" s="5" t="n">
        <f aca="false">VA_base_426_data!B215</f>
        <v>1700</v>
      </c>
      <c r="I215" s="5" t="n">
        <f aca="false">IF(AND(E215=1,OR(C215=4,C215=5)),25*12.1/24/D215*1000,0)</f>
        <v>0</v>
      </c>
      <c r="J215" s="5" t="n">
        <f aca="false">VA_base_426_data!C215</f>
        <v>1700</v>
      </c>
      <c r="K215" s="5" t="n">
        <f aca="false">H215+I215-J215</f>
        <v>0</v>
      </c>
      <c r="L215" s="5" t="n">
        <f aca="false">MIN($W$7,J215+K215)</f>
        <v>1700</v>
      </c>
      <c r="M215" s="5" t="n">
        <f aca="false">VA_base_426_data!D215</f>
        <v>800</v>
      </c>
      <c r="N215" s="5" t="n">
        <f aca="false">IF(AND(C215=10,E215=1),$W$6,N214-P214)</f>
        <v>43</v>
      </c>
      <c r="O215" s="5" t="n">
        <f aca="false">IF(ABS(M215-L215)&gt;1,MIN(N215/((L215-M215)*24/12.1/1000),D215),D215)</f>
        <v>24.087962962963</v>
      </c>
      <c r="P215" s="5" t="n">
        <f aca="false">MIN(IF(AND(G215,E215),(L215-M215)*24/12.1*O215/1000,0),N215)</f>
        <v>0</v>
      </c>
      <c r="Q215" s="5" t="n">
        <f aca="false">IF(P215&gt;0,P215/O215*12.1/24*1000+M215,0)</f>
        <v>0</v>
      </c>
      <c r="R215" s="0" t="n">
        <f aca="false">IF(Q215&gt;0,TRUNC(O215),0)</f>
        <v>0</v>
      </c>
      <c r="S215" s="5" t="n">
        <f aca="false">(M215*(D215-R215)+(Q215*R215))/D215</f>
        <v>800</v>
      </c>
      <c r="T215" s="6" t="n">
        <f aca="false">(Q215-M215)*R215*24/12.1/1000</f>
        <v>-0</v>
      </c>
    </row>
    <row r="216" customFormat="false" ht="14.35" hidden="false" customHeight="false" outlineLevel="0" collapsed="false">
      <c r="A216" s="4" t="n">
        <v>14304</v>
      </c>
      <c r="B216" s="15" t="n">
        <f aca="false">IF(C216&lt;=9,YEAR(A216),YEAR(A216)+1)</f>
        <v>1939</v>
      </c>
      <c r="C216" s="15" t="n">
        <f aca="false">MONTH(A216)</f>
        <v>2</v>
      </c>
      <c r="D216" s="15" t="n">
        <f aca="false">DAY(A216)</f>
        <v>28</v>
      </c>
      <c r="E216" s="15" t="n">
        <f aca="false">VLOOKUP(B216,WYT!$A$2:$L$97,12)</f>
        <v>1</v>
      </c>
      <c r="F216" s="15" t="n">
        <f aca="false">IF(C216=$W$5,1,0)</f>
        <v>1</v>
      </c>
      <c r="G216" s="15" t="n">
        <f aca="false">IF(C216=10,0,IF(F216=1,1,G215))</f>
        <v>1</v>
      </c>
      <c r="H216" s="5" t="n">
        <f aca="false">VA_base_426_data!B216</f>
        <v>1700</v>
      </c>
      <c r="I216" s="5" t="n">
        <f aca="false">IF(AND(E216=1,OR(C216=4,C216=5)),25*12.1/24/D216*1000,0)</f>
        <v>0</v>
      </c>
      <c r="J216" s="5" t="n">
        <f aca="false">VA_base_426_data!C216</f>
        <v>1700</v>
      </c>
      <c r="K216" s="5" t="n">
        <f aca="false">H216+I216-J216</f>
        <v>0</v>
      </c>
      <c r="L216" s="5" t="n">
        <f aca="false">MIN($W$7,J216+K216)</f>
        <v>1700</v>
      </c>
      <c r="M216" s="5" t="n">
        <f aca="false">VA_base_426_data!D216</f>
        <v>800</v>
      </c>
      <c r="N216" s="5" t="n">
        <f aca="false">IF(AND(C216=10,E216=1),$W$6,N215-P215)</f>
        <v>43</v>
      </c>
      <c r="O216" s="5" t="n">
        <f aca="false">IF(ABS(M216-L216)&gt;1,MIN(N216/((L216-M216)*24/12.1/1000),D216),D216)</f>
        <v>24.087962962963</v>
      </c>
      <c r="P216" s="5" t="n">
        <f aca="false">MIN(IF(AND(G216,E216),(L216-M216)*24/12.1*O216/1000,0),N216)</f>
        <v>43</v>
      </c>
      <c r="Q216" s="5" t="n">
        <f aca="false">IF(P216&gt;0,P216/O216*12.1/24*1000+M216,0)</f>
        <v>1700</v>
      </c>
      <c r="R216" s="0" t="n">
        <f aca="false">IF(Q216&gt;0,TRUNC(O216),0)</f>
        <v>24</v>
      </c>
      <c r="S216" s="5" t="n">
        <f aca="false">(M216*(D216-R216)+(Q216*R216))/D216</f>
        <v>1571.42857142857</v>
      </c>
      <c r="T216" s="6" t="n">
        <f aca="false">(Q216-M216)*R216*24/12.1/1000</f>
        <v>42.8429752066116</v>
      </c>
    </row>
    <row r="217" customFormat="false" ht="14.35" hidden="false" customHeight="false" outlineLevel="0" collapsed="false">
      <c r="A217" s="4" t="n">
        <v>14335</v>
      </c>
      <c r="B217" s="15" t="n">
        <f aca="false">IF(C217&lt;=9,YEAR(A217),YEAR(A217)+1)</f>
        <v>1939</v>
      </c>
      <c r="C217" s="15" t="n">
        <f aca="false">MONTH(A217)</f>
        <v>3</v>
      </c>
      <c r="D217" s="15" t="n">
        <f aca="false">DAY(A217)</f>
        <v>31</v>
      </c>
      <c r="E217" s="15" t="n">
        <f aca="false">VLOOKUP(B217,WYT!$A$2:$L$97,12)</f>
        <v>1</v>
      </c>
      <c r="F217" s="15" t="n">
        <f aca="false">IF(C217=$W$5,1,0)</f>
        <v>0</v>
      </c>
      <c r="G217" s="15" t="n">
        <f aca="false">IF(C217=10,0,IF(F217=1,1,G216))</f>
        <v>1</v>
      </c>
      <c r="H217" s="5" t="n">
        <f aca="false">VA_base_426_data!B217</f>
        <v>1700</v>
      </c>
      <c r="I217" s="5" t="n">
        <f aca="false">IF(AND(E217=1,OR(C217=4,C217=5)),25*12.1/24/D217*1000,0)</f>
        <v>0</v>
      </c>
      <c r="J217" s="5" t="n">
        <f aca="false">VA_base_426_data!C217</f>
        <v>1700</v>
      </c>
      <c r="K217" s="5" t="n">
        <f aca="false">H217+I217-J217</f>
        <v>0</v>
      </c>
      <c r="L217" s="5" t="n">
        <f aca="false">MIN($W$7,J217+K217)</f>
        <v>1700</v>
      </c>
      <c r="M217" s="5" t="n">
        <f aca="false">VA_base_426_data!D217</f>
        <v>800</v>
      </c>
      <c r="N217" s="5" t="n">
        <f aca="false">IF(AND(C217=10,E217=1),$W$6,N216-P216)</f>
        <v>0</v>
      </c>
      <c r="O217" s="5" t="n">
        <f aca="false">IF(ABS(M217-L217)&gt;1,MIN(N217/((L217-M217)*24/12.1/1000),D217),D217)</f>
        <v>0</v>
      </c>
      <c r="P217" s="5" t="n">
        <f aca="false">MIN(IF(AND(G217,E217),(L217-M217)*24/12.1*O217/1000,0),N217)</f>
        <v>0</v>
      </c>
      <c r="Q217" s="5" t="n">
        <f aca="false">IF(P217&gt;0,P217/O217*12.1/24*1000+M217,0)</f>
        <v>0</v>
      </c>
      <c r="R217" s="0" t="n">
        <f aca="false">IF(Q217&gt;0,TRUNC(O217),0)</f>
        <v>0</v>
      </c>
      <c r="S217" s="5" t="n">
        <f aca="false">(M217*(D217-R217)+(Q217*R217))/D217</f>
        <v>800</v>
      </c>
      <c r="T217" s="6" t="n">
        <f aca="false">(Q217-M217)*R217*24/12.1/1000</f>
        <v>-0</v>
      </c>
    </row>
    <row r="218" customFormat="false" ht="14.35" hidden="false" customHeight="false" outlineLevel="0" collapsed="false">
      <c r="A218" s="4" t="n">
        <v>14365</v>
      </c>
      <c r="B218" s="15" t="n">
        <f aca="false">IF(C218&lt;=9,YEAR(A218),YEAR(A218)+1)</f>
        <v>1939</v>
      </c>
      <c r="C218" s="15" t="n">
        <f aca="false">MONTH(A218)</f>
        <v>4</v>
      </c>
      <c r="D218" s="15" t="n">
        <f aca="false">DAY(A218)</f>
        <v>30</v>
      </c>
      <c r="E218" s="15" t="n">
        <f aca="false">VLOOKUP(B218,WYT!$A$2:$L$97,12)</f>
        <v>1</v>
      </c>
      <c r="F218" s="15" t="n">
        <f aca="false">IF(C218=$W$5,1,0)</f>
        <v>0</v>
      </c>
      <c r="G218" s="15" t="n">
        <f aca="false">IF(C218=10,0,IF(F218=1,1,G217))</f>
        <v>1</v>
      </c>
      <c r="H218" s="5" t="n">
        <f aca="false">VA_base_426_data!B218</f>
        <v>2709.12899431731</v>
      </c>
      <c r="I218" s="5" t="n">
        <f aca="false">IF(AND(E218=1,OR(C218=4,C218=5)),25*12.1/24/D218*1000,0)</f>
        <v>420.138888888889</v>
      </c>
      <c r="J218" s="5" t="n">
        <f aca="false">VA_base_426_data!C218</f>
        <v>1000</v>
      </c>
      <c r="K218" s="5" t="n">
        <f aca="false">H218+I218-J218</f>
        <v>2129.2678832062</v>
      </c>
      <c r="L218" s="5" t="n">
        <f aca="false">MIN($W$7,J218+K218)</f>
        <v>2000</v>
      </c>
      <c r="M218" s="5" t="n">
        <f aca="false">VA_base_426_data!D218</f>
        <v>700</v>
      </c>
      <c r="N218" s="5" t="n">
        <f aca="false">IF(AND(C218=10,E218=1),$W$6,N217-P217)</f>
        <v>0</v>
      </c>
      <c r="O218" s="5" t="n">
        <f aca="false">IF(ABS(M218-L218)&gt;1,MIN(N218/((L218-M218)*24/12.1/1000),D218),D218)</f>
        <v>0</v>
      </c>
      <c r="P218" s="5" t="n">
        <f aca="false">MIN(IF(AND(G218,E218),(L218-M218)*24/12.1*O218/1000,0),N218)</f>
        <v>0</v>
      </c>
      <c r="Q218" s="5" t="n">
        <f aca="false">IF(P218&gt;0,P218/O218*12.1/24*1000+M218,0)</f>
        <v>0</v>
      </c>
      <c r="R218" s="0" t="n">
        <f aca="false">IF(Q218&gt;0,TRUNC(O218),0)</f>
        <v>0</v>
      </c>
      <c r="S218" s="5" t="n">
        <f aca="false">(M218*(D218-R218)+(Q218*R218))/D218</f>
        <v>700</v>
      </c>
      <c r="T218" s="6" t="n">
        <f aca="false">(Q218-M218)*R218*24/12.1/1000</f>
        <v>-0</v>
      </c>
    </row>
    <row r="219" customFormat="false" ht="14.35" hidden="false" customHeight="false" outlineLevel="0" collapsed="false">
      <c r="A219" s="4" t="n">
        <v>14396</v>
      </c>
      <c r="B219" s="15" t="n">
        <f aca="false">IF(C219&lt;=9,YEAR(A219),YEAR(A219)+1)</f>
        <v>1939</v>
      </c>
      <c r="C219" s="15" t="n">
        <f aca="false">MONTH(A219)</f>
        <v>5</v>
      </c>
      <c r="D219" s="15" t="n">
        <f aca="false">DAY(A219)</f>
        <v>31</v>
      </c>
      <c r="E219" s="15" t="n">
        <f aca="false">VLOOKUP(B219,WYT!$A$2:$L$97,12)</f>
        <v>1</v>
      </c>
      <c r="F219" s="15" t="n">
        <f aca="false">IF(C219=$W$5,1,0)</f>
        <v>0</v>
      </c>
      <c r="G219" s="15" t="n">
        <f aca="false">IF(C219=10,0,IF(F219=1,1,G218))</f>
        <v>1</v>
      </c>
      <c r="H219" s="5" t="n">
        <f aca="false">VA_base_426_data!B219</f>
        <v>3434.72745939063</v>
      </c>
      <c r="I219" s="5" t="n">
        <f aca="false">IF(AND(E219=1,OR(C219=4,C219=5)),25*12.1/24/D219*1000,0)</f>
        <v>406.586021505376</v>
      </c>
      <c r="J219" s="5" t="n">
        <f aca="false">VA_base_426_data!C219</f>
        <v>1000</v>
      </c>
      <c r="K219" s="5" t="n">
        <f aca="false">H219+I219-J219</f>
        <v>2841.313480896</v>
      </c>
      <c r="L219" s="5" t="n">
        <f aca="false">MIN($W$7,J219+K219)</f>
        <v>2000</v>
      </c>
      <c r="M219" s="5" t="n">
        <f aca="false">VA_base_426_data!D219</f>
        <v>700</v>
      </c>
      <c r="N219" s="5" t="n">
        <f aca="false">IF(AND(C219=10,E219=1),$W$6,N218-P218)</f>
        <v>0</v>
      </c>
      <c r="O219" s="5" t="n">
        <f aca="false">IF(ABS(M219-L219)&gt;1,MIN(N219/((L219-M219)*24/12.1/1000),D219),D219)</f>
        <v>0</v>
      </c>
      <c r="P219" s="5" t="n">
        <f aca="false">MIN(IF(AND(G219,E219),(L219-M219)*24/12.1*O219/1000,0),N219)</f>
        <v>0</v>
      </c>
      <c r="Q219" s="5" t="n">
        <f aca="false">IF(P219&gt;0,P219/O219*12.1/24*1000+M219,0)</f>
        <v>0</v>
      </c>
      <c r="R219" s="0" t="n">
        <f aca="false">IF(Q219&gt;0,TRUNC(O219),0)</f>
        <v>0</v>
      </c>
      <c r="S219" s="5" t="n">
        <f aca="false">(M219*(D219-R219)+(Q219*R219))/D219</f>
        <v>700</v>
      </c>
      <c r="T219" s="6" t="n">
        <f aca="false">(Q219-M219)*R219*24/12.1/1000</f>
        <v>-0</v>
      </c>
    </row>
    <row r="220" customFormat="false" ht="14.35" hidden="false" customHeight="false" outlineLevel="0" collapsed="false">
      <c r="A220" s="4" t="n">
        <v>14426</v>
      </c>
      <c r="B220" s="15" t="n">
        <f aca="false">IF(C220&lt;=9,YEAR(A220),YEAR(A220)+1)</f>
        <v>1939</v>
      </c>
      <c r="C220" s="15" t="n">
        <f aca="false">MONTH(A220)</f>
        <v>6</v>
      </c>
      <c r="D220" s="15" t="n">
        <f aca="false">DAY(A220)</f>
        <v>30</v>
      </c>
      <c r="E220" s="15" t="n">
        <f aca="false">VLOOKUP(B220,WYT!$A$2:$L$97,12)</f>
        <v>1</v>
      </c>
      <c r="F220" s="15" t="n">
        <f aca="false">IF(C220=$W$5,1,0)</f>
        <v>0</v>
      </c>
      <c r="G220" s="15" t="n">
        <f aca="false">IF(C220=10,0,IF(F220=1,1,G219))</f>
        <v>1</v>
      </c>
      <c r="H220" s="5" t="n">
        <f aca="false">VA_base_426_data!B220</f>
        <v>5042.66371769336</v>
      </c>
      <c r="I220" s="5" t="n">
        <f aca="false">IF(AND(E220=1,OR(C220=4,C220=5)),25*12.1/24/D220*1000,0)</f>
        <v>0</v>
      </c>
      <c r="J220" s="5" t="n">
        <f aca="false">VA_base_426_data!C220</f>
        <v>1000</v>
      </c>
      <c r="K220" s="5" t="n">
        <f aca="false">H220+I220-J220</f>
        <v>4042.66371769336</v>
      </c>
      <c r="L220" s="5" t="n">
        <f aca="false">MIN($W$7,J220+K220)</f>
        <v>2000</v>
      </c>
      <c r="M220" s="5" t="n">
        <f aca="false">VA_base_426_data!D220</f>
        <v>700</v>
      </c>
      <c r="N220" s="5" t="n">
        <f aca="false">IF(AND(C220=10,E220=1),$W$6,N219-P219)</f>
        <v>0</v>
      </c>
      <c r="O220" s="5" t="n">
        <f aca="false">IF(ABS(M220-L220)&gt;1,MIN(N220/((L220-M220)*24/12.1/1000),D220),D220)</f>
        <v>0</v>
      </c>
      <c r="P220" s="5" t="n">
        <f aca="false">MIN(IF(AND(G220,E220),(L220-M220)*24/12.1*O220/1000,0),N220)</f>
        <v>0</v>
      </c>
      <c r="Q220" s="5" t="n">
        <f aca="false">IF(P220&gt;0,P220/O220*12.1/24*1000+M220,0)</f>
        <v>0</v>
      </c>
      <c r="R220" s="0" t="n">
        <f aca="false">IF(Q220&gt;0,TRUNC(O220),0)</f>
        <v>0</v>
      </c>
      <c r="S220" s="5" t="n">
        <f aca="false">(M220*(D220-R220)+(Q220*R220))/D220</f>
        <v>700</v>
      </c>
      <c r="T220" s="6" t="n">
        <f aca="false">(Q220-M220)*R220*24/12.1/1000</f>
        <v>-0</v>
      </c>
    </row>
    <row r="221" customFormat="false" ht="14.35" hidden="false" customHeight="false" outlineLevel="0" collapsed="false">
      <c r="A221" s="4" t="n">
        <v>14457</v>
      </c>
      <c r="B221" s="15" t="n">
        <f aca="false">IF(C221&lt;=9,YEAR(A221),YEAR(A221)+1)</f>
        <v>1939</v>
      </c>
      <c r="C221" s="15" t="n">
        <f aca="false">MONTH(A221)</f>
        <v>7</v>
      </c>
      <c r="D221" s="15" t="n">
        <f aca="false">DAY(A221)</f>
        <v>31</v>
      </c>
      <c r="E221" s="15" t="n">
        <f aca="false">VLOOKUP(B221,WYT!$A$2:$L$97,12)</f>
        <v>1</v>
      </c>
      <c r="F221" s="15" t="n">
        <f aca="false">IF(C221=$W$5,1,0)</f>
        <v>0</v>
      </c>
      <c r="G221" s="15" t="n">
        <f aca="false">IF(C221=10,0,IF(F221=1,1,G220))</f>
        <v>1</v>
      </c>
      <c r="H221" s="5" t="n">
        <f aca="false">VA_base_426_data!B221</f>
        <v>7238.29840748791</v>
      </c>
      <c r="I221" s="5" t="n">
        <f aca="false">IF(AND(E221=1,OR(C221=4,C221=5)),25*12.1/24/D221*1000,0)</f>
        <v>0</v>
      </c>
      <c r="J221" s="5" t="n">
        <f aca="false">VA_base_426_data!C221</f>
        <v>1000</v>
      </c>
      <c r="K221" s="5" t="n">
        <f aca="false">H221+I221-J221</f>
        <v>6238.29840748791</v>
      </c>
      <c r="L221" s="5" t="n">
        <f aca="false">MIN($W$7,J221+K221)</f>
        <v>2000</v>
      </c>
      <c r="M221" s="5" t="n">
        <f aca="false">VA_base_426_data!D221</f>
        <v>700</v>
      </c>
      <c r="N221" s="5" t="n">
        <f aca="false">IF(AND(C221=10,E221=1),$W$6,N220-P220)</f>
        <v>0</v>
      </c>
      <c r="O221" s="5" t="n">
        <f aca="false">IF(ABS(M221-L221)&gt;1,MIN(N221/((L221-M221)*24/12.1/1000),D221),D221)</f>
        <v>0</v>
      </c>
      <c r="P221" s="5" t="n">
        <f aca="false">MIN(IF(AND(G221,E221),(L221-M221)*24/12.1*O221/1000,0),N221)</f>
        <v>0</v>
      </c>
      <c r="Q221" s="5" t="n">
        <f aca="false">IF(P221&gt;0,P221/O221*12.1/24*1000+M221,0)</f>
        <v>0</v>
      </c>
      <c r="R221" s="0" t="n">
        <f aca="false">IF(Q221&gt;0,TRUNC(O221),0)</f>
        <v>0</v>
      </c>
      <c r="S221" s="5" t="n">
        <f aca="false">(M221*(D221-R221)+(Q221*R221))/D221</f>
        <v>700</v>
      </c>
      <c r="T221" s="6" t="n">
        <f aca="false">(Q221-M221)*R221*24/12.1/1000</f>
        <v>-0</v>
      </c>
    </row>
    <row r="222" customFormat="false" ht="14.35" hidden="false" customHeight="false" outlineLevel="0" collapsed="false">
      <c r="A222" s="4" t="n">
        <v>14488</v>
      </c>
      <c r="B222" s="15" t="n">
        <f aca="false">IF(C222&lt;=9,YEAR(A222),YEAR(A222)+1)</f>
        <v>1939</v>
      </c>
      <c r="C222" s="15" t="n">
        <f aca="false">MONTH(A222)</f>
        <v>8</v>
      </c>
      <c r="D222" s="15" t="n">
        <f aca="false">DAY(A222)</f>
        <v>31</v>
      </c>
      <c r="E222" s="15" t="n">
        <f aca="false">VLOOKUP(B222,WYT!$A$2:$L$97,12)</f>
        <v>1</v>
      </c>
      <c r="F222" s="15" t="n">
        <f aca="false">IF(C222=$W$5,1,0)</f>
        <v>0</v>
      </c>
      <c r="G222" s="15" t="n">
        <f aca="false">IF(C222=10,0,IF(F222=1,1,G221))</f>
        <v>1</v>
      </c>
      <c r="H222" s="5" t="n">
        <f aca="false">VA_base_426_data!B222</f>
        <v>2583.91026643182</v>
      </c>
      <c r="I222" s="5" t="n">
        <f aca="false">IF(AND(E222=1,OR(C222=4,C222=5)),25*12.1/24/D222*1000,0)</f>
        <v>0</v>
      </c>
      <c r="J222" s="5" t="n">
        <f aca="false">VA_base_426_data!C222</f>
        <v>1000</v>
      </c>
      <c r="K222" s="5" t="n">
        <f aca="false">H222+I222-J222</f>
        <v>1583.91026643182</v>
      </c>
      <c r="L222" s="5" t="n">
        <f aca="false">MIN($W$7,J222+K222)</f>
        <v>2000</v>
      </c>
      <c r="M222" s="5" t="n">
        <f aca="false">VA_base_426_data!D222</f>
        <v>700</v>
      </c>
      <c r="N222" s="5" t="n">
        <f aca="false">IF(AND(C222=10,E222=1),$W$6,N221-P221)</f>
        <v>0</v>
      </c>
      <c r="O222" s="5" t="n">
        <f aca="false">IF(ABS(M222-L222)&gt;1,MIN(N222/((L222-M222)*24/12.1/1000),D222),D222)</f>
        <v>0</v>
      </c>
      <c r="P222" s="5" t="n">
        <f aca="false">MIN(IF(AND(G222,E222),(L222-M222)*24/12.1*O222/1000,0),N222)</f>
        <v>0</v>
      </c>
      <c r="Q222" s="5" t="n">
        <f aca="false">IF(P222&gt;0,P222/O222*12.1/24*1000+M222,0)</f>
        <v>0</v>
      </c>
      <c r="R222" s="0" t="n">
        <f aca="false">IF(Q222&gt;0,TRUNC(O222),0)</f>
        <v>0</v>
      </c>
      <c r="S222" s="5" t="n">
        <f aca="false">(M222*(D222-R222)+(Q222*R222))/D222</f>
        <v>700</v>
      </c>
      <c r="T222" s="6" t="n">
        <f aca="false">(Q222-M222)*R222*24/12.1/1000</f>
        <v>-0</v>
      </c>
    </row>
    <row r="223" customFormat="false" ht="14.35" hidden="false" customHeight="false" outlineLevel="0" collapsed="false">
      <c r="A223" s="4" t="n">
        <v>14518</v>
      </c>
      <c r="B223" s="15" t="n">
        <f aca="false">IF(C223&lt;=9,YEAR(A223),YEAR(A223)+1)</f>
        <v>1939</v>
      </c>
      <c r="C223" s="15" t="n">
        <f aca="false">MONTH(A223)</f>
        <v>9</v>
      </c>
      <c r="D223" s="15" t="n">
        <f aca="false">DAY(A223)</f>
        <v>30</v>
      </c>
      <c r="E223" s="15" t="n">
        <f aca="false">VLOOKUP(B223,WYT!$A$2:$L$97,12)</f>
        <v>1</v>
      </c>
      <c r="F223" s="15" t="n">
        <f aca="false">IF(C223=$W$5,1,0)</f>
        <v>0</v>
      </c>
      <c r="G223" s="15" t="n">
        <f aca="false">IF(C223=10,0,IF(F223=1,1,G222))</f>
        <v>1</v>
      </c>
      <c r="H223" s="5" t="n">
        <f aca="false">VA_base_426_data!B223</f>
        <v>1000</v>
      </c>
      <c r="I223" s="5" t="n">
        <f aca="false">IF(AND(E223=1,OR(C223=4,C223=5)),25*12.1/24/D223*1000,0)</f>
        <v>0</v>
      </c>
      <c r="J223" s="5" t="n">
        <f aca="false">VA_base_426_data!C223</f>
        <v>1000</v>
      </c>
      <c r="K223" s="5" t="n">
        <f aca="false">H223+I223-J223</f>
        <v>0</v>
      </c>
      <c r="L223" s="5" t="n">
        <f aca="false">MIN($W$7,J223+K223)</f>
        <v>1000</v>
      </c>
      <c r="M223" s="5" t="n">
        <f aca="false">VA_base_426_data!D223</f>
        <v>773.3333333</v>
      </c>
      <c r="N223" s="5" t="n">
        <f aca="false">IF(AND(C223=10,E223=1),$W$6,N222-P222)</f>
        <v>0</v>
      </c>
      <c r="O223" s="5" t="n">
        <f aca="false">IF(ABS(M223-L223)&gt;1,MIN(N223/((L223-M223)*24/12.1/1000),D223),D223)</f>
        <v>0</v>
      </c>
      <c r="P223" s="5" t="n">
        <f aca="false">MIN(IF(AND(G223,E223),(L223-M223)*24/12.1*O223/1000,0),N223)</f>
        <v>0</v>
      </c>
      <c r="Q223" s="5" t="n">
        <f aca="false">IF(P223&gt;0,P223/O223*12.1/24*1000+M223,0)</f>
        <v>0</v>
      </c>
      <c r="R223" s="0" t="n">
        <f aca="false">IF(Q223&gt;0,TRUNC(O223),0)</f>
        <v>0</v>
      </c>
      <c r="S223" s="5" t="n">
        <f aca="false">(M223*(D223-R223)+(Q223*R223))/D223</f>
        <v>773.3333333</v>
      </c>
      <c r="T223" s="6" t="n">
        <f aca="false">(Q223-M223)*R223*24/12.1/1000</f>
        <v>-0</v>
      </c>
    </row>
    <row r="224" customFormat="false" ht="14.35" hidden="false" customHeight="false" outlineLevel="0" collapsed="false">
      <c r="A224" s="4" t="n">
        <v>14549</v>
      </c>
      <c r="B224" s="15" t="n">
        <f aca="false">IF(C224&lt;=9,YEAR(A224),YEAR(A224)+1)</f>
        <v>1940</v>
      </c>
      <c r="C224" s="15" t="n">
        <f aca="false">MONTH(A224)</f>
        <v>10</v>
      </c>
      <c r="D224" s="15" t="n">
        <f aca="false">DAY(A224)</f>
        <v>31</v>
      </c>
      <c r="E224" s="15" t="n">
        <f aca="false">VLOOKUP(B224,WYT!$A$2:$L$97,12)</f>
        <v>1</v>
      </c>
      <c r="F224" s="15" t="n">
        <f aca="false">IF(C224=$W$5,1,0)</f>
        <v>0</v>
      </c>
      <c r="G224" s="15" t="n">
        <f aca="false">IF(C224=10,0,IF(F224=1,1,G223))</f>
        <v>0</v>
      </c>
      <c r="H224" s="5" t="n">
        <f aca="false">VA_base_426_data!B224</f>
        <v>1200</v>
      </c>
      <c r="I224" s="5" t="n">
        <f aca="false">IF(AND(E224=1,OR(C224=4,C224=5)),25*12.1/24/D224*1000,0)</f>
        <v>0</v>
      </c>
      <c r="J224" s="5" t="n">
        <f aca="false">VA_base_426_data!C224</f>
        <v>1200</v>
      </c>
      <c r="K224" s="5" t="n">
        <f aca="false">H224+I224-J224</f>
        <v>0</v>
      </c>
      <c r="L224" s="5" t="n">
        <f aca="false">MIN($W$7,J224+K224)</f>
        <v>1200</v>
      </c>
      <c r="M224" s="5" t="n">
        <f aca="false">VA_base_426_data!D224</f>
        <v>800</v>
      </c>
      <c r="N224" s="5" t="n">
        <f aca="false">IF(AND(C224=10,E224=1),$W$6,N223-P223)</f>
        <v>43</v>
      </c>
      <c r="O224" s="5" t="n">
        <f aca="false">IF(ABS(M224-L224)&gt;1,MIN(N224/((L224-M224)*24/12.1/1000),D224),D224)</f>
        <v>31</v>
      </c>
      <c r="P224" s="5" t="n">
        <f aca="false">MIN(IF(AND(G224,E224),(L224-M224)*24/12.1*O224/1000,0),N224)</f>
        <v>0</v>
      </c>
      <c r="Q224" s="5" t="n">
        <f aca="false">IF(P224&gt;0,P224/O224*12.1/24*1000+M224,0)</f>
        <v>0</v>
      </c>
      <c r="R224" s="0" t="n">
        <f aca="false">IF(Q224&gt;0,TRUNC(O224),0)</f>
        <v>0</v>
      </c>
      <c r="S224" s="5" t="n">
        <f aca="false">(M224*(D224-R224)+(Q224*R224))/D224</f>
        <v>800</v>
      </c>
      <c r="T224" s="6" t="n">
        <f aca="false">(Q224-M224)*R224*24/12.1/1000</f>
        <v>-0</v>
      </c>
    </row>
    <row r="225" customFormat="false" ht="14.35" hidden="false" customHeight="false" outlineLevel="0" collapsed="false">
      <c r="A225" s="4" t="n">
        <v>14579</v>
      </c>
      <c r="B225" s="15" t="n">
        <f aca="false">IF(C225&lt;=9,YEAR(A225),YEAR(A225)+1)</f>
        <v>1940</v>
      </c>
      <c r="C225" s="15" t="n">
        <f aca="false">MONTH(A225)</f>
        <v>11</v>
      </c>
      <c r="D225" s="15" t="n">
        <f aca="false">DAY(A225)</f>
        <v>30</v>
      </c>
      <c r="E225" s="15" t="n">
        <f aca="false">VLOOKUP(B225,WYT!$A$2:$L$97,12)</f>
        <v>1</v>
      </c>
      <c r="F225" s="15" t="n">
        <f aca="false">IF(C225=$W$5,1,0)</f>
        <v>0</v>
      </c>
      <c r="G225" s="15" t="n">
        <f aca="false">IF(C225=10,0,IF(F225=1,1,G224))</f>
        <v>0</v>
      </c>
      <c r="H225" s="5" t="n">
        <f aca="false">VA_base_426_data!B225</f>
        <v>1200</v>
      </c>
      <c r="I225" s="5" t="n">
        <f aca="false">IF(AND(E225=1,OR(C225=4,C225=5)),25*12.1/24/D225*1000,0)</f>
        <v>0</v>
      </c>
      <c r="J225" s="5" t="n">
        <f aca="false">VA_base_426_data!C225</f>
        <v>1200</v>
      </c>
      <c r="K225" s="5" t="n">
        <f aca="false">H225+I225-J225</f>
        <v>0</v>
      </c>
      <c r="L225" s="5" t="n">
        <f aca="false">MIN($W$7,J225+K225)</f>
        <v>1200</v>
      </c>
      <c r="M225" s="5" t="n">
        <f aca="false">VA_base_426_data!D225</f>
        <v>800</v>
      </c>
      <c r="N225" s="5" t="n">
        <f aca="false">IF(AND(C225=10,E225=1),$W$6,N224-P224)</f>
        <v>43</v>
      </c>
      <c r="O225" s="5" t="n">
        <f aca="false">IF(ABS(M225-L225)&gt;1,MIN(N225/((L225-M225)*24/12.1/1000),D225),D225)</f>
        <v>30</v>
      </c>
      <c r="P225" s="5" t="n">
        <f aca="false">MIN(IF(AND(G225,E225),(L225-M225)*24/12.1*O225/1000,0),N225)</f>
        <v>0</v>
      </c>
      <c r="Q225" s="5" t="n">
        <f aca="false">IF(P225&gt;0,P225/O225*12.1/24*1000+M225,0)</f>
        <v>0</v>
      </c>
      <c r="R225" s="0" t="n">
        <f aca="false">IF(Q225&gt;0,TRUNC(O225),0)</f>
        <v>0</v>
      </c>
      <c r="S225" s="5" t="n">
        <f aca="false">(M225*(D225-R225)+(Q225*R225))/D225</f>
        <v>800</v>
      </c>
      <c r="T225" s="6" t="n">
        <f aca="false">(Q225-M225)*R225*24/12.1/1000</f>
        <v>-0</v>
      </c>
    </row>
    <row r="226" customFormat="false" ht="14.35" hidden="false" customHeight="false" outlineLevel="0" collapsed="false">
      <c r="A226" s="4" t="n">
        <v>14610</v>
      </c>
      <c r="B226" s="15" t="n">
        <f aca="false">IF(C226&lt;=9,YEAR(A226),YEAR(A226)+1)</f>
        <v>1940</v>
      </c>
      <c r="C226" s="15" t="n">
        <f aca="false">MONTH(A226)</f>
        <v>12</v>
      </c>
      <c r="D226" s="15" t="n">
        <f aca="false">DAY(A226)</f>
        <v>31</v>
      </c>
      <c r="E226" s="15" t="n">
        <f aca="false">VLOOKUP(B226,WYT!$A$2:$L$97,12)</f>
        <v>1</v>
      </c>
      <c r="F226" s="15" t="n">
        <f aca="false">IF(C226=$W$5,1,0)</f>
        <v>0</v>
      </c>
      <c r="G226" s="15" t="n">
        <f aca="false">IF(C226=10,0,IF(F226=1,1,G225))</f>
        <v>0</v>
      </c>
      <c r="H226" s="5" t="n">
        <f aca="false">VA_base_426_data!B226</f>
        <v>1200</v>
      </c>
      <c r="I226" s="5" t="n">
        <f aca="false">IF(AND(E226=1,OR(C226=4,C226=5)),25*12.1/24/D226*1000,0)</f>
        <v>0</v>
      </c>
      <c r="J226" s="5" t="n">
        <f aca="false">VA_base_426_data!C226</f>
        <v>1200</v>
      </c>
      <c r="K226" s="5" t="n">
        <f aca="false">H226+I226-J226</f>
        <v>0</v>
      </c>
      <c r="L226" s="5" t="n">
        <f aca="false">MIN($W$7,J226+K226)</f>
        <v>1200</v>
      </c>
      <c r="M226" s="5" t="n">
        <f aca="false">VA_base_426_data!D226</f>
        <v>800</v>
      </c>
      <c r="N226" s="5" t="n">
        <f aca="false">IF(AND(C226=10,E226=1),$W$6,N225-P225)</f>
        <v>43</v>
      </c>
      <c r="O226" s="5" t="n">
        <f aca="false">IF(ABS(M226-L226)&gt;1,MIN(N226/((L226-M226)*24/12.1/1000),D226),D226)</f>
        <v>31</v>
      </c>
      <c r="P226" s="5" t="n">
        <f aca="false">MIN(IF(AND(G226,E226),(L226-M226)*24/12.1*O226/1000,0),N226)</f>
        <v>0</v>
      </c>
      <c r="Q226" s="5" t="n">
        <f aca="false">IF(P226&gt;0,P226/O226*12.1/24*1000+M226,0)</f>
        <v>0</v>
      </c>
      <c r="R226" s="0" t="n">
        <f aca="false">IF(Q226&gt;0,TRUNC(O226),0)</f>
        <v>0</v>
      </c>
      <c r="S226" s="5" t="n">
        <f aca="false">(M226*(D226-R226)+(Q226*R226))/D226</f>
        <v>800</v>
      </c>
      <c r="T226" s="6" t="n">
        <f aca="false">(Q226-M226)*R226*24/12.1/1000</f>
        <v>-0</v>
      </c>
    </row>
    <row r="227" customFormat="false" ht="14.35" hidden="false" customHeight="false" outlineLevel="0" collapsed="false">
      <c r="A227" s="4" t="n">
        <v>14641</v>
      </c>
      <c r="B227" s="15" t="n">
        <f aca="false">IF(C227&lt;=9,YEAR(A227),YEAR(A227)+1)</f>
        <v>1940</v>
      </c>
      <c r="C227" s="15" t="n">
        <f aca="false">MONTH(A227)</f>
        <v>1</v>
      </c>
      <c r="D227" s="15" t="n">
        <f aca="false">DAY(A227)</f>
        <v>31</v>
      </c>
      <c r="E227" s="15" t="n">
        <f aca="false">VLOOKUP(B227,WYT!$A$2:$L$97,12)</f>
        <v>1</v>
      </c>
      <c r="F227" s="15" t="n">
        <f aca="false">IF(C227=$W$5,1,0)</f>
        <v>0</v>
      </c>
      <c r="G227" s="15" t="n">
        <f aca="false">IF(C227=10,0,IF(F227=1,1,G226))</f>
        <v>0</v>
      </c>
      <c r="H227" s="5" t="n">
        <f aca="false">VA_base_426_data!B227</f>
        <v>1200</v>
      </c>
      <c r="I227" s="5" t="n">
        <f aca="false">IF(AND(E227=1,OR(C227=4,C227=5)),25*12.1/24/D227*1000,0)</f>
        <v>0</v>
      </c>
      <c r="J227" s="5" t="n">
        <f aca="false">VA_base_426_data!C227</f>
        <v>1200</v>
      </c>
      <c r="K227" s="5" t="n">
        <f aca="false">H227+I227-J227</f>
        <v>0</v>
      </c>
      <c r="L227" s="5" t="n">
        <f aca="false">MIN($W$7,J227+K227)</f>
        <v>1200</v>
      </c>
      <c r="M227" s="5" t="n">
        <f aca="false">VA_base_426_data!D227</f>
        <v>800</v>
      </c>
      <c r="N227" s="5" t="n">
        <f aca="false">IF(AND(C227=10,E227=1),$W$6,N226-P226)</f>
        <v>43</v>
      </c>
      <c r="O227" s="5" t="n">
        <f aca="false">IF(ABS(M227-L227)&gt;1,MIN(N227/((L227-M227)*24/12.1/1000),D227),D227)</f>
        <v>31</v>
      </c>
      <c r="P227" s="5" t="n">
        <f aca="false">MIN(IF(AND(G227,E227),(L227-M227)*24/12.1*O227/1000,0),N227)</f>
        <v>0</v>
      </c>
      <c r="Q227" s="5" t="n">
        <f aca="false">IF(P227&gt;0,P227/O227*12.1/24*1000+M227,0)</f>
        <v>0</v>
      </c>
      <c r="R227" s="0" t="n">
        <f aca="false">IF(Q227&gt;0,TRUNC(O227),0)</f>
        <v>0</v>
      </c>
      <c r="S227" s="5" t="n">
        <f aca="false">(M227*(D227-R227)+(Q227*R227))/D227</f>
        <v>800</v>
      </c>
      <c r="T227" s="6" t="n">
        <f aca="false">(Q227-M227)*R227*24/12.1/1000</f>
        <v>-0</v>
      </c>
    </row>
    <row r="228" customFormat="false" ht="14.35" hidden="false" customHeight="false" outlineLevel="0" collapsed="false">
      <c r="A228" s="4" t="n">
        <v>14670</v>
      </c>
      <c r="B228" s="15" t="n">
        <f aca="false">IF(C228&lt;=9,YEAR(A228),YEAR(A228)+1)</f>
        <v>1940</v>
      </c>
      <c r="C228" s="15" t="n">
        <f aca="false">MONTH(A228)</f>
        <v>2</v>
      </c>
      <c r="D228" s="15" t="n">
        <f aca="false">DAY(A228)</f>
        <v>29</v>
      </c>
      <c r="E228" s="15" t="n">
        <f aca="false">VLOOKUP(B228,WYT!$A$2:$L$97,12)</f>
        <v>1</v>
      </c>
      <c r="F228" s="15" t="n">
        <f aca="false">IF(C228=$W$5,1,0)</f>
        <v>1</v>
      </c>
      <c r="G228" s="15" t="n">
        <f aca="false">IF(C228=10,0,IF(F228=1,1,G227))</f>
        <v>1</v>
      </c>
      <c r="H228" s="5" t="n">
        <f aca="false">VA_base_426_data!B228</f>
        <v>1200</v>
      </c>
      <c r="I228" s="5" t="n">
        <f aca="false">IF(AND(E228=1,OR(C228=4,C228=5)),25*12.1/24/D228*1000,0)</f>
        <v>0</v>
      </c>
      <c r="J228" s="5" t="n">
        <f aca="false">VA_base_426_data!C228</f>
        <v>1200</v>
      </c>
      <c r="K228" s="5" t="n">
        <f aca="false">H228+I228-J228</f>
        <v>0</v>
      </c>
      <c r="L228" s="5" t="n">
        <f aca="false">MIN($W$7,J228+K228)</f>
        <v>1200</v>
      </c>
      <c r="M228" s="5" t="n">
        <f aca="false">VA_base_426_data!D228</f>
        <v>800</v>
      </c>
      <c r="N228" s="5" t="n">
        <f aca="false">IF(AND(C228=10,E228=1),$W$6,N227-P227)</f>
        <v>43</v>
      </c>
      <c r="O228" s="5" t="n">
        <f aca="false">IF(ABS(M228-L228)&gt;1,MIN(N228/((L228-M228)*24/12.1/1000),D228),D228)</f>
        <v>29</v>
      </c>
      <c r="P228" s="5" t="n">
        <f aca="false">MIN(IF(AND(G228,E228),(L228-M228)*24/12.1*O228/1000,0),N228)</f>
        <v>23.0082644628099</v>
      </c>
      <c r="Q228" s="5" t="n">
        <f aca="false">IF(P228&gt;0,P228/O228*12.1/24*1000+M228,0)</f>
        <v>1200</v>
      </c>
      <c r="R228" s="0" t="n">
        <f aca="false">IF(Q228&gt;0,TRUNC(O228),0)</f>
        <v>29</v>
      </c>
      <c r="S228" s="5" t="n">
        <f aca="false">(M228*(D228-R228)+(Q228*R228))/D228</f>
        <v>1200</v>
      </c>
      <c r="T228" s="6" t="n">
        <f aca="false">(Q228-M228)*R228*24/12.1/1000</f>
        <v>23.0082644628099</v>
      </c>
    </row>
    <row r="229" customFormat="false" ht="14.35" hidden="false" customHeight="false" outlineLevel="0" collapsed="false">
      <c r="A229" s="4" t="n">
        <v>14701</v>
      </c>
      <c r="B229" s="15" t="n">
        <f aca="false">IF(C229&lt;=9,YEAR(A229),YEAR(A229)+1)</f>
        <v>1940</v>
      </c>
      <c r="C229" s="15" t="n">
        <f aca="false">MONTH(A229)</f>
        <v>3</v>
      </c>
      <c r="D229" s="15" t="n">
        <f aca="false">DAY(A229)</f>
        <v>31</v>
      </c>
      <c r="E229" s="15" t="n">
        <f aca="false">VLOOKUP(B229,WYT!$A$2:$L$97,12)</f>
        <v>1</v>
      </c>
      <c r="F229" s="15" t="n">
        <f aca="false">IF(C229=$W$5,1,0)</f>
        <v>0</v>
      </c>
      <c r="G229" s="15" t="n">
        <f aca="false">IF(C229=10,0,IF(F229=1,1,G228))</f>
        <v>1</v>
      </c>
      <c r="H229" s="5" t="n">
        <f aca="false">VA_base_426_data!B229</f>
        <v>15217.0178592331</v>
      </c>
      <c r="I229" s="5" t="n">
        <f aca="false">IF(AND(E229=1,OR(C229=4,C229=5)),25*12.1/24/D229*1000,0)</f>
        <v>0</v>
      </c>
      <c r="J229" s="5" t="n">
        <f aca="false">VA_base_426_data!C229</f>
        <v>1000</v>
      </c>
      <c r="K229" s="5" t="n">
        <f aca="false">H229+I229-J229</f>
        <v>14217.0178592331</v>
      </c>
      <c r="L229" s="5" t="n">
        <f aca="false">MIN($W$7,J229+K229)</f>
        <v>2000</v>
      </c>
      <c r="M229" s="5" t="n">
        <f aca="false">VA_base_426_data!D229</f>
        <v>800</v>
      </c>
      <c r="N229" s="5" t="n">
        <f aca="false">IF(AND(C229=10,E229=1),$W$6,N228-P228)</f>
        <v>19.9917355371901</v>
      </c>
      <c r="O229" s="5" t="n">
        <f aca="false">IF(ABS(M229-L229)&gt;1,MIN(N229/((L229-M229)*24/12.1/1000),D229),D229)</f>
        <v>8.39930555555556</v>
      </c>
      <c r="P229" s="5" t="n">
        <f aca="false">MIN(IF(AND(G229,E229),(L229-M229)*24/12.1*O229/1000,0),N229)</f>
        <v>19.9917355371901</v>
      </c>
      <c r="Q229" s="5" t="n">
        <f aca="false">IF(P229&gt;0,P229/O229*12.1/24*1000+M229,0)</f>
        <v>2000</v>
      </c>
      <c r="R229" s="0" t="n">
        <f aca="false">IF(Q229&gt;0,TRUNC(O229),0)</f>
        <v>8</v>
      </c>
      <c r="S229" s="5" t="n">
        <f aca="false">(M229*(D229-R229)+(Q229*R229))/D229</f>
        <v>1109.67741935484</v>
      </c>
      <c r="T229" s="6" t="n">
        <f aca="false">(Q229-M229)*R229*24/12.1/1000</f>
        <v>19.0413223140496</v>
      </c>
    </row>
    <row r="230" customFormat="false" ht="14.35" hidden="false" customHeight="false" outlineLevel="0" collapsed="false">
      <c r="A230" s="4" t="n">
        <v>14731</v>
      </c>
      <c r="B230" s="15" t="n">
        <f aca="false">IF(C230&lt;=9,YEAR(A230),YEAR(A230)+1)</f>
        <v>1940</v>
      </c>
      <c r="C230" s="15" t="n">
        <f aca="false">MONTH(A230)</f>
        <v>4</v>
      </c>
      <c r="D230" s="15" t="n">
        <f aca="false">DAY(A230)</f>
        <v>30</v>
      </c>
      <c r="E230" s="15" t="n">
        <f aca="false">VLOOKUP(B230,WYT!$A$2:$L$97,12)</f>
        <v>1</v>
      </c>
      <c r="F230" s="15" t="n">
        <f aca="false">IF(C230=$W$5,1,0)</f>
        <v>0</v>
      </c>
      <c r="G230" s="15" t="n">
        <f aca="false">IF(C230=10,0,IF(F230=1,1,G229))</f>
        <v>1</v>
      </c>
      <c r="H230" s="5" t="n">
        <f aca="false">VA_base_426_data!B230</f>
        <v>3832.00784763858</v>
      </c>
      <c r="I230" s="5" t="n">
        <f aca="false">IF(AND(E230=1,OR(C230=4,C230=5)),25*12.1/24/D230*1000,0)</f>
        <v>420.138888888889</v>
      </c>
      <c r="J230" s="5" t="n">
        <f aca="false">VA_base_426_data!C230</f>
        <v>1000</v>
      </c>
      <c r="K230" s="5" t="n">
        <f aca="false">H230+I230-J230</f>
        <v>3252.14673652747</v>
      </c>
      <c r="L230" s="5" t="n">
        <f aca="false">MIN($W$7,J230+K230)</f>
        <v>2000</v>
      </c>
      <c r="M230" s="5" t="n">
        <f aca="false">VA_base_426_data!D230</f>
        <v>700</v>
      </c>
      <c r="N230" s="5" t="n">
        <f aca="false">IF(AND(C230=10,E230=1),$W$6,N229-P229)</f>
        <v>0</v>
      </c>
      <c r="O230" s="5" t="n">
        <f aca="false">IF(ABS(M230-L230)&gt;1,MIN(N230/((L230-M230)*24/12.1/1000),D230),D230)</f>
        <v>0</v>
      </c>
      <c r="P230" s="5" t="n">
        <f aca="false">MIN(IF(AND(G230,E230),(L230-M230)*24/12.1*O230/1000,0),N230)</f>
        <v>0</v>
      </c>
      <c r="Q230" s="5" t="n">
        <f aca="false">IF(P230&gt;0,P230/O230*12.1/24*1000+M230,0)</f>
        <v>0</v>
      </c>
      <c r="R230" s="0" t="n">
        <f aca="false">IF(Q230&gt;0,TRUNC(O230),0)</f>
        <v>0</v>
      </c>
      <c r="S230" s="5" t="n">
        <f aca="false">(M230*(D230-R230)+(Q230*R230))/D230</f>
        <v>700</v>
      </c>
      <c r="T230" s="6" t="n">
        <f aca="false">(Q230-M230)*R230*24/12.1/1000</f>
        <v>-0</v>
      </c>
    </row>
    <row r="231" customFormat="false" ht="14.35" hidden="false" customHeight="false" outlineLevel="0" collapsed="false">
      <c r="A231" s="4" t="n">
        <v>14762</v>
      </c>
      <c r="B231" s="15" t="n">
        <f aca="false">IF(C231&lt;=9,YEAR(A231),YEAR(A231)+1)</f>
        <v>1940</v>
      </c>
      <c r="C231" s="15" t="n">
        <f aca="false">MONTH(A231)</f>
        <v>5</v>
      </c>
      <c r="D231" s="15" t="n">
        <f aca="false">DAY(A231)</f>
        <v>31</v>
      </c>
      <c r="E231" s="15" t="n">
        <f aca="false">VLOOKUP(B231,WYT!$A$2:$L$97,12)</f>
        <v>1</v>
      </c>
      <c r="F231" s="15" t="n">
        <f aca="false">IF(C231=$W$5,1,0)</f>
        <v>0</v>
      </c>
      <c r="G231" s="15" t="n">
        <f aca="false">IF(C231=10,0,IF(F231=1,1,G230))</f>
        <v>1</v>
      </c>
      <c r="H231" s="5" t="n">
        <f aca="false">VA_base_426_data!B231</f>
        <v>1000</v>
      </c>
      <c r="I231" s="5" t="n">
        <f aca="false">IF(AND(E231=1,OR(C231=4,C231=5)),25*12.1/24/D231*1000,0)</f>
        <v>406.586021505376</v>
      </c>
      <c r="J231" s="5" t="n">
        <f aca="false">VA_base_426_data!C231</f>
        <v>1000</v>
      </c>
      <c r="K231" s="5" t="n">
        <f aca="false">H231+I231-J231</f>
        <v>406.586021505376</v>
      </c>
      <c r="L231" s="5" t="n">
        <f aca="false">MIN($W$7,J231+K231)</f>
        <v>1406.58602150538</v>
      </c>
      <c r="M231" s="5" t="n">
        <f aca="false">VA_base_426_data!D231</f>
        <v>700</v>
      </c>
      <c r="N231" s="5" t="n">
        <f aca="false">IF(AND(C231=10,E231=1),$W$6,N230-P230)</f>
        <v>0</v>
      </c>
      <c r="O231" s="5" t="n">
        <f aca="false">IF(ABS(M231-L231)&gt;1,MIN(N231/((L231-M231)*24/12.1/1000),D231),D231)</f>
        <v>0</v>
      </c>
      <c r="P231" s="5" t="n">
        <f aca="false">MIN(IF(AND(G231,E231),(L231-M231)*24/12.1*O231/1000,0),N231)</f>
        <v>0</v>
      </c>
      <c r="Q231" s="5" t="n">
        <f aca="false">IF(P231&gt;0,P231/O231*12.1/24*1000+M231,0)</f>
        <v>0</v>
      </c>
      <c r="R231" s="0" t="n">
        <f aca="false">IF(Q231&gt;0,TRUNC(O231),0)</f>
        <v>0</v>
      </c>
      <c r="S231" s="5" t="n">
        <f aca="false">(M231*(D231-R231)+(Q231*R231))/D231</f>
        <v>700</v>
      </c>
      <c r="T231" s="6" t="n">
        <f aca="false">(Q231-M231)*R231*24/12.1/1000</f>
        <v>-0</v>
      </c>
    </row>
    <row r="232" customFormat="false" ht="14.35" hidden="false" customHeight="false" outlineLevel="0" collapsed="false">
      <c r="A232" s="4" t="n">
        <v>14792</v>
      </c>
      <c r="B232" s="15" t="n">
        <f aca="false">IF(C232&lt;=9,YEAR(A232),YEAR(A232)+1)</f>
        <v>1940</v>
      </c>
      <c r="C232" s="15" t="n">
        <f aca="false">MONTH(A232)</f>
        <v>6</v>
      </c>
      <c r="D232" s="15" t="n">
        <f aca="false">DAY(A232)</f>
        <v>30</v>
      </c>
      <c r="E232" s="15" t="n">
        <f aca="false">VLOOKUP(B232,WYT!$A$2:$L$97,12)</f>
        <v>1</v>
      </c>
      <c r="F232" s="15" t="n">
        <f aca="false">IF(C232=$W$5,1,0)</f>
        <v>0</v>
      </c>
      <c r="G232" s="15" t="n">
        <f aca="false">IF(C232=10,0,IF(F232=1,1,G231))</f>
        <v>1</v>
      </c>
      <c r="H232" s="5" t="n">
        <f aca="false">VA_base_426_data!B232</f>
        <v>2515.31704698138</v>
      </c>
      <c r="I232" s="5" t="n">
        <f aca="false">IF(AND(E232=1,OR(C232=4,C232=5)),25*12.1/24/D232*1000,0)</f>
        <v>0</v>
      </c>
      <c r="J232" s="5" t="n">
        <f aca="false">VA_base_426_data!C232</f>
        <v>1000</v>
      </c>
      <c r="K232" s="5" t="n">
        <f aca="false">H232+I232-J232</f>
        <v>1515.31704698138</v>
      </c>
      <c r="L232" s="5" t="n">
        <f aca="false">MIN($W$7,J232+K232)</f>
        <v>2000</v>
      </c>
      <c r="M232" s="5" t="n">
        <f aca="false">VA_base_426_data!D232</f>
        <v>700</v>
      </c>
      <c r="N232" s="5" t="n">
        <f aca="false">IF(AND(C232=10,E232=1),$W$6,N231-P231)</f>
        <v>0</v>
      </c>
      <c r="O232" s="5" t="n">
        <f aca="false">IF(ABS(M232-L232)&gt;1,MIN(N232/((L232-M232)*24/12.1/1000),D232),D232)</f>
        <v>0</v>
      </c>
      <c r="P232" s="5" t="n">
        <f aca="false">MIN(IF(AND(G232,E232),(L232-M232)*24/12.1*O232/1000,0),N232)</f>
        <v>0</v>
      </c>
      <c r="Q232" s="5" t="n">
        <f aca="false">IF(P232&gt;0,P232/O232*12.1/24*1000+M232,0)</f>
        <v>0</v>
      </c>
      <c r="R232" s="0" t="n">
        <f aca="false">IF(Q232&gt;0,TRUNC(O232),0)</f>
        <v>0</v>
      </c>
      <c r="S232" s="5" t="n">
        <f aca="false">(M232*(D232-R232)+(Q232*R232))/D232</f>
        <v>700</v>
      </c>
      <c r="T232" s="6" t="n">
        <f aca="false">(Q232-M232)*R232*24/12.1/1000</f>
        <v>-0</v>
      </c>
    </row>
    <row r="233" customFormat="false" ht="14.35" hidden="false" customHeight="false" outlineLevel="0" collapsed="false">
      <c r="A233" s="4" t="n">
        <v>14823</v>
      </c>
      <c r="B233" s="15" t="n">
        <f aca="false">IF(C233&lt;=9,YEAR(A233),YEAR(A233)+1)</f>
        <v>1940</v>
      </c>
      <c r="C233" s="15" t="n">
        <f aca="false">MONTH(A233)</f>
        <v>7</v>
      </c>
      <c r="D233" s="15" t="n">
        <f aca="false">DAY(A233)</f>
        <v>31</v>
      </c>
      <c r="E233" s="15" t="n">
        <f aca="false">VLOOKUP(B233,WYT!$A$2:$L$97,12)</f>
        <v>1</v>
      </c>
      <c r="F233" s="15" t="n">
        <f aca="false">IF(C233=$W$5,1,0)</f>
        <v>0</v>
      </c>
      <c r="G233" s="15" t="n">
        <f aca="false">IF(C233=10,0,IF(F233=1,1,G232))</f>
        <v>1</v>
      </c>
      <c r="H233" s="5" t="n">
        <f aca="false">VA_base_426_data!B233</f>
        <v>8684.00777618643</v>
      </c>
      <c r="I233" s="5" t="n">
        <f aca="false">IF(AND(E233=1,OR(C233=4,C233=5)),25*12.1/24/D233*1000,0)</f>
        <v>0</v>
      </c>
      <c r="J233" s="5" t="n">
        <f aca="false">VA_base_426_data!C233</f>
        <v>1000</v>
      </c>
      <c r="K233" s="5" t="n">
        <f aca="false">H233+I233-J233</f>
        <v>7684.00777618643</v>
      </c>
      <c r="L233" s="5" t="n">
        <f aca="false">MIN($W$7,J233+K233)</f>
        <v>2000</v>
      </c>
      <c r="M233" s="5" t="n">
        <f aca="false">VA_base_426_data!D233</f>
        <v>700</v>
      </c>
      <c r="N233" s="5" t="n">
        <f aca="false">IF(AND(C233=10,E233=1),$W$6,N232-P232)</f>
        <v>0</v>
      </c>
      <c r="O233" s="5" t="n">
        <f aca="false">IF(ABS(M233-L233)&gt;1,MIN(N233/((L233-M233)*24/12.1/1000),D233),D233)</f>
        <v>0</v>
      </c>
      <c r="P233" s="5" t="n">
        <f aca="false">MIN(IF(AND(G233,E233),(L233-M233)*24/12.1*O233/1000,0),N233)</f>
        <v>0</v>
      </c>
      <c r="Q233" s="5" t="n">
        <f aca="false">IF(P233&gt;0,P233/O233*12.1/24*1000+M233,0)</f>
        <v>0</v>
      </c>
      <c r="R233" s="0" t="n">
        <f aca="false">IF(Q233&gt;0,TRUNC(O233),0)</f>
        <v>0</v>
      </c>
      <c r="S233" s="5" t="n">
        <f aca="false">(M233*(D233-R233)+(Q233*R233))/D233</f>
        <v>700</v>
      </c>
      <c r="T233" s="6" t="n">
        <f aca="false">(Q233-M233)*R233*24/12.1/1000</f>
        <v>-0</v>
      </c>
    </row>
    <row r="234" customFormat="false" ht="14.35" hidden="false" customHeight="false" outlineLevel="0" collapsed="false">
      <c r="A234" s="4" t="n">
        <v>14854</v>
      </c>
      <c r="B234" s="15" t="n">
        <f aca="false">IF(C234&lt;=9,YEAR(A234),YEAR(A234)+1)</f>
        <v>1940</v>
      </c>
      <c r="C234" s="15" t="n">
        <f aca="false">MONTH(A234)</f>
        <v>8</v>
      </c>
      <c r="D234" s="15" t="n">
        <f aca="false">DAY(A234)</f>
        <v>31</v>
      </c>
      <c r="E234" s="15" t="n">
        <f aca="false">VLOOKUP(B234,WYT!$A$2:$L$97,12)</f>
        <v>1</v>
      </c>
      <c r="F234" s="15" t="n">
        <f aca="false">IF(C234=$W$5,1,0)</f>
        <v>0</v>
      </c>
      <c r="G234" s="15" t="n">
        <f aca="false">IF(C234=10,0,IF(F234=1,1,G233))</f>
        <v>1</v>
      </c>
      <c r="H234" s="5" t="n">
        <f aca="false">VA_base_426_data!B234</f>
        <v>8224.92914626087</v>
      </c>
      <c r="I234" s="5" t="n">
        <f aca="false">IF(AND(E234=1,OR(C234=4,C234=5)),25*12.1/24/D234*1000,0)</f>
        <v>0</v>
      </c>
      <c r="J234" s="5" t="n">
        <f aca="false">VA_base_426_data!C234</f>
        <v>1000</v>
      </c>
      <c r="K234" s="5" t="n">
        <f aca="false">H234+I234-J234</f>
        <v>7224.92914626087</v>
      </c>
      <c r="L234" s="5" t="n">
        <f aca="false">MIN($W$7,J234+K234)</f>
        <v>2000</v>
      </c>
      <c r="M234" s="5" t="n">
        <f aca="false">VA_base_426_data!D234</f>
        <v>700</v>
      </c>
      <c r="N234" s="5" t="n">
        <f aca="false">IF(AND(C234=10,E234=1),$W$6,N233-P233)</f>
        <v>0</v>
      </c>
      <c r="O234" s="5" t="n">
        <f aca="false">IF(ABS(M234-L234)&gt;1,MIN(N234/((L234-M234)*24/12.1/1000),D234),D234)</f>
        <v>0</v>
      </c>
      <c r="P234" s="5" t="n">
        <f aca="false">MIN(IF(AND(G234,E234),(L234-M234)*24/12.1*O234/1000,0),N234)</f>
        <v>0</v>
      </c>
      <c r="Q234" s="5" t="n">
        <f aca="false">IF(P234&gt;0,P234/O234*12.1/24*1000+M234,0)</f>
        <v>0</v>
      </c>
      <c r="R234" s="0" t="n">
        <f aca="false">IF(Q234&gt;0,TRUNC(O234),0)</f>
        <v>0</v>
      </c>
      <c r="S234" s="5" t="n">
        <f aca="false">(M234*(D234-R234)+(Q234*R234))/D234</f>
        <v>700</v>
      </c>
      <c r="T234" s="6" t="n">
        <f aca="false">(Q234-M234)*R234*24/12.1/1000</f>
        <v>-0</v>
      </c>
    </row>
    <row r="235" customFormat="false" ht="14.35" hidden="false" customHeight="false" outlineLevel="0" collapsed="false">
      <c r="A235" s="4" t="n">
        <v>14884</v>
      </c>
      <c r="B235" s="15" t="n">
        <f aca="false">IF(C235&lt;=9,YEAR(A235),YEAR(A235)+1)</f>
        <v>1940</v>
      </c>
      <c r="C235" s="15" t="n">
        <f aca="false">MONTH(A235)</f>
        <v>9</v>
      </c>
      <c r="D235" s="15" t="n">
        <f aca="false">DAY(A235)</f>
        <v>30</v>
      </c>
      <c r="E235" s="15" t="n">
        <f aca="false">VLOOKUP(B235,WYT!$A$2:$L$97,12)</f>
        <v>1</v>
      </c>
      <c r="F235" s="15" t="n">
        <f aca="false">IF(C235=$W$5,1,0)</f>
        <v>0</v>
      </c>
      <c r="G235" s="15" t="n">
        <f aca="false">IF(C235=10,0,IF(F235=1,1,G234))</f>
        <v>1</v>
      </c>
      <c r="H235" s="5" t="n">
        <f aca="false">VA_base_426_data!B235</f>
        <v>8192.77515084282</v>
      </c>
      <c r="I235" s="5" t="n">
        <f aca="false">IF(AND(E235=1,OR(C235=4,C235=5)),25*12.1/24/D235*1000,0)</f>
        <v>0</v>
      </c>
      <c r="J235" s="5" t="n">
        <f aca="false">VA_base_426_data!C235</f>
        <v>1000</v>
      </c>
      <c r="K235" s="5" t="n">
        <f aca="false">H235+I235-J235</f>
        <v>7192.77515084282</v>
      </c>
      <c r="L235" s="5" t="n">
        <f aca="false">MIN($W$7,J235+K235)</f>
        <v>2000</v>
      </c>
      <c r="M235" s="5" t="n">
        <f aca="false">VA_base_426_data!D235</f>
        <v>773.3333333</v>
      </c>
      <c r="N235" s="5" t="n">
        <f aca="false">IF(AND(C235=10,E235=1),$W$6,N234-P234)</f>
        <v>0</v>
      </c>
      <c r="O235" s="5" t="n">
        <f aca="false">IF(ABS(M235-L235)&gt;1,MIN(N235/((L235-M235)*24/12.1/1000),D235),D235)</f>
        <v>0</v>
      </c>
      <c r="P235" s="5" t="n">
        <f aca="false">MIN(IF(AND(G235,E235),(L235-M235)*24/12.1*O235/1000,0),N235)</f>
        <v>0</v>
      </c>
      <c r="Q235" s="5" t="n">
        <f aca="false">IF(P235&gt;0,P235/O235*12.1/24*1000+M235,0)</f>
        <v>0</v>
      </c>
      <c r="R235" s="0" t="n">
        <f aca="false">IF(Q235&gt;0,TRUNC(O235),0)</f>
        <v>0</v>
      </c>
      <c r="S235" s="5" t="n">
        <f aca="false">(M235*(D235-R235)+(Q235*R235))/D235</f>
        <v>773.3333333</v>
      </c>
      <c r="T235" s="6" t="n">
        <f aca="false">(Q235-M235)*R235*24/12.1/1000</f>
        <v>-0</v>
      </c>
    </row>
    <row r="236" customFormat="false" ht="14.35" hidden="false" customHeight="false" outlineLevel="0" collapsed="false">
      <c r="A236" s="4" t="n">
        <v>14915</v>
      </c>
      <c r="B236" s="15" t="n">
        <f aca="false">IF(C236&lt;=9,YEAR(A236),YEAR(A236)+1)</f>
        <v>1941</v>
      </c>
      <c r="C236" s="15" t="n">
        <f aca="false">MONTH(A236)</f>
        <v>10</v>
      </c>
      <c r="D236" s="15" t="n">
        <f aca="false">DAY(A236)</f>
        <v>31</v>
      </c>
      <c r="E236" s="15" t="n">
        <f aca="false">VLOOKUP(B236,WYT!$A$2:$L$97,12)</f>
        <v>0</v>
      </c>
      <c r="F236" s="15" t="n">
        <f aca="false">IF(C236=$W$5,1,0)</f>
        <v>0</v>
      </c>
      <c r="G236" s="15" t="n">
        <f aca="false">IF(C236=10,0,IF(F236=1,1,G235))</f>
        <v>0</v>
      </c>
      <c r="H236" s="5" t="n">
        <f aca="false">VA_base_426_data!B236</f>
        <v>4000</v>
      </c>
      <c r="I236" s="5" t="n">
        <f aca="false">IF(AND(E236=1,OR(C236=4,C236=5)),25*12.1/24/D236*1000,0)</f>
        <v>0</v>
      </c>
      <c r="J236" s="5" t="n">
        <f aca="false">VA_base_426_data!C236</f>
        <v>1700</v>
      </c>
      <c r="K236" s="5" t="n">
        <f aca="false">H236+I236-J236</f>
        <v>2300</v>
      </c>
      <c r="L236" s="5" t="n">
        <f aca="false">MIN($W$7,J236+K236)</f>
        <v>2000</v>
      </c>
      <c r="M236" s="5" t="n">
        <f aca="false">VA_base_426_data!D236</f>
        <v>800</v>
      </c>
      <c r="N236" s="5" t="n">
        <f aca="false">IF(AND(C236=10,E236=1),$W$6,N235-P235)</f>
        <v>0</v>
      </c>
      <c r="O236" s="5" t="n">
        <f aca="false">IF(ABS(M236-L236)&gt;1,MIN(N236/((L236-M236)*24/12.1/1000),D236),D236)</f>
        <v>0</v>
      </c>
      <c r="P236" s="5" t="n">
        <f aca="false">MIN(IF(AND(G236,E236),(L236-M236)*24/12.1*O236/1000,0),N236)</f>
        <v>0</v>
      </c>
      <c r="Q236" s="5" t="n">
        <f aca="false">IF(P236&gt;0,P236/O236*12.1/24*1000+M236,0)</f>
        <v>0</v>
      </c>
      <c r="R236" s="0" t="n">
        <f aca="false">IF(Q236&gt;0,TRUNC(O236),0)</f>
        <v>0</v>
      </c>
      <c r="S236" s="5" t="n">
        <f aca="false">(M236*(D236-R236)+(Q236*R236))/D236</f>
        <v>800</v>
      </c>
      <c r="T236" s="6" t="n">
        <f aca="false">(Q236-M236)*R236*24/12.1/1000</f>
        <v>-0</v>
      </c>
    </row>
    <row r="237" customFormat="false" ht="14.35" hidden="false" customHeight="false" outlineLevel="0" collapsed="false">
      <c r="A237" s="4" t="n">
        <v>14945</v>
      </c>
      <c r="B237" s="15" t="n">
        <f aca="false">IF(C237&lt;=9,YEAR(A237),YEAR(A237)+1)</f>
        <v>1941</v>
      </c>
      <c r="C237" s="15" t="n">
        <f aca="false">MONTH(A237)</f>
        <v>11</v>
      </c>
      <c r="D237" s="15" t="n">
        <f aca="false">DAY(A237)</f>
        <v>30</v>
      </c>
      <c r="E237" s="15" t="n">
        <f aca="false">VLOOKUP(B237,WYT!$A$2:$L$97,12)</f>
        <v>0</v>
      </c>
      <c r="F237" s="15" t="n">
        <f aca="false">IF(C237=$W$5,1,0)</f>
        <v>0</v>
      </c>
      <c r="G237" s="15" t="n">
        <f aca="false">IF(C237=10,0,IF(F237=1,1,G236))</f>
        <v>0</v>
      </c>
      <c r="H237" s="5" t="n">
        <f aca="false">VA_base_426_data!B237</f>
        <v>2262.66785361697</v>
      </c>
      <c r="I237" s="5" t="n">
        <f aca="false">IF(AND(E237=1,OR(C237=4,C237=5)),25*12.1/24/D237*1000,0)</f>
        <v>0</v>
      </c>
      <c r="J237" s="5" t="n">
        <f aca="false">VA_base_426_data!C237</f>
        <v>1700</v>
      </c>
      <c r="K237" s="5" t="n">
        <f aca="false">H237+I237-J237</f>
        <v>562.667853616967</v>
      </c>
      <c r="L237" s="5" t="n">
        <f aca="false">MIN($W$7,J237+K237)</f>
        <v>2000</v>
      </c>
      <c r="M237" s="5" t="n">
        <f aca="false">VA_base_426_data!D237</f>
        <v>800</v>
      </c>
      <c r="N237" s="5" t="n">
        <f aca="false">IF(AND(C237=10,E237=1),$W$6,N236-P236)</f>
        <v>0</v>
      </c>
      <c r="O237" s="5" t="n">
        <f aca="false">IF(ABS(M237-L237)&gt;1,MIN(N237/((L237-M237)*24/12.1/1000),D237),D237)</f>
        <v>0</v>
      </c>
      <c r="P237" s="5" t="n">
        <f aca="false">MIN(IF(AND(G237,E237),(L237-M237)*24/12.1*O237/1000,0),N237)</f>
        <v>0</v>
      </c>
      <c r="Q237" s="5" t="n">
        <f aca="false">IF(P237&gt;0,P237/O237*12.1/24*1000+M237,0)</f>
        <v>0</v>
      </c>
      <c r="R237" s="0" t="n">
        <f aca="false">IF(Q237&gt;0,TRUNC(O237),0)</f>
        <v>0</v>
      </c>
      <c r="S237" s="5" t="n">
        <f aca="false">(M237*(D237-R237)+(Q237*R237))/D237</f>
        <v>800</v>
      </c>
      <c r="T237" s="6" t="n">
        <f aca="false">(Q237-M237)*R237*24/12.1/1000</f>
        <v>-0</v>
      </c>
    </row>
    <row r="238" customFormat="false" ht="14.35" hidden="false" customHeight="false" outlineLevel="0" collapsed="false">
      <c r="A238" s="4" t="n">
        <v>14976</v>
      </c>
      <c r="B238" s="15" t="n">
        <f aca="false">IF(C238&lt;=9,YEAR(A238),YEAR(A238)+1)</f>
        <v>1941</v>
      </c>
      <c r="C238" s="15" t="n">
        <f aca="false">MONTH(A238)</f>
        <v>12</v>
      </c>
      <c r="D238" s="15" t="n">
        <f aca="false">DAY(A238)</f>
        <v>31</v>
      </c>
      <c r="E238" s="15" t="n">
        <f aca="false">VLOOKUP(B238,WYT!$A$2:$L$97,12)</f>
        <v>0</v>
      </c>
      <c r="F238" s="15" t="n">
        <f aca="false">IF(C238=$W$5,1,0)</f>
        <v>0</v>
      </c>
      <c r="G238" s="15" t="n">
        <f aca="false">IF(C238=10,0,IF(F238=1,1,G237))</f>
        <v>0</v>
      </c>
      <c r="H238" s="5" t="n">
        <f aca="false">VA_base_426_data!B238</f>
        <v>1700</v>
      </c>
      <c r="I238" s="5" t="n">
        <f aca="false">IF(AND(E238=1,OR(C238=4,C238=5)),25*12.1/24/D238*1000,0)</f>
        <v>0</v>
      </c>
      <c r="J238" s="5" t="n">
        <f aca="false">VA_base_426_data!C238</f>
        <v>1700</v>
      </c>
      <c r="K238" s="5" t="n">
        <f aca="false">H238+I238-J238</f>
        <v>0</v>
      </c>
      <c r="L238" s="5" t="n">
        <f aca="false">MIN($W$7,J238+K238)</f>
        <v>1700</v>
      </c>
      <c r="M238" s="5" t="n">
        <f aca="false">VA_base_426_data!D238</f>
        <v>800</v>
      </c>
      <c r="N238" s="5" t="n">
        <f aca="false">IF(AND(C238=10,E238=1),$W$6,N237-P237)</f>
        <v>0</v>
      </c>
      <c r="O238" s="5" t="n">
        <f aca="false">IF(ABS(M238-L238)&gt;1,MIN(N238/((L238-M238)*24/12.1/1000),D238),D238)</f>
        <v>0</v>
      </c>
      <c r="P238" s="5" t="n">
        <f aca="false">MIN(IF(AND(G238,E238),(L238-M238)*24/12.1*O238/1000,0),N238)</f>
        <v>0</v>
      </c>
      <c r="Q238" s="5" t="n">
        <f aca="false">IF(P238&gt;0,P238/O238*12.1/24*1000+M238,0)</f>
        <v>0</v>
      </c>
      <c r="R238" s="0" t="n">
        <f aca="false">IF(Q238&gt;0,TRUNC(O238),0)</f>
        <v>0</v>
      </c>
      <c r="S238" s="5" t="n">
        <f aca="false">(M238*(D238-R238)+(Q238*R238))/D238</f>
        <v>800</v>
      </c>
      <c r="T238" s="6" t="n">
        <f aca="false">(Q238-M238)*R238*24/12.1/1000</f>
        <v>-0</v>
      </c>
    </row>
    <row r="239" customFormat="false" ht="14.35" hidden="false" customHeight="false" outlineLevel="0" collapsed="false">
      <c r="A239" s="4" t="n">
        <v>15007</v>
      </c>
      <c r="B239" s="15" t="n">
        <f aca="false">IF(C239&lt;=9,YEAR(A239),YEAR(A239)+1)</f>
        <v>1941</v>
      </c>
      <c r="C239" s="15" t="n">
        <f aca="false">MONTH(A239)</f>
        <v>1</v>
      </c>
      <c r="D239" s="15" t="n">
        <f aca="false">DAY(A239)</f>
        <v>31</v>
      </c>
      <c r="E239" s="15" t="n">
        <f aca="false">VLOOKUP(B239,WYT!$A$2:$L$97,12)</f>
        <v>0</v>
      </c>
      <c r="F239" s="15" t="n">
        <f aca="false">IF(C239=$W$5,1,0)</f>
        <v>0</v>
      </c>
      <c r="G239" s="15" t="n">
        <f aca="false">IF(C239=10,0,IF(F239=1,1,G238))</f>
        <v>0</v>
      </c>
      <c r="H239" s="5" t="n">
        <f aca="false">VA_base_426_data!B239</f>
        <v>1700</v>
      </c>
      <c r="I239" s="5" t="n">
        <f aca="false">IF(AND(E239=1,OR(C239=4,C239=5)),25*12.1/24/D239*1000,0)</f>
        <v>0</v>
      </c>
      <c r="J239" s="5" t="n">
        <f aca="false">VA_base_426_data!C239</f>
        <v>1700</v>
      </c>
      <c r="K239" s="5" t="n">
        <f aca="false">H239+I239-J239</f>
        <v>0</v>
      </c>
      <c r="L239" s="5" t="n">
        <f aca="false">MIN($W$7,J239+K239)</f>
        <v>1700</v>
      </c>
      <c r="M239" s="5" t="n">
        <f aca="false">VA_base_426_data!D239</f>
        <v>800</v>
      </c>
      <c r="N239" s="5" t="n">
        <f aca="false">IF(AND(C239=10,E239=1),$W$6,N238-P238)</f>
        <v>0</v>
      </c>
      <c r="O239" s="5" t="n">
        <f aca="false">IF(ABS(M239-L239)&gt;1,MIN(N239/((L239-M239)*24/12.1/1000),D239),D239)</f>
        <v>0</v>
      </c>
      <c r="P239" s="5" t="n">
        <f aca="false">MIN(IF(AND(G239,E239),(L239-M239)*24/12.1*O239/1000,0),N239)</f>
        <v>0</v>
      </c>
      <c r="Q239" s="5" t="n">
        <f aca="false">IF(P239&gt;0,P239/O239*12.1/24*1000+M239,0)</f>
        <v>0</v>
      </c>
      <c r="R239" s="0" t="n">
        <f aca="false">IF(Q239&gt;0,TRUNC(O239),0)</f>
        <v>0</v>
      </c>
      <c r="S239" s="5" t="n">
        <f aca="false">(M239*(D239-R239)+(Q239*R239))/D239</f>
        <v>800</v>
      </c>
      <c r="T239" s="6" t="n">
        <f aca="false">(Q239-M239)*R239*24/12.1/1000</f>
        <v>-0</v>
      </c>
    </row>
    <row r="240" customFormat="false" ht="14.35" hidden="false" customHeight="false" outlineLevel="0" collapsed="false">
      <c r="A240" s="4" t="n">
        <v>15035</v>
      </c>
      <c r="B240" s="15" t="n">
        <f aca="false">IF(C240&lt;=9,YEAR(A240),YEAR(A240)+1)</f>
        <v>1941</v>
      </c>
      <c r="C240" s="15" t="n">
        <f aca="false">MONTH(A240)</f>
        <v>2</v>
      </c>
      <c r="D240" s="15" t="n">
        <f aca="false">DAY(A240)</f>
        <v>28</v>
      </c>
      <c r="E240" s="15" t="n">
        <f aca="false">VLOOKUP(B240,WYT!$A$2:$L$97,12)</f>
        <v>0</v>
      </c>
      <c r="F240" s="15" t="n">
        <f aca="false">IF(C240=$W$5,1,0)</f>
        <v>1</v>
      </c>
      <c r="G240" s="15" t="n">
        <f aca="false">IF(C240=10,0,IF(F240=1,1,G239))</f>
        <v>1</v>
      </c>
      <c r="H240" s="5" t="n">
        <f aca="false">VA_base_426_data!B240</f>
        <v>11948.2474251916</v>
      </c>
      <c r="I240" s="5" t="n">
        <f aca="false">IF(AND(E240=1,OR(C240=4,C240=5)),25*12.1/24/D240*1000,0)</f>
        <v>0</v>
      </c>
      <c r="J240" s="5" t="n">
        <f aca="false">VA_base_426_data!C240</f>
        <v>1700</v>
      </c>
      <c r="K240" s="5" t="n">
        <f aca="false">H240+I240-J240</f>
        <v>10248.2474251916</v>
      </c>
      <c r="L240" s="5" t="n">
        <f aca="false">MIN($W$7,J240+K240)</f>
        <v>2000</v>
      </c>
      <c r="M240" s="5" t="n">
        <f aca="false">VA_base_426_data!D240</f>
        <v>800</v>
      </c>
      <c r="N240" s="5" t="n">
        <f aca="false">IF(AND(C240=10,E240=1),$W$6,N239-P239)</f>
        <v>0</v>
      </c>
      <c r="O240" s="5" t="n">
        <f aca="false">IF(ABS(M240-L240)&gt;1,MIN(N240/((L240-M240)*24/12.1/1000),D240),D240)</f>
        <v>0</v>
      </c>
      <c r="P240" s="5" t="n">
        <f aca="false">MIN(IF(AND(G240,E240),(L240-M240)*24/12.1*O240/1000,0),N240)</f>
        <v>0</v>
      </c>
      <c r="Q240" s="5" t="n">
        <f aca="false">IF(P240&gt;0,P240/O240*12.1/24*1000+M240,0)</f>
        <v>0</v>
      </c>
      <c r="R240" s="0" t="n">
        <f aca="false">IF(Q240&gt;0,TRUNC(O240),0)</f>
        <v>0</v>
      </c>
      <c r="S240" s="5" t="n">
        <f aca="false">(M240*(D240-R240)+(Q240*R240))/D240</f>
        <v>800</v>
      </c>
      <c r="T240" s="6" t="n">
        <f aca="false">(Q240-M240)*R240*24/12.1/1000</f>
        <v>-0</v>
      </c>
    </row>
    <row r="241" customFormat="false" ht="14.35" hidden="false" customHeight="false" outlineLevel="0" collapsed="false">
      <c r="A241" s="4" t="n">
        <v>15066</v>
      </c>
      <c r="B241" s="15" t="n">
        <f aca="false">IF(C241&lt;=9,YEAR(A241),YEAR(A241)+1)</f>
        <v>1941</v>
      </c>
      <c r="C241" s="15" t="n">
        <f aca="false">MONTH(A241)</f>
        <v>3</v>
      </c>
      <c r="D241" s="15" t="n">
        <f aca="false">DAY(A241)</f>
        <v>31</v>
      </c>
      <c r="E241" s="15" t="n">
        <f aca="false">VLOOKUP(B241,WYT!$A$2:$L$97,12)</f>
        <v>0</v>
      </c>
      <c r="F241" s="15" t="n">
        <f aca="false">IF(C241=$W$5,1,0)</f>
        <v>0</v>
      </c>
      <c r="G241" s="15" t="n">
        <f aca="false">IF(C241=10,0,IF(F241=1,1,G240))</f>
        <v>1</v>
      </c>
      <c r="H241" s="5" t="n">
        <f aca="false">VA_base_426_data!B241</f>
        <v>11431.6208603803</v>
      </c>
      <c r="I241" s="5" t="n">
        <f aca="false">IF(AND(E241=1,OR(C241=4,C241=5)),25*12.1/24/D241*1000,0)</f>
        <v>0</v>
      </c>
      <c r="J241" s="5" t="n">
        <f aca="false">VA_base_426_data!C241</f>
        <v>1700</v>
      </c>
      <c r="K241" s="5" t="n">
        <f aca="false">H241+I241-J241</f>
        <v>9731.62086038033</v>
      </c>
      <c r="L241" s="5" t="n">
        <f aca="false">MIN($W$7,J241+K241)</f>
        <v>2000</v>
      </c>
      <c r="M241" s="5" t="n">
        <f aca="false">VA_base_426_data!D241</f>
        <v>800</v>
      </c>
      <c r="N241" s="5" t="n">
        <f aca="false">IF(AND(C241=10,E241=1),$W$6,N240-P240)</f>
        <v>0</v>
      </c>
      <c r="O241" s="5" t="n">
        <f aca="false">IF(ABS(M241-L241)&gt;1,MIN(N241/((L241-M241)*24/12.1/1000),D241),D241)</f>
        <v>0</v>
      </c>
      <c r="P241" s="5" t="n">
        <f aca="false">MIN(IF(AND(G241,E241),(L241-M241)*24/12.1*O241/1000,0),N241)</f>
        <v>0</v>
      </c>
      <c r="Q241" s="5" t="n">
        <f aca="false">IF(P241&gt;0,P241/O241*12.1/24*1000+M241,0)</f>
        <v>0</v>
      </c>
      <c r="R241" s="0" t="n">
        <f aca="false">IF(Q241&gt;0,TRUNC(O241),0)</f>
        <v>0</v>
      </c>
      <c r="S241" s="5" t="n">
        <f aca="false">(M241*(D241-R241)+(Q241*R241))/D241</f>
        <v>800</v>
      </c>
      <c r="T241" s="6" t="n">
        <f aca="false">(Q241-M241)*R241*24/12.1/1000</f>
        <v>-0</v>
      </c>
    </row>
    <row r="242" customFormat="false" ht="14.35" hidden="false" customHeight="false" outlineLevel="0" collapsed="false">
      <c r="A242" s="4" t="n">
        <v>15096</v>
      </c>
      <c r="B242" s="15" t="n">
        <f aca="false">IF(C242&lt;=9,YEAR(A242),YEAR(A242)+1)</f>
        <v>1941</v>
      </c>
      <c r="C242" s="15" t="n">
        <f aca="false">MONTH(A242)</f>
        <v>4</v>
      </c>
      <c r="D242" s="15" t="n">
        <f aca="false">DAY(A242)</f>
        <v>30</v>
      </c>
      <c r="E242" s="15" t="n">
        <f aca="false">VLOOKUP(B242,WYT!$A$2:$L$97,12)</f>
        <v>0</v>
      </c>
      <c r="F242" s="15" t="n">
        <f aca="false">IF(C242=$W$5,1,0)</f>
        <v>0</v>
      </c>
      <c r="G242" s="15" t="n">
        <f aca="false">IF(C242=10,0,IF(F242=1,1,G241))</f>
        <v>1</v>
      </c>
      <c r="H242" s="5" t="n">
        <f aca="false">VA_base_426_data!B242</f>
        <v>3793.29976175121</v>
      </c>
      <c r="I242" s="5" t="n">
        <f aca="false">IF(AND(E242=1,OR(C242=4,C242=5)),25*12.1/24/D242*1000,0)</f>
        <v>0</v>
      </c>
      <c r="J242" s="5" t="n">
        <f aca="false">VA_base_426_data!C242</f>
        <v>1000</v>
      </c>
      <c r="K242" s="5" t="n">
        <f aca="false">H242+I242-J242</f>
        <v>2793.29976175121</v>
      </c>
      <c r="L242" s="5" t="n">
        <f aca="false">MIN($W$7,J242+K242)</f>
        <v>2000</v>
      </c>
      <c r="M242" s="5" t="n">
        <f aca="false">VA_base_426_data!D242</f>
        <v>700</v>
      </c>
      <c r="N242" s="5" t="n">
        <f aca="false">IF(AND(C242=10,E242=1),$W$6,N241-P241)</f>
        <v>0</v>
      </c>
      <c r="O242" s="5" t="n">
        <f aca="false">IF(ABS(M242-L242)&gt;1,MIN(N242/((L242-M242)*24/12.1/1000),D242),D242)</f>
        <v>0</v>
      </c>
      <c r="P242" s="5" t="n">
        <f aca="false">MIN(IF(AND(G242,E242),(L242-M242)*24/12.1*O242/1000,0),N242)</f>
        <v>0</v>
      </c>
      <c r="Q242" s="5" t="n">
        <f aca="false">IF(P242&gt;0,P242/O242*12.1/24*1000+M242,0)</f>
        <v>0</v>
      </c>
      <c r="R242" s="0" t="n">
        <f aca="false">IF(Q242&gt;0,TRUNC(O242),0)</f>
        <v>0</v>
      </c>
      <c r="S242" s="5" t="n">
        <f aca="false">(M242*(D242-R242)+(Q242*R242))/D242</f>
        <v>700</v>
      </c>
      <c r="T242" s="6" t="n">
        <f aca="false">(Q242-M242)*R242*24/12.1/1000</f>
        <v>-0</v>
      </c>
    </row>
    <row r="243" customFormat="false" ht="14.35" hidden="false" customHeight="false" outlineLevel="0" collapsed="false">
      <c r="A243" s="4" t="n">
        <v>15127</v>
      </c>
      <c r="B243" s="15" t="n">
        <f aca="false">IF(C243&lt;=9,YEAR(A243),YEAR(A243)+1)</f>
        <v>1941</v>
      </c>
      <c r="C243" s="15" t="n">
        <f aca="false">MONTH(A243)</f>
        <v>5</v>
      </c>
      <c r="D243" s="15" t="n">
        <f aca="false">DAY(A243)</f>
        <v>31</v>
      </c>
      <c r="E243" s="15" t="n">
        <f aca="false">VLOOKUP(B243,WYT!$A$2:$L$97,12)</f>
        <v>0</v>
      </c>
      <c r="F243" s="15" t="n">
        <f aca="false">IF(C243=$W$5,1,0)</f>
        <v>0</v>
      </c>
      <c r="G243" s="15" t="n">
        <f aca="false">IF(C243=10,0,IF(F243=1,1,G242))</f>
        <v>1</v>
      </c>
      <c r="H243" s="5" t="n">
        <f aca="false">VA_base_426_data!B243</f>
        <v>8516.84220454923</v>
      </c>
      <c r="I243" s="5" t="n">
        <f aca="false">IF(AND(E243=1,OR(C243=4,C243=5)),25*12.1/24/D243*1000,0)</f>
        <v>0</v>
      </c>
      <c r="J243" s="5" t="n">
        <f aca="false">VA_base_426_data!C243</f>
        <v>1000</v>
      </c>
      <c r="K243" s="5" t="n">
        <f aca="false">H243+I243-J243</f>
        <v>7516.84220454923</v>
      </c>
      <c r="L243" s="5" t="n">
        <f aca="false">MIN($W$7,J243+K243)</f>
        <v>2000</v>
      </c>
      <c r="M243" s="5" t="n">
        <f aca="false">VA_base_426_data!D243</f>
        <v>700</v>
      </c>
      <c r="N243" s="5" t="n">
        <f aca="false">IF(AND(C243=10,E243=1),$W$6,N242-P242)</f>
        <v>0</v>
      </c>
      <c r="O243" s="5" t="n">
        <f aca="false">IF(ABS(M243-L243)&gt;1,MIN(N243/((L243-M243)*24/12.1/1000),D243),D243)</f>
        <v>0</v>
      </c>
      <c r="P243" s="5" t="n">
        <f aca="false">MIN(IF(AND(G243,E243),(L243-M243)*24/12.1*O243/1000,0),N243)</f>
        <v>0</v>
      </c>
      <c r="Q243" s="5" t="n">
        <f aca="false">IF(P243&gt;0,P243/O243*12.1/24*1000+M243,0)</f>
        <v>0</v>
      </c>
      <c r="R243" s="0" t="n">
        <f aca="false">IF(Q243&gt;0,TRUNC(O243),0)</f>
        <v>0</v>
      </c>
      <c r="S243" s="5" t="n">
        <f aca="false">(M243*(D243-R243)+(Q243*R243))/D243</f>
        <v>700</v>
      </c>
      <c r="T243" s="6" t="n">
        <f aca="false">(Q243-M243)*R243*24/12.1/1000</f>
        <v>-0</v>
      </c>
    </row>
    <row r="244" customFormat="false" ht="14.35" hidden="false" customHeight="false" outlineLevel="0" collapsed="false">
      <c r="A244" s="4" t="n">
        <v>15157</v>
      </c>
      <c r="B244" s="15" t="n">
        <f aca="false">IF(C244&lt;=9,YEAR(A244),YEAR(A244)+1)</f>
        <v>1941</v>
      </c>
      <c r="C244" s="15" t="n">
        <f aca="false">MONTH(A244)</f>
        <v>6</v>
      </c>
      <c r="D244" s="15" t="n">
        <f aca="false">DAY(A244)</f>
        <v>30</v>
      </c>
      <c r="E244" s="15" t="n">
        <f aca="false">VLOOKUP(B244,WYT!$A$2:$L$97,12)</f>
        <v>0</v>
      </c>
      <c r="F244" s="15" t="n">
        <f aca="false">IF(C244=$W$5,1,0)</f>
        <v>0</v>
      </c>
      <c r="G244" s="15" t="n">
        <f aca="false">IF(C244=10,0,IF(F244=1,1,G243))</f>
        <v>1</v>
      </c>
      <c r="H244" s="5" t="n">
        <f aca="false">VA_base_426_data!B244</f>
        <v>3079.49139584669</v>
      </c>
      <c r="I244" s="5" t="n">
        <f aca="false">IF(AND(E244=1,OR(C244=4,C244=5)),25*12.1/24/D244*1000,0)</f>
        <v>0</v>
      </c>
      <c r="J244" s="5" t="n">
        <f aca="false">VA_base_426_data!C244</f>
        <v>1000</v>
      </c>
      <c r="K244" s="5" t="n">
        <f aca="false">H244+I244-J244</f>
        <v>2079.49139584669</v>
      </c>
      <c r="L244" s="5" t="n">
        <f aca="false">MIN($W$7,J244+K244)</f>
        <v>2000</v>
      </c>
      <c r="M244" s="5" t="n">
        <f aca="false">VA_base_426_data!D244</f>
        <v>700</v>
      </c>
      <c r="N244" s="5" t="n">
        <f aca="false">IF(AND(C244=10,E244=1),$W$6,N243-P243)</f>
        <v>0</v>
      </c>
      <c r="O244" s="5" t="n">
        <f aca="false">IF(ABS(M244-L244)&gt;1,MIN(N244/((L244-M244)*24/12.1/1000),D244),D244)</f>
        <v>0</v>
      </c>
      <c r="P244" s="5" t="n">
        <f aca="false">MIN(IF(AND(G244,E244),(L244-M244)*24/12.1*O244/1000,0),N244)</f>
        <v>0</v>
      </c>
      <c r="Q244" s="5" t="n">
        <f aca="false">IF(P244&gt;0,P244/O244*12.1/24*1000+M244,0)</f>
        <v>0</v>
      </c>
      <c r="R244" s="0" t="n">
        <f aca="false">IF(Q244&gt;0,TRUNC(O244),0)</f>
        <v>0</v>
      </c>
      <c r="S244" s="5" t="n">
        <f aca="false">(M244*(D244-R244)+(Q244*R244))/D244</f>
        <v>700</v>
      </c>
      <c r="T244" s="6" t="n">
        <f aca="false">(Q244-M244)*R244*24/12.1/1000</f>
        <v>-0</v>
      </c>
    </row>
    <row r="245" customFormat="false" ht="14.35" hidden="false" customHeight="false" outlineLevel="0" collapsed="false">
      <c r="A245" s="4" t="n">
        <v>15188</v>
      </c>
      <c r="B245" s="15" t="n">
        <f aca="false">IF(C245&lt;=9,YEAR(A245),YEAR(A245)+1)</f>
        <v>1941</v>
      </c>
      <c r="C245" s="15" t="n">
        <f aca="false">MONTH(A245)</f>
        <v>7</v>
      </c>
      <c r="D245" s="15" t="n">
        <f aca="false">DAY(A245)</f>
        <v>31</v>
      </c>
      <c r="E245" s="15" t="n">
        <f aca="false">VLOOKUP(B245,WYT!$A$2:$L$97,12)</f>
        <v>0</v>
      </c>
      <c r="F245" s="15" t="n">
        <f aca="false">IF(C245=$W$5,1,0)</f>
        <v>0</v>
      </c>
      <c r="G245" s="15" t="n">
        <f aca="false">IF(C245=10,0,IF(F245=1,1,G244))</f>
        <v>1</v>
      </c>
      <c r="H245" s="5" t="n">
        <f aca="false">VA_base_426_data!B245</f>
        <v>6575.86312408191</v>
      </c>
      <c r="I245" s="5" t="n">
        <f aca="false">IF(AND(E245=1,OR(C245=4,C245=5)),25*12.1/24/D245*1000,0)</f>
        <v>0</v>
      </c>
      <c r="J245" s="5" t="n">
        <f aca="false">VA_base_426_data!C245</f>
        <v>1000</v>
      </c>
      <c r="K245" s="5" t="n">
        <f aca="false">H245+I245-J245</f>
        <v>5575.86312408191</v>
      </c>
      <c r="L245" s="5" t="n">
        <f aca="false">MIN($W$7,J245+K245)</f>
        <v>2000</v>
      </c>
      <c r="M245" s="5" t="n">
        <f aca="false">VA_base_426_data!D245</f>
        <v>700</v>
      </c>
      <c r="N245" s="5" t="n">
        <f aca="false">IF(AND(C245=10,E245=1),$W$6,N244-P244)</f>
        <v>0</v>
      </c>
      <c r="O245" s="5" t="n">
        <f aca="false">IF(ABS(M245-L245)&gt;1,MIN(N245/((L245-M245)*24/12.1/1000),D245),D245)</f>
        <v>0</v>
      </c>
      <c r="P245" s="5" t="n">
        <f aca="false">MIN(IF(AND(G245,E245),(L245-M245)*24/12.1*O245/1000,0),N245)</f>
        <v>0</v>
      </c>
      <c r="Q245" s="5" t="n">
        <f aca="false">IF(P245&gt;0,P245/O245*12.1/24*1000+M245,0)</f>
        <v>0</v>
      </c>
      <c r="R245" s="0" t="n">
        <f aca="false">IF(Q245&gt;0,TRUNC(O245),0)</f>
        <v>0</v>
      </c>
      <c r="S245" s="5" t="n">
        <f aca="false">(M245*(D245-R245)+(Q245*R245))/D245</f>
        <v>700</v>
      </c>
      <c r="T245" s="6" t="n">
        <f aca="false">(Q245-M245)*R245*24/12.1/1000</f>
        <v>-0</v>
      </c>
    </row>
    <row r="246" customFormat="false" ht="14.35" hidden="false" customHeight="false" outlineLevel="0" collapsed="false">
      <c r="A246" s="4" t="n">
        <v>15219</v>
      </c>
      <c r="B246" s="15" t="n">
        <f aca="false">IF(C246&lt;=9,YEAR(A246),YEAR(A246)+1)</f>
        <v>1941</v>
      </c>
      <c r="C246" s="15" t="n">
        <f aca="false">MONTH(A246)</f>
        <v>8</v>
      </c>
      <c r="D246" s="15" t="n">
        <f aca="false">DAY(A246)</f>
        <v>31</v>
      </c>
      <c r="E246" s="15" t="n">
        <f aca="false">VLOOKUP(B246,WYT!$A$2:$L$97,12)</f>
        <v>0</v>
      </c>
      <c r="F246" s="15" t="n">
        <f aca="false">IF(C246=$W$5,1,0)</f>
        <v>0</v>
      </c>
      <c r="G246" s="15" t="n">
        <f aca="false">IF(C246=10,0,IF(F246=1,1,G245))</f>
        <v>1</v>
      </c>
      <c r="H246" s="5" t="n">
        <f aca="false">VA_base_426_data!B246</f>
        <v>3995.67723388635</v>
      </c>
      <c r="I246" s="5" t="n">
        <f aca="false">IF(AND(E246=1,OR(C246=4,C246=5)),25*12.1/24/D246*1000,0)</f>
        <v>0</v>
      </c>
      <c r="J246" s="5" t="n">
        <f aca="false">VA_base_426_data!C246</f>
        <v>1000</v>
      </c>
      <c r="K246" s="5" t="n">
        <f aca="false">H246+I246-J246</f>
        <v>2995.67723388635</v>
      </c>
      <c r="L246" s="5" t="n">
        <f aca="false">MIN($W$7,J246+K246)</f>
        <v>2000</v>
      </c>
      <c r="M246" s="5" t="n">
        <f aca="false">VA_base_426_data!D246</f>
        <v>700</v>
      </c>
      <c r="N246" s="5" t="n">
        <f aca="false">IF(AND(C246=10,E246=1),$W$6,N245-P245)</f>
        <v>0</v>
      </c>
      <c r="O246" s="5" t="n">
        <f aca="false">IF(ABS(M246-L246)&gt;1,MIN(N246/((L246-M246)*24/12.1/1000),D246),D246)</f>
        <v>0</v>
      </c>
      <c r="P246" s="5" t="n">
        <f aca="false">MIN(IF(AND(G246,E246),(L246-M246)*24/12.1*O246/1000,0),N246)</f>
        <v>0</v>
      </c>
      <c r="Q246" s="5" t="n">
        <f aca="false">IF(P246&gt;0,P246/O246*12.1/24*1000+M246,0)</f>
        <v>0</v>
      </c>
      <c r="R246" s="0" t="n">
        <f aca="false">IF(Q246&gt;0,TRUNC(O246),0)</f>
        <v>0</v>
      </c>
      <c r="S246" s="5" t="n">
        <f aca="false">(M246*(D246-R246)+(Q246*R246))/D246</f>
        <v>700</v>
      </c>
      <c r="T246" s="6" t="n">
        <f aca="false">(Q246-M246)*R246*24/12.1/1000</f>
        <v>-0</v>
      </c>
    </row>
    <row r="247" customFormat="false" ht="14.35" hidden="false" customHeight="false" outlineLevel="0" collapsed="false">
      <c r="A247" s="4" t="n">
        <v>15249</v>
      </c>
      <c r="B247" s="15" t="n">
        <f aca="false">IF(C247&lt;=9,YEAR(A247),YEAR(A247)+1)</f>
        <v>1941</v>
      </c>
      <c r="C247" s="15" t="n">
        <f aca="false">MONTH(A247)</f>
        <v>9</v>
      </c>
      <c r="D247" s="15" t="n">
        <f aca="false">DAY(A247)</f>
        <v>30</v>
      </c>
      <c r="E247" s="15" t="n">
        <f aca="false">VLOOKUP(B247,WYT!$A$2:$L$97,12)</f>
        <v>0</v>
      </c>
      <c r="F247" s="15" t="n">
        <f aca="false">IF(C247=$W$5,1,0)</f>
        <v>0</v>
      </c>
      <c r="G247" s="15" t="n">
        <f aca="false">IF(C247=10,0,IF(F247=1,1,G246))</f>
        <v>1</v>
      </c>
      <c r="H247" s="5" t="n">
        <f aca="false">VA_base_426_data!B247</f>
        <v>10000</v>
      </c>
      <c r="I247" s="5" t="n">
        <f aca="false">IF(AND(E247=1,OR(C247=4,C247=5)),25*12.1/24/D247*1000,0)</f>
        <v>0</v>
      </c>
      <c r="J247" s="5" t="n">
        <f aca="false">VA_base_426_data!C247</f>
        <v>1000</v>
      </c>
      <c r="K247" s="5" t="n">
        <f aca="false">H247+I247-J247</f>
        <v>9000</v>
      </c>
      <c r="L247" s="5" t="n">
        <f aca="false">MIN($W$7,J247+K247)</f>
        <v>2000</v>
      </c>
      <c r="M247" s="5" t="n">
        <f aca="false">VA_base_426_data!D247</f>
        <v>773.3333333</v>
      </c>
      <c r="N247" s="5" t="n">
        <f aca="false">IF(AND(C247=10,E247=1),$W$6,N246-P246)</f>
        <v>0</v>
      </c>
      <c r="O247" s="5" t="n">
        <f aca="false">IF(ABS(M247-L247)&gt;1,MIN(N247/((L247-M247)*24/12.1/1000),D247),D247)</f>
        <v>0</v>
      </c>
      <c r="P247" s="5" t="n">
        <f aca="false">MIN(IF(AND(G247,E247),(L247-M247)*24/12.1*O247/1000,0),N247)</f>
        <v>0</v>
      </c>
      <c r="Q247" s="5" t="n">
        <f aca="false">IF(P247&gt;0,P247/O247*12.1/24*1000+M247,0)</f>
        <v>0</v>
      </c>
      <c r="R247" s="0" t="n">
        <f aca="false">IF(Q247&gt;0,TRUNC(O247),0)</f>
        <v>0</v>
      </c>
      <c r="S247" s="5" t="n">
        <f aca="false">(M247*(D247-R247)+(Q247*R247))/D247</f>
        <v>773.3333333</v>
      </c>
      <c r="T247" s="6" t="n">
        <f aca="false">(Q247-M247)*R247*24/12.1/1000</f>
        <v>-0</v>
      </c>
    </row>
    <row r="248" customFormat="false" ht="14.35" hidden="false" customHeight="false" outlineLevel="0" collapsed="false">
      <c r="A248" s="4" t="n">
        <v>15280</v>
      </c>
      <c r="B248" s="15" t="n">
        <f aca="false">IF(C248&lt;=9,YEAR(A248),YEAR(A248)+1)</f>
        <v>1942</v>
      </c>
      <c r="C248" s="15" t="n">
        <f aca="false">MONTH(A248)</f>
        <v>10</v>
      </c>
      <c r="D248" s="15" t="n">
        <f aca="false">DAY(A248)</f>
        <v>31</v>
      </c>
      <c r="E248" s="15" t="n">
        <f aca="false">VLOOKUP(B248,WYT!$A$2:$L$97,12)</f>
        <v>0</v>
      </c>
      <c r="F248" s="15" t="n">
        <f aca="false">IF(C248=$W$5,1,0)</f>
        <v>0</v>
      </c>
      <c r="G248" s="15" t="n">
        <f aca="false">IF(C248=10,0,IF(F248=1,1,G247))</f>
        <v>0</v>
      </c>
      <c r="H248" s="5" t="n">
        <f aca="false">VA_base_426_data!B248</f>
        <v>4000</v>
      </c>
      <c r="I248" s="5" t="n">
        <f aca="false">IF(AND(E248=1,OR(C248=4,C248=5)),25*12.1/24/D248*1000,0)</f>
        <v>0</v>
      </c>
      <c r="J248" s="5" t="n">
        <f aca="false">VA_base_426_data!C248</f>
        <v>1700</v>
      </c>
      <c r="K248" s="5" t="n">
        <f aca="false">H248+I248-J248</f>
        <v>2300</v>
      </c>
      <c r="L248" s="5" t="n">
        <f aca="false">MIN($W$7,J248+K248)</f>
        <v>2000</v>
      </c>
      <c r="M248" s="5" t="n">
        <f aca="false">VA_base_426_data!D248</f>
        <v>800</v>
      </c>
      <c r="N248" s="5" t="n">
        <f aca="false">IF(AND(C248=10,E248=1),$W$6,N247-P247)</f>
        <v>0</v>
      </c>
      <c r="O248" s="5" t="n">
        <f aca="false">IF(ABS(M248-L248)&gt;1,MIN(N248/((L248-M248)*24/12.1/1000),D248),D248)</f>
        <v>0</v>
      </c>
      <c r="P248" s="5" t="n">
        <f aca="false">MIN(IF(AND(G248,E248),(L248-M248)*24/12.1*O248/1000,0),N248)</f>
        <v>0</v>
      </c>
      <c r="Q248" s="5" t="n">
        <f aca="false">IF(P248&gt;0,P248/O248*12.1/24*1000+M248,0)</f>
        <v>0</v>
      </c>
      <c r="R248" s="0" t="n">
        <f aca="false">IF(Q248&gt;0,TRUNC(O248),0)</f>
        <v>0</v>
      </c>
      <c r="S248" s="5" t="n">
        <f aca="false">(M248*(D248-R248)+(Q248*R248))/D248</f>
        <v>800</v>
      </c>
      <c r="T248" s="6" t="n">
        <f aca="false">(Q248-M248)*R248*24/12.1/1000</f>
        <v>-0</v>
      </c>
    </row>
    <row r="249" customFormat="false" ht="14.35" hidden="false" customHeight="false" outlineLevel="0" collapsed="false">
      <c r="A249" s="4" t="n">
        <v>15310</v>
      </c>
      <c r="B249" s="15" t="n">
        <f aca="false">IF(C249&lt;=9,YEAR(A249),YEAR(A249)+1)</f>
        <v>1942</v>
      </c>
      <c r="C249" s="15" t="n">
        <f aca="false">MONTH(A249)</f>
        <v>11</v>
      </c>
      <c r="D249" s="15" t="n">
        <f aca="false">DAY(A249)</f>
        <v>30</v>
      </c>
      <c r="E249" s="15" t="n">
        <f aca="false">VLOOKUP(B249,WYT!$A$2:$L$97,12)</f>
        <v>0</v>
      </c>
      <c r="F249" s="15" t="n">
        <f aca="false">IF(C249=$W$5,1,0)</f>
        <v>0</v>
      </c>
      <c r="G249" s="15" t="n">
        <f aca="false">IF(C249=10,0,IF(F249=1,1,G248))</f>
        <v>0</v>
      </c>
      <c r="H249" s="5" t="n">
        <f aca="false">VA_base_426_data!B249</f>
        <v>2500</v>
      </c>
      <c r="I249" s="5" t="n">
        <f aca="false">IF(AND(E249=1,OR(C249=4,C249=5)),25*12.1/24/D249*1000,0)</f>
        <v>0</v>
      </c>
      <c r="J249" s="5" t="n">
        <f aca="false">VA_base_426_data!C249</f>
        <v>1700</v>
      </c>
      <c r="K249" s="5" t="n">
        <f aca="false">H249+I249-J249</f>
        <v>800</v>
      </c>
      <c r="L249" s="5" t="n">
        <f aca="false">MIN($W$7,J249+K249)</f>
        <v>2000</v>
      </c>
      <c r="M249" s="5" t="n">
        <f aca="false">VA_base_426_data!D249</f>
        <v>800</v>
      </c>
      <c r="N249" s="5" t="n">
        <f aca="false">IF(AND(C249=10,E249=1),$W$6,N248-P248)</f>
        <v>0</v>
      </c>
      <c r="O249" s="5" t="n">
        <f aca="false">IF(ABS(M249-L249)&gt;1,MIN(N249/((L249-M249)*24/12.1/1000),D249),D249)</f>
        <v>0</v>
      </c>
      <c r="P249" s="5" t="n">
        <f aca="false">MIN(IF(AND(G249,E249),(L249-M249)*24/12.1*O249/1000,0),N249)</f>
        <v>0</v>
      </c>
      <c r="Q249" s="5" t="n">
        <f aca="false">IF(P249&gt;0,P249/O249*12.1/24*1000+M249,0)</f>
        <v>0</v>
      </c>
      <c r="R249" s="0" t="n">
        <f aca="false">IF(Q249&gt;0,TRUNC(O249),0)</f>
        <v>0</v>
      </c>
      <c r="S249" s="5" t="n">
        <f aca="false">(M249*(D249-R249)+(Q249*R249))/D249</f>
        <v>800</v>
      </c>
      <c r="T249" s="6" t="n">
        <f aca="false">(Q249-M249)*R249*24/12.1/1000</f>
        <v>-0</v>
      </c>
    </row>
    <row r="250" customFormat="false" ht="14.35" hidden="false" customHeight="false" outlineLevel="0" collapsed="false">
      <c r="A250" s="4" t="n">
        <v>15341</v>
      </c>
      <c r="B250" s="15" t="n">
        <f aca="false">IF(C250&lt;=9,YEAR(A250),YEAR(A250)+1)</f>
        <v>1942</v>
      </c>
      <c r="C250" s="15" t="n">
        <f aca="false">MONTH(A250)</f>
        <v>12</v>
      </c>
      <c r="D250" s="15" t="n">
        <f aca="false">DAY(A250)</f>
        <v>31</v>
      </c>
      <c r="E250" s="15" t="n">
        <f aca="false">VLOOKUP(B250,WYT!$A$2:$L$97,12)</f>
        <v>0</v>
      </c>
      <c r="F250" s="15" t="n">
        <f aca="false">IF(C250=$W$5,1,0)</f>
        <v>0</v>
      </c>
      <c r="G250" s="15" t="n">
        <f aca="false">IF(C250=10,0,IF(F250=1,1,G249))</f>
        <v>0</v>
      </c>
      <c r="H250" s="5" t="n">
        <f aca="false">VA_base_426_data!B250</f>
        <v>1784.70855619443</v>
      </c>
      <c r="I250" s="5" t="n">
        <f aca="false">IF(AND(E250=1,OR(C250=4,C250=5)),25*12.1/24/D250*1000,0)</f>
        <v>0</v>
      </c>
      <c r="J250" s="5" t="n">
        <f aca="false">VA_base_426_data!C250</f>
        <v>1700</v>
      </c>
      <c r="K250" s="5" t="n">
        <f aca="false">H250+I250-J250</f>
        <v>84.7085561944332</v>
      </c>
      <c r="L250" s="5" t="n">
        <f aca="false">MIN($W$7,J250+K250)</f>
        <v>1784.70855619443</v>
      </c>
      <c r="M250" s="5" t="n">
        <f aca="false">VA_base_426_data!D250</f>
        <v>800</v>
      </c>
      <c r="N250" s="5" t="n">
        <f aca="false">IF(AND(C250=10,E250=1),$W$6,N249-P249)</f>
        <v>0</v>
      </c>
      <c r="O250" s="5" t="n">
        <f aca="false">IF(ABS(M250-L250)&gt;1,MIN(N250/((L250-M250)*24/12.1/1000),D250),D250)</f>
        <v>0</v>
      </c>
      <c r="P250" s="5" t="n">
        <f aca="false">MIN(IF(AND(G250,E250),(L250-M250)*24/12.1*O250/1000,0),N250)</f>
        <v>0</v>
      </c>
      <c r="Q250" s="5" t="n">
        <f aca="false">IF(P250&gt;0,P250/O250*12.1/24*1000+M250,0)</f>
        <v>0</v>
      </c>
      <c r="R250" s="0" t="n">
        <f aca="false">IF(Q250&gt;0,TRUNC(O250),0)</f>
        <v>0</v>
      </c>
      <c r="S250" s="5" t="n">
        <f aca="false">(M250*(D250-R250)+(Q250*R250))/D250</f>
        <v>800</v>
      </c>
      <c r="T250" s="6" t="n">
        <f aca="false">(Q250-M250)*R250*24/12.1/1000</f>
        <v>-0</v>
      </c>
    </row>
    <row r="251" customFormat="false" ht="14.35" hidden="false" customHeight="false" outlineLevel="0" collapsed="false">
      <c r="A251" s="4" t="n">
        <v>15372</v>
      </c>
      <c r="B251" s="15" t="n">
        <f aca="false">IF(C251&lt;=9,YEAR(A251),YEAR(A251)+1)</f>
        <v>1942</v>
      </c>
      <c r="C251" s="15" t="n">
        <f aca="false">MONTH(A251)</f>
        <v>1</v>
      </c>
      <c r="D251" s="15" t="n">
        <f aca="false">DAY(A251)</f>
        <v>31</v>
      </c>
      <c r="E251" s="15" t="n">
        <f aca="false">VLOOKUP(B251,WYT!$A$2:$L$97,12)</f>
        <v>0</v>
      </c>
      <c r="F251" s="15" t="n">
        <f aca="false">IF(C251=$W$5,1,0)</f>
        <v>0</v>
      </c>
      <c r="G251" s="15" t="n">
        <f aca="false">IF(C251=10,0,IF(F251=1,1,G250))</f>
        <v>0</v>
      </c>
      <c r="H251" s="5" t="n">
        <f aca="false">VA_base_426_data!B251</f>
        <v>13897.5867347877</v>
      </c>
      <c r="I251" s="5" t="n">
        <f aca="false">IF(AND(E251=1,OR(C251=4,C251=5)),25*12.1/24/D251*1000,0)</f>
        <v>0</v>
      </c>
      <c r="J251" s="5" t="n">
        <f aca="false">VA_base_426_data!C251</f>
        <v>1700</v>
      </c>
      <c r="K251" s="5" t="n">
        <f aca="false">H251+I251-J251</f>
        <v>12197.5867347877</v>
      </c>
      <c r="L251" s="5" t="n">
        <f aca="false">MIN($W$7,J251+K251)</f>
        <v>2000</v>
      </c>
      <c r="M251" s="5" t="n">
        <f aca="false">VA_base_426_data!D251</f>
        <v>800</v>
      </c>
      <c r="N251" s="5" t="n">
        <f aca="false">IF(AND(C251=10,E251=1),$W$6,N250-P250)</f>
        <v>0</v>
      </c>
      <c r="O251" s="5" t="n">
        <f aca="false">IF(ABS(M251-L251)&gt;1,MIN(N251/((L251-M251)*24/12.1/1000),D251),D251)</f>
        <v>0</v>
      </c>
      <c r="P251" s="5" t="n">
        <f aca="false">MIN(IF(AND(G251,E251),(L251-M251)*24/12.1*O251/1000,0),N251)</f>
        <v>0</v>
      </c>
      <c r="Q251" s="5" t="n">
        <f aca="false">IF(P251&gt;0,P251/O251*12.1/24*1000+M251,0)</f>
        <v>0</v>
      </c>
      <c r="R251" s="0" t="n">
        <f aca="false">IF(Q251&gt;0,TRUNC(O251),0)</f>
        <v>0</v>
      </c>
      <c r="S251" s="5" t="n">
        <f aca="false">(M251*(D251-R251)+(Q251*R251))/D251</f>
        <v>800</v>
      </c>
      <c r="T251" s="6" t="n">
        <f aca="false">(Q251-M251)*R251*24/12.1/1000</f>
        <v>-0</v>
      </c>
    </row>
    <row r="252" customFormat="false" ht="14.35" hidden="false" customHeight="false" outlineLevel="0" collapsed="false">
      <c r="A252" s="4" t="n">
        <v>15400</v>
      </c>
      <c r="B252" s="15" t="n">
        <f aca="false">IF(C252&lt;=9,YEAR(A252),YEAR(A252)+1)</f>
        <v>1942</v>
      </c>
      <c r="C252" s="15" t="n">
        <f aca="false">MONTH(A252)</f>
        <v>2</v>
      </c>
      <c r="D252" s="15" t="n">
        <f aca="false">DAY(A252)</f>
        <v>28</v>
      </c>
      <c r="E252" s="15" t="n">
        <f aca="false">VLOOKUP(B252,WYT!$A$2:$L$97,12)</f>
        <v>0</v>
      </c>
      <c r="F252" s="15" t="n">
        <f aca="false">IF(C252=$W$5,1,0)</f>
        <v>1</v>
      </c>
      <c r="G252" s="15" t="n">
        <f aca="false">IF(C252=10,0,IF(F252=1,1,G251))</f>
        <v>1</v>
      </c>
      <c r="H252" s="5" t="n">
        <f aca="false">VA_base_426_data!B252</f>
        <v>17628.852543376</v>
      </c>
      <c r="I252" s="5" t="n">
        <f aca="false">IF(AND(E252=1,OR(C252=4,C252=5)),25*12.1/24/D252*1000,0)</f>
        <v>0</v>
      </c>
      <c r="J252" s="5" t="n">
        <f aca="false">VA_base_426_data!C252</f>
        <v>1700</v>
      </c>
      <c r="K252" s="5" t="n">
        <f aca="false">H252+I252-J252</f>
        <v>15928.852543376</v>
      </c>
      <c r="L252" s="5" t="n">
        <f aca="false">MIN($W$7,J252+K252)</f>
        <v>2000</v>
      </c>
      <c r="M252" s="5" t="n">
        <f aca="false">VA_base_426_data!D252</f>
        <v>800</v>
      </c>
      <c r="N252" s="5" t="n">
        <f aca="false">IF(AND(C252=10,E252=1),$W$6,N251-P251)</f>
        <v>0</v>
      </c>
      <c r="O252" s="5" t="n">
        <f aca="false">IF(ABS(M252-L252)&gt;1,MIN(N252/((L252-M252)*24/12.1/1000),D252),D252)</f>
        <v>0</v>
      </c>
      <c r="P252" s="5" t="n">
        <f aca="false">MIN(IF(AND(G252,E252),(L252-M252)*24/12.1*O252/1000,0),N252)</f>
        <v>0</v>
      </c>
      <c r="Q252" s="5" t="n">
        <f aca="false">IF(P252&gt;0,P252/O252*12.1/24*1000+M252,0)</f>
        <v>0</v>
      </c>
      <c r="R252" s="0" t="n">
        <f aca="false">IF(Q252&gt;0,TRUNC(O252),0)</f>
        <v>0</v>
      </c>
      <c r="S252" s="5" t="n">
        <f aca="false">(M252*(D252-R252)+(Q252*R252))/D252</f>
        <v>800</v>
      </c>
      <c r="T252" s="6" t="n">
        <f aca="false">(Q252-M252)*R252*24/12.1/1000</f>
        <v>-0</v>
      </c>
    </row>
    <row r="253" customFormat="false" ht="14.35" hidden="false" customHeight="false" outlineLevel="0" collapsed="false">
      <c r="A253" s="4" t="n">
        <v>15431</v>
      </c>
      <c r="B253" s="15" t="n">
        <f aca="false">IF(C253&lt;=9,YEAR(A253),YEAR(A253)+1)</f>
        <v>1942</v>
      </c>
      <c r="C253" s="15" t="n">
        <f aca="false">MONTH(A253)</f>
        <v>3</v>
      </c>
      <c r="D253" s="15" t="n">
        <f aca="false">DAY(A253)</f>
        <v>31</v>
      </c>
      <c r="E253" s="15" t="n">
        <f aca="false">VLOOKUP(B253,WYT!$A$2:$L$97,12)</f>
        <v>0</v>
      </c>
      <c r="F253" s="15" t="n">
        <f aca="false">IF(C253=$W$5,1,0)</f>
        <v>0</v>
      </c>
      <c r="G253" s="15" t="n">
        <f aca="false">IF(C253=10,0,IF(F253=1,1,G252))</f>
        <v>1</v>
      </c>
      <c r="H253" s="5" t="n">
        <f aca="false">VA_base_426_data!B253</f>
        <v>2766.64036681079</v>
      </c>
      <c r="I253" s="5" t="n">
        <f aca="false">IF(AND(E253=1,OR(C253=4,C253=5)),25*12.1/24/D253*1000,0)</f>
        <v>0</v>
      </c>
      <c r="J253" s="5" t="n">
        <f aca="false">VA_base_426_data!C253</f>
        <v>1700</v>
      </c>
      <c r="K253" s="5" t="n">
        <f aca="false">H253+I253-J253</f>
        <v>1066.64036681079</v>
      </c>
      <c r="L253" s="5" t="n">
        <f aca="false">MIN($W$7,J253+K253)</f>
        <v>2000</v>
      </c>
      <c r="M253" s="5" t="n">
        <f aca="false">VA_base_426_data!D253</f>
        <v>800</v>
      </c>
      <c r="N253" s="5" t="n">
        <f aca="false">IF(AND(C253=10,E253=1),$W$6,N252-P252)</f>
        <v>0</v>
      </c>
      <c r="O253" s="5" t="n">
        <f aca="false">IF(ABS(M253-L253)&gt;1,MIN(N253/((L253-M253)*24/12.1/1000),D253),D253)</f>
        <v>0</v>
      </c>
      <c r="P253" s="5" t="n">
        <f aca="false">MIN(IF(AND(G253,E253),(L253-M253)*24/12.1*O253/1000,0),N253)</f>
        <v>0</v>
      </c>
      <c r="Q253" s="5" t="n">
        <f aca="false">IF(P253&gt;0,P253/O253*12.1/24*1000+M253,0)</f>
        <v>0</v>
      </c>
      <c r="R253" s="0" t="n">
        <f aca="false">IF(Q253&gt;0,TRUNC(O253),0)</f>
        <v>0</v>
      </c>
      <c r="S253" s="5" t="n">
        <f aca="false">(M253*(D253-R253)+(Q253*R253))/D253</f>
        <v>800</v>
      </c>
      <c r="T253" s="6" t="n">
        <f aca="false">(Q253-M253)*R253*24/12.1/1000</f>
        <v>-0</v>
      </c>
    </row>
    <row r="254" customFormat="false" ht="14.35" hidden="false" customHeight="false" outlineLevel="0" collapsed="false">
      <c r="A254" s="4" t="n">
        <v>15461</v>
      </c>
      <c r="B254" s="15" t="n">
        <f aca="false">IF(C254&lt;=9,YEAR(A254),YEAR(A254)+1)</f>
        <v>1942</v>
      </c>
      <c r="C254" s="15" t="n">
        <f aca="false">MONTH(A254)</f>
        <v>4</v>
      </c>
      <c r="D254" s="15" t="n">
        <f aca="false">DAY(A254)</f>
        <v>30</v>
      </c>
      <c r="E254" s="15" t="n">
        <f aca="false">VLOOKUP(B254,WYT!$A$2:$L$97,12)</f>
        <v>0</v>
      </c>
      <c r="F254" s="15" t="n">
        <f aca="false">IF(C254=$W$5,1,0)</f>
        <v>0</v>
      </c>
      <c r="G254" s="15" t="n">
        <f aca="false">IF(C254=10,0,IF(F254=1,1,G253))</f>
        <v>1</v>
      </c>
      <c r="H254" s="5" t="n">
        <f aca="false">VA_base_426_data!B254</f>
        <v>10545.9968775549</v>
      </c>
      <c r="I254" s="5" t="n">
        <f aca="false">IF(AND(E254=1,OR(C254=4,C254=5)),25*12.1/24/D254*1000,0)</f>
        <v>0</v>
      </c>
      <c r="J254" s="5" t="n">
        <f aca="false">VA_base_426_data!C254</f>
        <v>1000</v>
      </c>
      <c r="K254" s="5" t="n">
        <f aca="false">H254+I254-J254</f>
        <v>9545.9968775549</v>
      </c>
      <c r="L254" s="5" t="n">
        <f aca="false">MIN($W$7,J254+K254)</f>
        <v>2000</v>
      </c>
      <c r="M254" s="5" t="n">
        <f aca="false">VA_base_426_data!D254</f>
        <v>700</v>
      </c>
      <c r="N254" s="5" t="n">
        <f aca="false">IF(AND(C254=10,E254=1),$W$6,N253-P253)</f>
        <v>0</v>
      </c>
      <c r="O254" s="5" t="n">
        <f aca="false">IF(ABS(M254-L254)&gt;1,MIN(N254/((L254-M254)*24/12.1/1000),D254),D254)</f>
        <v>0</v>
      </c>
      <c r="P254" s="5" t="n">
        <f aca="false">MIN(IF(AND(G254,E254),(L254-M254)*24/12.1*O254/1000,0),N254)</f>
        <v>0</v>
      </c>
      <c r="Q254" s="5" t="n">
        <f aca="false">IF(P254&gt;0,P254/O254*12.1/24*1000+M254,0)</f>
        <v>0</v>
      </c>
      <c r="R254" s="0" t="n">
        <f aca="false">IF(Q254&gt;0,TRUNC(O254),0)</f>
        <v>0</v>
      </c>
      <c r="S254" s="5" t="n">
        <f aca="false">(M254*(D254-R254)+(Q254*R254))/D254</f>
        <v>700</v>
      </c>
      <c r="T254" s="6" t="n">
        <f aca="false">(Q254-M254)*R254*24/12.1/1000</f>
        <v>-0</v>
      </c>
    </row>
    <row r="255" customFormat="false" ht="14.35" hidden="false" customHeight="false" outlineLevel="0" collapsed="false">
      <c r="A255" s="4" t="n">
        <v>15492</v>
      </c>
      <c r="B255" s="15" t="n">
        <f aca="false">IF(C255&lt;=9,YEAR(A255),YEAR(A255)+1)</f>
        <v>1942</v>
      </c>
      <c r="C255" s="15" t="n">
        <f aca="false">MONTH(A255)</f>
        <v>5</v>
      </c>
      <c r="D255" s="15" t="n">
        <f aca="false">DAY(A255)</f>
        <v>31</v>
      </c>
      <c r="E255" s="15" t="n">
        <f aca="false">VLOOKUP(B255,WYT!$A$2:$L$97,12)</f>
        <v>0</v>
      </c>
      <c r="F255" s="15" t="n">
        <f aca="false">IF(C255=$W$5,1,0)</f>
        <v>0</v>
      </c>
      <c r="G255" s="15" t="n">
        <f aca="false">IF(C255=10,0,IF(F255=1,1,G254))</f>
        <v>1</v>
      </c>
      <c r="H255" s="5" t="n">
        <f aca="false">VA_base_426_data!B255</f>
        <v>5825.17268675066</v>
      </c>
      <c r="I255" s="5" t="n">
        <f aca="false">IF(AND(E255=1,OR(C255=4,C255=5)),25*12.1/24/D255*1000,0)</f>
        <v>0</v>
      </c>
      <c r="J255" s="5" t="n">
        <f aca="false">VA_base_426_data!C255</f>
        <v>1000</v>
      </c>
      <c r="K255" s="5" t="n">
        <f aca="false">H255+I255-J255</f>
        <v>4825.17268675066</v>
      </c>
      <c r="L255" s="5" t="n">
        <f aca="false">MIN($W$7,J255+K255)</f>
        <v>2000</v>
      </c>
      <c r="M255" s="5" t="n">
        <f aca="false">VA_base_426_data!D255</f>
        <v>700</v>
      </c>
      <c r="N255" s="5" t="n">
        <f aca="false">IF(AND(C255=10,E255=1),$W$6,N254-P254)</f>
        <v>0</v>
      </c>
      <c r="O255" s="5" t="n">
        <f aca="false">IF(ABS(M255-L255)&gt;1,MIN(N255/((L255-M255)*24/12.1/1000),D255),D255)</f>
        <v>0</v>
      </c>
      <c r="P255" s="5" t="n">
        <f aca="false">MIN(IF(AND(G255,E255),(L255-M255)*24/12.1*O255/1000,0),N255)</f>
        <v>0</v>
      </c>
      <c r="Q255" s="5" t="n">
        <f aca="false">IF(P255&gt;0,P255/O255*12.1/24*1000+M255,0)</f>
        <v>0</v>
      </c>
      <c r="R255" s="0" t="n">
        <f aca="false">IF(Q255&gt;0,TRUNC(O255),0)</f>
        <v>0</v>
      </c>
      <c r="S255" s="5" t="n">
        <f aca="false">(M255*(D255-R255)+(Q255*R255))/D255</f>
        <v>700</v>
      </c>
      <c r="T255" s="6" t="n">
        <f aca="false">(Q255-M255)*R255*24/12.1/1000</f>
        <v>-0</v>
      </c>
    </row>
    <row r="256" customFormat="false" ht="14.35" hidden="false" customHeight="false" outlineLevel="0" collapsed="false">
      <c r="A256" s="4" t="n">
        <v>15522</v>
      </c>
      <c r="B256" s="15" t="n">
        <f aca="false">IF(C256&lt;=9,YEAR(A256),YEAR(A256)+1)</f>
        <v>1942</v>
      </c>
      <c r="C256" s="15" t="n">
        <f aca="false">MONTH(A256)</f>
        <v>6</v>
      </c>
      <c r="D256" s="15" t="n">
        <f aca="false">DAY(A256)</f>
        <v>30</v>
      </c>
      <c r="E256" s="15" t="n">
        <f aca="false">VLOOKUP(B256,WYT!$A$2:$L$97,12)</f>
        <v>0</v>
      </c>
      <c r="F256" s="15" t="n">
        <f aca="false">IF(C256=$W$5,1,0)</f>
        <v>0</v>
      </c>
      <c r="G256" s="15" t="n">
        <f aca="false">IF(C256=10,0,IF(F256=1,1,G255))</f>
        <v>1</v>
      </c>
      <c r="H256" s="5" t="n">
        <f aca="false">VA_base_426_data!B256</f>
        <v>6033.5752185797</v>
      </c>
      <c r="I256" s="5" t="n">
        <f aca="false">IF(AND(E256=1,OR(C256=4,C256=5)),25*12.1/24/D256*1000,0)</f>
        <v>0</v>
      </c>
      <c r="J256" s="5" t="n">
        <f aca="false">VA_base_426_data!C256</f>
        <v>1000</v>
      </c>
      <c r="K256" s="5" t="n">
        <f aca="false">H256+I256-J256</f>
        <v>5033.5752185797</v>
      </c>
      <c r="L256" s="5" t="n">
        <f aca="false">MIN($W$7,J256+K256)</f>
        <v>2000</v>
      </c>
      <c r="M256" s="5" t="n">
        <f aca="false">VA_base_426_data!D256</f>
        <v>700</v>
      </c>
      <c r="N256" s="5" t="n">
        <f aca="false">IF(AND(C256=10,E256=1),$W$6,N255-P255)</f>
        <v>0</v>
      </c>
      <c r="O256" s="5" t="n">
        <f aca="false">IF(ABS(M256-L256)&gt;1,MIN(N256/((L256-M256)*24/12.1/1000),D256),D256)</f>
        <v>0</v>
      </c>
      <c r="P256" s="5" t="n">
        <f aca="false">MIN(IF(AND(G256,E256),(L256-M256)*24/12.1*O256/1000,0),N256)</f>
        <v>0</v>
      </c>
      <c r="Q256" s="5" t="n">
        <f aca="false">IF(P256&gt;0,P256/O256*12.1/24*1000+M256,0)</f>
        <v>0</v>
      </c>
      <c r="R256" s="0" t="n">
        <f aca="false">IF(Q256&gt;0,TRUNC(O256),0)</f>
        <v>0</v>
      </c>
      <c r="S256" s="5" t="n">
        <f aca="false">(M256*(D256-R256)+(Q256*R256))/D256</f>
        <v>700</v>
      </c>
      <c r="T256" s="6" t="n">
        <f aca="false">(Q256-M256)*R256*24/12.1/1000</f>
        <v>-0</v>
      </c>
    </row>
    <row r="257" customFormat="false" ht="14.35" hidden="false" customHeight="false" outlineLevel="0" collapsed="false">
      <c r="A257" s="4" t="n">
        <v>15553</v>
      </c>
      <c r="B257" s="15" t="n">
        <f aca="false">IF(C257&lt;=9,YEAR(A257),YEAR(A257)+1)</f>
        <v>1942</v>
      </c>
      <c r="C257" s="15" t="n">
        <f aca="false">MONTH(A257)</f>
        <v>7</v>
      </c>
      <c r="D257" s="15" t="n">
        <f aca="false">DAY(A257)</f>
        <v>31</v>
      </c>
      <c r="E257" s="15" t="n">
        <f aca="false">VLOOKUP(B257,WYT!$A$2:$L$97,12)</f>
        <v>0</v>
      </c>
      <c r="F257" s="15" t="n">
        <f aca="false">IF(C257=$W$5,1,0)</f>
        <v>0</v>
      </c>
      <c r="G257" s="15" t="n">
        <f aca="false">IF(C257=10,0,IF(F257=1,1,G256))</f>
        <v>1</v>
      </c>
      <c r="H257" s="5" t="n">
        <f aca="false">VA_base_426_data!B257</f>
        <v>5706.61576065418</v>
      </c>
      <c r="I257" s="5" t="n">
        <f aca="false">IF(AND(E257=1,OR(C257=4,C257=5)),25*12.1/24/D257*1000,0)</f>
        <v>0</v>
      </c>
      <c r="J257" s="5" t="n">
        <f aca="false">VA_base_426_data!C257</f>
        <v>1000</v>
      </c>
      <c r="K257" s="5" t="n">
        <f aca="false">H257+I257-J257</f>
        <v>4706.61576065418</v>
      </c>
      <c r="L257" s="5" t="n">
        <f aca="false">MIN($W$7,J257+K257)</f>
        <v>2000</v>
      </c>
      <c r="M257" s="5" t="n">
        <f aca="false">VA_base_426_data!D257</f>
        <v>700</v>
      </c>
      <c r="N257" s="5" t="n">
        <f aca="false">IF(AND(C257=10,E257=1),$W$6,N256-P256)</f>
        <v>0</v>
      </c>
      <c r="O257" s="5" t="n">
        <f aca="false">IF(ABS(M257-L257)&gt;1,MIN(N257/((L257-M257)*24/12.1/1000),D257),D257)</f>
        <v>0</v>
      </c>
      <c r="P257" s="5" t="n">
        <f aca="false">MIN(IF(AND(G257,E257),(L257-M257)*24/12.1*O257/1000,0),N257)</f>
        <v>0</v>
      </c>
      <c r="Q257" s="5" t="n">
        <f aca="false">IF(P257&gt;0,P257/O257*12.1/24*1000+M257,0)</f>
        <v>0</v>
      </c>
      <c r="R257" s="0" t="n">
        <f aca="false">IF(Q257&gt;0,TRUNC(O257),0)</f>
        <v>0</v>
      </c>
      <c r="S257" s="5" t="n">
        <f aca="false">(M257*(D257-R257)+(Q257*R257))/D257</f>
        <v>700</v>
      </c>
      <c r="T257" s="6" t="n">
        <f aca="false">(Q257-M257)*R257*24/12.1/1000</f>
        <v>-0</v>
      </c>
    </row>
    <row r="258" customFormat="false" ht="14.35" hidden="false" customHeight="false" outlineLevel="0" collapsed="false">
      <c r="A258" s="4" t="n">
        <v>15584</v>
      </c>
      <c r="B258" s="15" t="n">
        <f aca="false">IF(C258&lt;=9,YEAR(A258),YEAR(A258)+1)</f>
        <v>1942</v>
      </c>
      <c r="C258" s="15" t="n">
        <f aca="false">MONTH(A258)</f>
        <v>8</v>
      </c>
      <c r="D258" s="15" t="n">
        <f aca="false">DAY(A258)</f>
        <v>31</v>
      </c>
      <c r="E258" s="15" t="n">
        <f aca="false">VLOOKUP(B258,WYT!$A$2:$L$97,12)</f>
        <v>0</v>
      </c>
      <c r="F258" s="15" t="n">
        <f aca="false">IF(C258=$W$5,1,0)</f>
        <v>0</v>
      </c>
      <c r="G258" s="15" t="n">
        <f aca="false">IF(C258=10,0,IF(F258=1,1,G257))</f>
        <v>1</v>
      </c>
      <c r="H258" s="5" t="n">
        <f aca="false">VA_base_426_data!B258</f>
        <v>5256.34728294781</v>
      </c>
      <c r="I258" s="5" t="n">
        <f aca="false">IF(AND(E258=1,OR(C258=4,C258=5)),25*12.1/24/D258*1000,0)</f>
        <v>0</v>
      </c>
      <c r="J258" s="5" t="n">
        <f aca="false">VA_base_426_data!C258</f>
        <v>1000</v>
      </c>
      <c r="K258" s="5" t="n">
        <f aca="false">H258+I258-J258</f>
        <v>4256.34728294781</v>
      </c>
      <c r="L258" s="5" t="n">
        <f aca="false">MIN($W$7,J258+K258)</f>
        <v>2000</v>
      </c>
      <c r="M258" s="5" t="n">
        <f aca="false">VA_base_426_data!D258</f>
        <v>700</v>
      </c>
      <c r="N258" s="5" t="n">
        <f aca="false">IF(AND(C258=10,E258=1),$W$6,N257-P257)</f>
        <v>0</v>
      </c>
      <c r="O258" s="5" t="n">
        <f aca="false">IF(ABS(M258-L258)&gt;1,MIN(N258/((L258-M258)*24/12.1/1000),D258),D258)</f>
        <v>0</v>
      </c>
      <c r="P258" s="5" t="n">
        <f aca="false">MIN(IF(AND(G258,E258),(L258-M258)*24/12.1*O258/1000,0),N258)</f>
        <v>0</v>
      </c>
      <c r="Q258" s="5" t="n">
        <f aca="false">IF(P258&gt;0,P258/O258*12.1/24*1000+M258,0)</f>
        <v>0</v>
      </c>
      <c r="R258" s="0" t="n">
        <f aca="false">IF(Q258&gt;0,TRUNC(O258),0)</f>
        <v>0</v>
      </c>
      <c r="S258" s="5" t="n">
        <f aca="false">(M258*(D258-R258)+(Q258*R258))/D258</f>
        <v>700</v>
      </c>
      <c r="T258" s="6" t="n">
        <f aca="false">(Q258-M258)*R258*24/12.1/1000</f>
        <v>-0</v>
      </c>
    </row>
    <row r="259" customFormat="false" ht="14.35" hidden="false" customHeight="false" outlineLevel="0" collapsed="false">
      <c r="A259" s="4" t="n">
        <v>15614</v>
      </c>
      <c r="B259" s="15" t="n">
        <f aca="false">IF(C259&lt;=9,YEAR(A259),YEAR(A259)+1)</f>
        <v>1942</v>
      </c>
      <c r="C259" s="15" t="n">
        <f aca="false">MONTH(A259)</f>
        <v>9</v>
      </c>
      <c r="D259" s="15" t="n">
        <f aca="false">DAY(A259)</f>
        <v>30</v>
      </c>
      <c r="E259" s="15" t="n">
        <f aca="false">VLOOKUP(B259,WYT!$A$2:$L$97,12)</f>
        <v>0</v>
      </c>
      <c r="F259" s="15" t="n">
        <f aca="false">IF(C259=$W$5,1,0)</f>
        <v>0</v>
      </c>
      <c r="G259" s="15" t="n">
        <f aca="false">IF(C259=10,0,IF(F259=1,1,G258))</f>
        <v>1</v>
      </c>
      <c r="H259" s="5" t="n">
        <f aca="false">VA_base_426_data!B259</f>
        <v>9797.17691040037</v>
      </c>
      <c r="I259" s="5" t="n">
        <f aca="false">IF(AND(E259=1,OR(C259=4,C259=5)),25*12.1/24/D259*1000,0)</f>
        <v>0</v>
      </c>
      <c r="J259" s="5" t="n">
        <f aca="false">VA_base_426_data!C259</f>
        <v>1000</v>
      </c>
      <c r="K259" s="5" t="n">
        <f aca="false">H259+I259-J259</f>
        <v>8797.17691040037</v>
      </c>
      <c r="L259" s="5" t="n">
        <f aca="false">MIN($W$7,J259+K259)</f>
        <v>2000</v>
      </c>
      <c r="M259" s="5" t="n">
        <f aca="false">VA_base_426_data!D259</f>
        <v>773.3333333</v>
      </c>
      <c r="N259" s="5" t="n">
        <f aca="false">IF(AND(C259=10,E259=1),$W$6,N258-P258)</f>
        <v>0</v>
      </c>
      <c r="O259" s="5" t="n">
        <f aca="false">IF(ABS(M259-L259)&gt;1,MIN(N259/((L259-M259)*24/12.1/1000),D259),D259)</f>
        <v>0</v>
      </c>
      <c r="P259" s="5" t="n">
        <f aca="false">MIN(IF(AND(G259,E259),(L259-M259)*24/12.1*O259/1000,0),N259)</f>
        <v>0</v>
      </c>
      <c r="Q259" s="5" t="n">
        <f aca="false">IF(P259&gt;0,P259/O259*12.1/24*1000+M259,0)</f>
        <v>0</v>
      </c>
      <c r="R259" s="0" t="n">
        <f aca="false">IF(Q259&gt;0,TRUNC(O259),0)</f>
        <v>0</v>
      </c>
      <c r="S259" s="5" t="n">
        <f aca="false">(M259*(D259-R259)+(Q259*R259))/D259</f>
        <v>773.3333333</v>
      </c>
      <c r="T259" s="6" t="n">
        <f aca="false">(Q259-M259)*R259*24/12.1/1000</f>
        <v>-0</v>
      </c>
    </row>
    <row r="260" customFormat="false" ht="14.35" hidden="false" customHeight="false" outlineLevel="0" collapsed="false">
      <c r="A260" s="4" t="n">
        <v>15645</v>
      </c>
      <c r="B260" s="15" t="n">
        <f aca="false">IF(C260&lt;=9,YEAR(A260),YEAR(A260)+1)</f>
        <v>1943</v>
      </c>
      <c r="C260" s="15" t="n">
        <f aca="false">MONTH(A260)</f>
        <v>10</v>
      </c>
      <c r="D260" s="15" t="n">
        <f aca="false">DAY(A260)</f>
        <v>31</v>
      </c>
      <c r="E260" s="15" t="n">
        <f aca="false">VLOOKUP(B260,WYT!$A$2:$L$97,12)</f>
        <v>0</v>
      </c>
      <c r="F260" s="15" t="n">
        <f aca="false">IF(C260=$W$5,1,0)</f>
        <v>0</v>
      </c>
      <c r="G260" s="15" t="n">
        <f aca="false">IF(C260=10,0,IF(F260=1,1,G259))</f>
        <v>0</v>
      </c>
      <c r="H260" s="5" t="n">
        <f aca="false">VA_base_426_data!B260</f>
        <v>4000</v>
      </c>
      <c r="I260" s="5" t="n">
        <f aca="false">IF(AND(E260=1,OR(C260=4,C260=5)),25*12.1/24/D260*1000,0)</f>
        <v>0</v>
      </c>
      <c r="J260" s="5" t="n">
        <f aca="false">VA_base_426_data!C260</f>
        <v>1700</v>
      </c>
      <c r="K260" s="5" t="n">
        <f aca="false">H260+I260-J260</f>
        <v>2300</v>
      </c>
      <c r="L260" s="5" t="n">
        <f aca="false">MIN($W$7,J260+K260)</f>
        <v>2000</v>
      </c>
      <c r="M260" s="5" t="n">
        <f aca="false">VA_base_426_data!D260</f>
        <v>800</v>
      </c>
      <c r="N260" s="5" t="n">
        <f aca="false">IF(AND(C260=10,E260=1),$W$6,N259-P259)</f>
        <v>0</v>
      </c>
      <c r="O260" s="5" t="n">
        <f aca="false">IF(ABS(M260-L260)&gt;1,MIN(N260/((L260-M260)*24/12.1/1000),D260),D260)</f>
        <v>0</v>
      </c>
      <c r="P260" s="5" t="n">
        <f aca="false">MIN(IF(AND(G260,E260),(L260-M260)*24/12.1*O260/1000,0),N260)</f>
        <v>0</v>
      </c>
      <c r="Q260" s="5" t="n">
        <f aca="false">IF(P260&gt;0,P260/O260*12.1/24*1000+M260,0)</f>
        <v>0</v>
      </c>
      <c r="R260" s="0" t="n">
        <f aca="false">IF(Q260&gt;0,TRUNC(O260),0)</f>
        <v>0</v>
      </c>
      <c r="S260" s="5" t="n">
        <f aca="false">(M260*(D260-R260)+(Q260*R260))/D260</f>
        <v>800</v>
      </c>
      <c r="T260" s="6" t="n">
        <f aca="false">(Q260-M260)*R260*24/12.1/1000</f>
        <v>-0</v>
      </c>
    </row>
    <row r="261" customFormat="false" ht="14.35" hidden="false" customHeight="false" outlineLevel="0" collapsed="false">
      <c r="A261" s="4" t="n">
        <v>15675</v>
      </c>
      <c r="B261" s="15" t="n">
        <f aca="false">IF(C261&lt;=9,YEAR(A261),YEAR(A261)+1)</f>
        <v>1943</v>
      </c>
      <c r="C261" s="15" t="n">
        <f aca="false">MONTH(A261)</f>
        <v>11</v>
      </c>
      <c r="D261" s="15" t="n">
        <f aca="false">DAY(A261)</f>
        <v>30</v>
      </c>
      <c r="E261" s="15" t="n">
        <f aca="false">VLOOKUP(B261,WYT!$A$2:$L$97,12)</f>
        <v>0</v>
      </c>
      <c r="F261" s="15" t="n">
        <f aca="false">IF(C261=$W$5,1,0)</f>
        <v>0</v>
      </c>
      <c r="G261" s="15" t="n">
        <f aca="false">IF(C261=10,0,IF(F261=1,1,G260))</f>
        <v>0</v>
      </c>
      <c r="H261" s="5" t="n">
        <f aca="false">VA_base_426_data!B261</f>
        <v>2970.94994000524</v>
      </c>
      <c r="I261" s="5" t="n">
        <f aca="false">IF(AND(E261=1,OR(C261=4,C261=5)),25*12.1/24/D261*1000,0)</f>
        <v>0</v>
      </c>
      <c r="J261" s="5" t="n">
        <f aca="false">VA_base_426_data!C261</f>
        <v>1700</v>
      </c>
      <c r="K261" s="5" t="n">
        <f aca="false">H261+I261-J261</f>
        <v>1270.94994000524</v>
      </c>
      <c r="L261" s="5" t="n">
        <f aca="false">MIN($W$7,J261+K261)</f>
        <v>2000</v>
      </c>
      <c r="M261" s="5" t="n">
        <f aca="false">VA_base_426_data!D261</f>
        <v>800</v>
      </c>
      <c r="N261" s="5" t="n">
        <f aca="false">IF(AND(C261=10,E261=1),$W$6,N260-P260)</f>
        <v>0</v>
      </c>
      <c r="O261" s="5" t="n">
        <f aca="false">IF(ABS(M261-L261)&gt;1,MIN(N261/((L261-M261)*24/12.1/1000),D261),D261)</f>
        <v>0</v>
      </c>
      <c r="P261" s="5" t="n">
        <f aca="false">MIN(IF(AND(G261,E261),(L261-M261)*24/12.1*O261/1000,0),N261)</f>
        <v>0</v>
      </c>
      <c r="Q261" s="5" t="n">
        <f aca="false">IF(P261&gt;0,P261/O261*12.1/24*1000+M261,0)</f>
        <v>0</v>
      </c>
      <c r="R261" s="0" t="n">
        <f aca="false">IF(Q261&gt;0,TRUNC(O261),0)</f>
        <v>0</v>
      </c>
      <c r="S261" s="5" t="n">
        <f aca="false">(M261*(D261-R261)+(Q261*R261))/D261</f>
        <v>800</v>
      </c>
      <c r="T261" s="6" t="n">
        <f aca="false">(Q261-M261)*R261*24/12.1/1000</f>
        <v>-0</v>
      </c>
    </row>
    <row r="262" customFormat="false" ht="14.35" hidden="false" customHeight="false" outlineLevel="0" collapsed="false">
      <c r="A262" s="4" t="n">
        <v>15706</v>
      </c>
      <c r="B262" s="15" t="n">
        <f aca="false">IF(C262&lt;=9,YEAR(A262),YEAR(A262)+1)</f>
        <v>1943</v>
      </c>
      <c r="C262" s="15" t="n">
        <f aca="false">MONTH(A262)</f>
        <v>12</v>
      </c>
      <c r="D262" s="15" t="n">
        <f aca="false">DAY(A262)</f>
        <v>31</v>
      </c>
      <c r="E262" s="15" t="n">
        <f aca="false">VLOOKUP(B262,WYT!$A$2:$L$97,12)</f>
        <v>0</v>
      </c>
      <c r="F262" s="15" t="n">
        <f aca="false">IF(C262=$W$5,1,0)</f>
        <v>0</v>
      </c>
      <c r="G262" s="15" t="n">
        <f aca="false">IF(C262=10,0,IF(F262=1,1,G261))</f>
        <v>0</v>
      </c>
      <c r="H262" s="5" t="n">
        <f aca="false">VA_base_426_data!B262</f>
        <v>1700</v>
      </c>
      <c r="I262" s="5" t="n">
        <f aca="false">IF(AND(E262=1,OR(C262=4,C262=5)),25*12.1/24/D262*1000,0)</f>
        <v>0</v>
      </c>
      <c r="J262" s="5" t="n">
        <f aca="false">VA_base_426_data!C262</f>
        <v>1700</v>
      </c>
      <c r="K262" s="5" t="n">
        <f aca="false">H262+I262-J262</f>
        <v>0</v>
      </c>
      <c r="L262" s="5" t="n">
        <f aca="false">MIN($W$7,J262+K262)</f>
        <v>1700</v>
      </c>
      <c r="M262" s="5" t="n">
        <f aca="false">VA_base_426_data!D262</f>
        <v>800</v>
      </c>
      <c r="N262" s="5" t="n">
        <f aca="false">IF(AND(C262=10,E262=1),$W$6,N261-P261)</f>
        <v>0</v>
      </c>
      <c r="O262" s="5" t="n">
        <f aca="false">IF(ABS(M262-L262)&gt;1,MIN(N262/((L262-M262)*24/12.1/1000),D262),D262)</f>
        <v>0</v>
      </c>
      <c r="P262" s="5" t="n">
        <f aca="false">MIN(IF(AND(G262,E262),(L262-M262)*24/12.1*O262/1000,0),N262)</f>
        <v>0</v>
      </c>
      <c r="Q262" s="5" t="n">
        <f aca="false">IF(P262&gt;0,P262/O262*12.1/24*1000+M262,0)</f>
        <v>0</v>
      </c>
      <c r="R262" s="0" t="n">
        <f aca="false">IF(Q262&gt;0,TRUNC(O262),0)</f>
        <v>0</v>
      </c>
      <c r="S262" s="5" t="n">
        <f aca="false">(M262*(D262-R262)+(Q262*R262))/D262</f>
        <v>800</v>
      </c>
      <c r="T262" s="6" t="n">
        <f aca="false">(Q262-M262)*R262*24/12.1/1000</f>
        <v>-0</v>
      </c>
    </row>
    <row r="263" customFormat="false" ht="14.35" hidden="false" customHeight="false" outlineLevel="0" collapsed="false">
      <c r="A263" s="4" t="n">
        <v>15737</v>
      </c>
      <c r="B263" s="15" t="n">
        <f aca="false">IF(C263&lt;=9,YEAR(A263),YEAR(A263)+1)</f>
        <v>1943</v>
      </c>
      <c r="C263" s="15" t="n">
        <f aca="false">MONTH(A263)</f>
        <v>1</v>
      </c>
      <c r="D263" s="15" t="n">
        <f aca="false">DAY(A263)</f>
        <v>31</v>
      </c>
      <c r="E263" s="15" t="n">
        <f aca="false">VLOOKUP(B263,WYT!$A$2:$L$97,12)</f>
        <v>0</v>
      </c>
      <c r="F263" s="15" t="n">
        <f aca="false">IF(C263=$W$5,1,0)</f>
        <v>0</v>
      </c>
      <c r="G263" s="15" t="n">
        <f aca="false">IF(C263=10,0,IF(F263=1,1,G262))</f>
        <v>0</v>
      </c>
      <c r="H263" s="5" t="n">
        <f aca="false">VA_base_426_data!B263</f>
        <v>9631.38685922647</v>
      </c>
      <c r="I263" s="5" t="n">
        <f aca="false">IF(AND(E263=1,OR(C263=4,C263=5)),25*12.1/24/D263*1000,0)</f>
        <v>0</v>
      </c>
      <c r="J263" s="5" t="n">
        <f aca="false">VA_base_426_data!C263</f>
        <v>1700</v>
      </c>
      <c r="K263" s="5" t="n">
        <f aca="false">H263+I263-J263</f>
        <v>7931.38685922647</v>
      </c>
      <c r="L263" s="5" t="n">
        <f aca="false">MIN($W$7,J263+K263)</f>
        <v>2000</v>
      </c>
      <c r="M263" s="5" t="n">
        <f aca="false">VA_base_426_data!D263</f>
        <v>800</v>
      </c>
      <c r="N263" s="5" t="n">
        <f aca="false">IF(AND(C263=10,E263=1),$W$6,N262-P262)</f>
        <v>0</v>
      </c>
      <c r="O263" s="5" t="n">
        <f aca="false">IF(ABS(M263-L263)&gt;1,MIN(N263/((L263-M263)*24/12.1/1000),D263),D263)</f>
        <v>0</v>
      </c>
      <c r="P263" s="5" t="n">
        <f aca="false">MIN(IF(AND(G263,E263),(L263-M263)*24/12.1*O263/1000,0),N263)</f>
        <v>0</v>
      </c>
      <c r="Q263" s="5" t="n">
        <f aca="false">IF(P263&gt;0,P263/O263*12.1/24*1000+M263,0)</f>
        <v>0</v>
      </c>
      <c r="R263" s="0" t="n">
        <f aca="false">IF(Q263&gt;0,TRUNC(O263),0)</f>
        <v>0</v>
      </c>
      <c r="S263" s="5" t="n">
        <f aca="false">(M263*(D263-R263)+(Q263*R263))/D263</f>
        <v>800</v>
      </c>
      <c r="T263" s="6" t="n">
        <f aca="false">(Q263-M263)*R263*24/12.1/1000</f>
        <v>-0</v>
      </c>
    </row>
    <row r="264" customFormat="false" ht="14.35" hidden="false" customHeight="false" outlineLevel="0" collapsed="false">
      <c r="A264" s="4" t="n">
        <v>15765</v>
      </c>
      <c r="B264" s="15" t="n">
        <f aca="false">IF(C264&lt;=9,YEAR(A264),YEAR(A264)+1)</f>
        <v>1943</v>
      </c>
      <c r="C264" s="15" t="n">
        <f aca="false">MONTH(A264)</f>
        <v>2</v>
      </c>
      <c r="D264" s="15" t="n">
        <f aca="false">DAY(A264)</f>
        <v>28</v>
      </c>
      <c r="E264" s="15" t="n">
        <f aca="false">VLOOKUP(B264,WYT!$A$2:$L$97,12)</f>
        <v>0</v>
      </c>
      <c r="F264" s="15" t="n">
        <f aca="false">IF(C264=$W$5,1,0)</f>
        <v>1</v>
      </c>
      <c r="G264" s="15" t="n">
        <f aca="false">IF(C264=10,0,IF(F264=1,1,G263))</f>
        <v>1</v>
      </c>
      <c r="H264" s="5" t="n">
        <f aca="false">VA_base_426_data!B264</f>
        <v>7488.2780301827</v>
      </c>
      <c r="I264" s="5" t="n">
        <f aca="false">IF(AND(E264=1,OR(C264=4,C264=5)),25*12.1/24/D264*1000,0)</f>
        <v>0</v>
      </c>
      <c r="J264" s="5" t="n">
        <f aca="false">VA_base_426_data!C264</f>
        <v>1700</v>
      </c>
      <c r="K264" s="5" t="n">
        <f aca="false">H264+I264-J264</f>
        <v>5788.2780301827</v>
      </c>
      <c r="L264" s="5" t="n">
        <f aca="false">MIN($W$7,J264+K264)</f>
        <v>2000</v>
      </c>
      <c r="M264" s="5" t="n">
        <f aca="false">VA_base_426_data!D264</f>
        <v>800</v>
      </c>
      <c r="N264" s="5" t="n">
        <f aca="false">IF(AND(C264=10,E264=1),$W$6,N263-P263)</f>
        <v>0</v>
      </c>
      <c r="O264" s="5" t="n">
        <f aca="false">IF(ABS(M264-L264)&gt;1,MIN(N264/((L264-M264)*24/12.1/1000),D264),D264)</f>
        <v>0</v>
      </c>
      <c r="P264" s="5" t="n">
        <f aca="false">MIN(IF(AND(G264,E264),(L264-M264)*24/12.1*O264/1000,0),N264)</f>
        <v>0</v>
      </c>
      <c r="Q264" s="5" t="n">
        <f aca="false">IF(P264&gt;0,P264/O264*12.1/24*1000+M264,0)</f>
        <v>0</v>
      </c>
      <c r="R264" s="0" t="n">
        <f aca="false">IF(Q264&gt;0,TRUNC(O264),0)</f>
        <v>0</v>
      </c>
      <c r="S264" s="5" t="n">
        <f aca="false">(M264*(D264-R264)+(Q264*R264))/D264</f>
        <v>800</v>
      </c>
      <c r="T264" s="6" t="n">
        <f aca="false">(Q264-M264)*R264*24/12.1/1000</f>
        <v>-0</v>
      </c>
    </row>
    <row r="265" customFormat="false" ht="14.35" hidden="false" customHeight="false" outlineLevel="0" collapsed="false">
      <c r="A265" s="4" t="n">
        <v>15796</v>
      </c>
      <c r="B265" s="15" t="n">
        <f aca="false">IF(C265&lt;=9,YEAR(A265),YEAR(A265)+1)</f>
        <v>1943</v>
      </c>
      <c r="C265" s="15" t="n">
        <f aca="false">MONTH(A265)</f>
        <v>3</v>
      </c>
      <c r="D265" s="15" t="n">
        <f aca="false">DAY(A265)</f>
        <v>31</v>
      </c>
      <c r="E265" s="15" t="n">
        <f aca="false">VLOOKUP(B265,WYT!$A$2:$L$97,12)</f>
        <v>0</v>
      </c>
      <c r="F265" s="15" t="n">
        <f aca="false">IF(C265=$W$5,1,0)</f>
        <v>0</v>
      </c>
      <c r="G265" s="15" t="n">
        <f aca="false">IF(C265=10,0,IF(F265=1,1,G264))</f>
        <v>1</v>
      </c>
      <c r="H265" s="5" t="n">
        <f aca="false">VA_base_426_data!B265</f>
        <v>16061.2709334505</v>
      </c>
      <c r="I265" s="5" t="n">
        <f aca="false">IF(AND(E265=1,OR(C265=4,C265=5)),25*12.1/24/D265*1000,0)</f>
        <v>0</v>
      </c>
      <c r="J265" s="5" t="n">
        <f aca="false">VA_base_426_data!C265</f>
        <v>1700</v>
      </c>
      <c r="K265" s="5" t="n">
        <f aca="false">H265+I265-J265</f>
        <v>14361.2709334505</v>
      </c>
      <c r="L265" s="5" t="n">
        <f aca="false">MIN($W$7,J265+K265)</f>
        <v>2000</v>
      </c>
      <c r="M265" s="5" t="n">
        <f aca="false">VA_base_426_data!D265</f>
        <v>800</v>
      </c>
      <c r="N265" s="5" t="n">
        <f aca="false">IF(AND(C265=10,E265=1),$W$6,N264-P264)</f>
        <v>0</v>
      </c>
      <c r="O265" s="5" t="n">
        <f aca="false">IF(ABS(M265-L265)&gt;1,MIN(N265/((L265-M265)*24/12.1/1000),D265),D265)</f>
        <v>0</v>
      </c>
      <c r="P265" s="5" t="n">
        <f aca="false">MIN(IF(AND(G265,E265),(L265-M265)*24/12.1*O265/1000,0),N265)</f>
        <v>0</v>
      </c>
      <c r="Q265" s="5" t="n">
        <f aca="false">IF(P265&gt;0,P265/O265*12.1/24*1000+M265,0)</f>
        <v>0</v>
      </c>
      <c r="R265" s="0" t="n">
        <f aca="false">IF(Q265&gt;0,TRUNC(O265),0)</f>
        <v>0</v>
      </c>
      <c r="S265" s="5" t="n">
        <f aca="false">(M265*(D265-R265)+(Q265*R265))/D265</f>
        <v>800</v>
      </c>
      <c r="T265" s="6" t="n">
        <f aca="false">(Q265-M265)*R265*24/12.1/1000</f>
        <v>-0</v>
      </c>
    </row>
    <row r="266" customFormat="false" ht="14.35" hidden="false" customHeight="false" outlineLevel="0" collapsed="false">
      <c r="A266" s="4" t="n">
        <v>15826</v>
      </c>
      <c r="B266" s="15" t="n">
        <f aca="false">IF(C266&lt;=9,YEAR(A266),YEAR(A266)+1)</f>
        <v>1943</v>
      </c>
      <c r="C266" s="15" t="n">
        <f aca="false">MONTH(A266)</f>
        <v>4</v>
      </c>
      <c r="D266" s="15" t="n">
        <f aca="false">DAY(A266)</f>
        <v>30</v>
      </c>
      <c r="E266" s="15" t="n">
        <f aca="false">VLOOKUP(B266,WYT!$A$2:$L$97,12)</f>
        <v>0</v>
      </c>
      <c r="F266" s="15" t="n">
        <f aca="false">IF(C266=$W$5,1,0)</f>
        <v>0</v>
      </c>
      <c r="G266" s="15" t="n">
        <f aca="false">IF(C266=10,0,IF(F266=1,1,G265))</f>
        <v>1</v>
      </c>
      <c r="H266" s="5" t="n">
        <f aca="false">VA_base_426_data!B266</f>
        <v>4215.09651846805</v>
      </c>
      <c r="I266" s="5" t="n">
        <f aca="false">IF(AND(E266=1,OR(C266=4,C266=5)),25*12.1/24/D266*1000,0)</f>
        <v>0</v>
      </c>
      <c r="J266" s="5" t="n">
        <f aca="false">VA_base_426_data!C266</f>
        <v>1000</v>
      </c>
      <c r="K266" s="5" t="n">
        <f aca="false">H266+I266-J266</f>
        <v>3215.09651846805</v>
      </c>
      <c r="L266" s="5" t="n">
        <f aca="false">MIN($W$7,J266+K266)</f>
        <v>2000</v>
      </c>
      <c r="M266" s="5" t="n">
        <f aca="false">VA_base_426_data!D266</f>
        <v>700</v>
      </c>
      <c r="N266" s="5" t="n">
        <f aca="false">IF(AND(C266=10,E266=1),$W$6,N265-P265)</f>
        <v>0</v>
      </c>
      <c r="O266" s="5" t="n">
        <f aca="false">IF(ABS(M266-L266)&gt;1,MIN(N266/((L266-M266)*24/12.1/1000),D266),D266)</f>
        <v>0</v>
      </c>
      <c r="P266" s="5" t="n">
        <f aca="false">MIN(IF(AND(G266,E266),(L266-M266)*24/12.1*O266/1000,0),N266)</f>
        <v>0</v>
      </c>
      <c r="Q266" s="5" t="n">
        <f aca="false">IF(P266&gt;0,P266/O266*12.1/24*1000+M266,0)</f>
        <v>0</v>
      </c>
      <c r="R266" s="0" t="n">
        <f aca="false">IF(Q266&gt;0,TRUNC(O266),0)</f>
        <v>0</v>
      </c>
      <c r="S266" s="5" t="n">
        <f aca="false">(M266*(D266-R266)+(Q266*R266))/D266</f>
        <v>700</v>
      </c>
      <c r="T266" s="6" t="n">
        <f aca="false">(Q266-M266)*R266*24/12.1/1000</f>
        <v>-0</v>
      </c>
    </row>
    <row r="267" customFormat="false" ht="14.35" hidden="false" customHeight="false" outlineLevel="0" collapsed="false">
      <c r="A267" s="4" t="n">
        <v>15857</v>
      </c>
      <c r="B267" s="15" t="n">
        <f aca="false">IF(C267&lt;=9,YEAR(A267),YEAR(A267)+1)</f>
        <v>1943</v>
      </c>
      <c r="C267" s="15" t="n">
        <f aca="false">MONTH(A267)</f>
        <v>5</v>
      </c>
      <c r="D267" s="15" t="n">
        <f aca="false">DAY(A267)</f>
        <v>31</v>
      </c>
      <c r="E267" s="15" t="n">
        <f aca="false">VLOOKUP(B267,WYT!$A$2:$L$97,12)</f>
        <v>0</v>
      </c>
      <c r="F267" s="15" t="n">
        <f aca="false">IF(C267=$W$5,1,0)</f>
        <v>0</v>
      </c>
      <c r="G267" s="15" t="n">
        <f aca="false">IF(C267=10,0,IF(F267=1,1,G266))</f>
        <v>1</v>
      </c>
      <c r="H267" s="5" t="n">
        <f aca="false">VA_base_426_data!B267</f>
        <v>1000</v>
      </c>
      <c r="I267" s="5" t="n">
        <f aca="false">IF(AND(E267=1,OR(C267=4,C267=5)),25*12.1/24/D267*1000,0)</f>
        <v>0</v>
      </c>
      <c r="J267" s="5" t="n">
        <f aca="false">VA_base_426_data!C267</f>
        <v>1000</v>
      </c>
      <c r="K267" s="5" t="n">
        <f aca="false">H267+I267-J267</f>
        <v>0</v>
      </c>
      <c r="L267" s="5" t="n">
        <f aca="false">MIN($W$7,J267+K267)</f>
        <v>1000</v>
      </c>
      <c r="M267" s="5" t="n">
        <f aca="false">VA_base_426_data!D267</f>
        <v>700</v>
      </c>
      <c r="N267" s="5" t="n">
        <f aca="false">IF(AND(C267=10,E267=1),$W$6,N266-P266)</f>
        <v>0</v>
      </c>
      <c r="O267" s="5" t="n">
        <f aca="false">IF(ABS(M267-L267)&gt;1,MIN(N267/((L267-M267)*24/12.1/1000),D267),D267)</f>
        <v>0</v>
      </c>
      <c r="P267" s="5" t="n">
        <f aca="false">MIN(IF(AND(G267,E267),(L267-M267)*24/12.1*O267/1000,0),N267)</f>
        <v>0</v>
      </c>
      <c r="Q267" s="5" t="n">
        <f aca="false">IF(P267&gt;0,P267/O267*12.1/24*1000+M267,0)</f>
        <v>0</v>
      </c>
      <c r="R267" s="0" t="n">
        <f aca="false">IF(Q267&gt;0,TRUNC(O267),0)</f>
        <v>0</v>
      </c>
      <c r="S267" s="5" t="n">
        <f aca="false">(M267*(D267-R267)+(Q267*R267))/D267</f>
        <v>700</v>
      </c>
      <c r="T267" s="6" t="n">
        <f aca="false">(Q267-M267)*R267*24/12.1/1000</f>
        <v>-0</v>
      </c>
    </row>
    <row r="268" customFormat="false" ht="14.35" hidden="false" customHeight="false" outlineLevel="0" collapsed="false">
      <c r="A268" s="4" t="n">
        <v>15887</v>
      </c>
      <c r="B268" s="15" t="n">
        <f aca="false">IF(C268&lt;=9,YEAR(A268),YEAR(A268)+1)</f>
        <v>1943</v>
      </c>
      <c r="C268" s="15" t="n">
        <f aca="false">MONTH(A268)</f>
        <v>6</v>
      </c>
      <c r="D268" s="15" t="n">
        <f aca="false">DAY(A268)</f>
        <v>30</v>
      </c>
      <c r="E268" s="15" t="n">
        <f aca="false">VLOOKUP(B268,WYT!$A$2:$L$97,12)</f>
        <v>0</v>
      </c>
      <c r="F268" s="15" t="n">
        <f aca="false">IF(C268=$W$5,1,0)</f>
        <v>0</v>
      </c>
      <c r="G268" s="15" t="n">
        <f aca="false">IF(C268=10,0,IF(F268=1,1,G267))</f>
        <v>1</v>
      </c>
      <c r="H268" s="5" t="n">
        <f aca="false">VA_base_426_data!B268</f>
        <v>1961.50796735375</v>
      </c>
      <c r="I268" s="5" t="n">
        <f aca="false">IF(AND(E268=1,OR(C268=4,C268=5)),25*12.1/24/D268*1000,0)</f>
        <v>0</v>
      </c>
      <c r="J268" s="5" t="n">
        <f aca="false">VA_base_426_data!C268</f>
        <v>1000</v>
      </c>
      <c r="K268" s="5" t="n">
        <f aca="false">H268+I268-J268</f>
        <v>961.507967353748</v>
      </c>
      <c r="L268" s="5" t="n">
        <f aca="false">MIN($W$7,J268+K268)</f>
        <v>1961.50796735375</v>
      </c>
      <c r="M268" s="5" t="n">
        <f aca="false">VA_base_426_data!D268</f>
        <v>700</v>
      </c>
      <c r="N268" s="5" t="n">
        <f aca="false">IF(AND(C268=10,E268=1),$W$6,N267-P267)</f>
        <v>0</v>
      </c>
      <c r="O268" s="5" t="n">
        <f aca="false">IF(ABS(M268-L268)&gt;1,MIN(N268/((L268-M268)*24/12.1/1000),D268),D268)</f>
        <v>0</v>
      </c>
      <c r="P268" s="5" t="n">
        <f aca="false">MIN(IF(AND(G268,E268),(L268-M268)*24/12.1*O268/1000,0),N268)</f>
        <v>0</v>
      </c>
      <c r="Q268" s="5" t="n">
        <f aca="false">IF(P268&gt;0,P268/O268*12.1/24*1000+M268,0)</f>
        <v>0</v>
      </c>
      <c r="R268" s="0" t="n">
        <f aca="false">IF(Q268&gt;0,TRUNC(O268),0)</f>
        <v>0</v>
      </c>
      <c r="S268" s="5" t="n">
        <f aca="false">(M268*(D268-R268)+(Q268*R268))/D268</f>
        <v>700</v>
      </c>
      <c r="T268" s="6" t="n">
        <f aca="false">(Q268-M268)*R268*24/12.1/1000</f>
        <v>-0</v>
      </c>
    </row>
    <row r="269" customFormat="false" ht="14.35" hidden="false" customHeight="false" outlineLevel="0" collapsed="false">
      <c r="A269" s="4" t="n">
        <v>15918</v>
      </c>
      <c r="B269" s="15" t="n">
        <f aca="false">IF(C269&lt;=9,YEAR(A269),YEAR(A269)+1)</f>
        <v>1943</v>
      </c>
      <c r="C269" s="15" t="n">
        <f aca="false">MONTH(A269)</f>
        <v>7</v>
      </c>
      <c r="D269" s="15" t="n">
        <f aca="false">DAY(A269)</f>
        <v>31</v>
      </c>
      <c r="E269" s="15" t="n">
        <f aca="false">VLOOKUP(B269,WYT!$A$2:$L$97,12)</f>
        <v>0</v>
      </c>
      <c r="F269" s="15" t="n">
        <f aca="false">IF(C269=$W$5,1,0)</f>
        <v>0</v>
      </c>
      <c r="G269" s="15" t="n">
        <f aca="false">IF(C269=10,0,IF(F269=1,1,G268))</f>
        <v>1</v>
      </c>
      <c r="H269" s="5" t="n">
        <f aca="false">VA_base_426_data!B269</f>
        <v>9544.67643170014</v>
      </c>
      <c r="I269" s="5" t="n">
        <f aca="false">IF(AND(E269=1,OR(C269=4,C269=5)),25*12.1/24/D269*1000,0)</f>
        <v>0</v>
      </c>
      <c r="J269" s="5" t="n">
        <f aca="false">VA_base_426_data!C269</f>
        <v>1000</v>
      </c>
      <c r="K269" s="5" t="n">
        <f aca="false">H269+I269-J269</f>
        <v>8544.67643170014</v>
      </c>
      <c r="L269" s="5" t="n">
        <f aca="false">MIN($W$7,J269+K269)</f>
        <v>2000</v>
      </c>
      <c r="M269" s="5" t="n">
        <f aca="false">VA_base_426_data!D269</f>
        <v>700</v>
      </c>
      <c r="N269" s="5" t="n">
        <f aca="false">IF(AND(C269=10,E269=1),$W$6,N268-P268)</f>
        <v>0</v>
      </c>
      <c r="O269" s="5" t="n">
        <f aca="false">IF(ABS(M269-L269)&gt;1,MIN(N269/((L269-M269)*24/12.1/1000),D269),D269)</f>
        <v>0</v>
      </c>
      <c r="P269" s="5" t="n">
        <f aca="false">MIN(IF(AND(G269,E269),(L269-M269)*24/12.1*O269/1000,0),N269)</f>
        <v>0</v>
      </c>
      <c r="Q269" s="5" t="n">
        <f aca="false">IF(P269&gt;0,P269/O269*12.1/24*1000+M269,0)</f>
        <v>0</v>
      </c>
      <c r="R269" s="0" t="n">
        <f aca="false">IF(Q269&gt;0,TRUNC(O269),0)</f>
        <v>0</v>
      </c>
      <c r="S269" s="5" t="n">
        <f aca="false">(M269*(D269-R269)+(Q269*R269))/D269</f>
        <v>700</v>
      </c>
      <c r="T269" s="6" t="n">
        <f aca="false">(Q269-M269)*R269*24/12.1/1000</f>
        <v>-0</v>
      </c>
    </row>
    <row r="270" customFormat="false" ht="14.35" hidden="false" customHeight="false" outlineLevel="0" collapsed="false">
      <c r="A270" s="4" t="n">
        <v>15949</v>
      </c>
      <c r="B270" s="15" t="n">
        <f aca="false">IF(C270&lt;=9,YEAR(A270),YEAR(A270)+1)</f>
        <v>1943</v>
      </c>
      <c r="C270" s="15" t="n">
        <f aca="false">MONTH(A270)</f>
        <v>8</v>
      </c>
      <c r="D270" s="15" t="n">
        <f aca="false">DAY(A270)</f>
        <v>31</v>
      </c>
      <c r="E270" s="15" t="n">
        <f aca="false">VLOOKUP(B270,WYT!$A$2:$L$97,12)</f>
        <v>0</v>
      </c>
      <c r="F270" s="15" t="n">
        <f aca="false">IF(C270=$W$5,1,0)</f>
        <v>0</v>
      </c>
      <c r="G270" s="15" t="n">
        <f aca="false">IF(C270=10,0,IF(F270=1,1,G269))</f>
        <v>1</v>
      </c>
      <c r="H270" s="5" t="n">
        <f aca="false">VA_base_426_data!B270</f>
        <v>8087.39805956896</v>
      </c>
      <c r="I270" s="5" t="n">
        <f aca="false">IF(AND(E270=1,OR(C270=4,C270=5)),25*12.1/24/D270*1000,0)</f>
        <v>0</v>
      </c>
      <c r="J270" s="5" t="n">
        <f aca="false">VA_base_426_data!C270</f>
        <v>1000</v>
      </c>
      <c r="K270" s="5" t="n">
        <f aca="false">H270+I270-J270</f>
        <v>7087.39805956896</v>
      </c>
      <c r="L270" s="5" t="n">
        <f aca="false">MIN($W$7,J270+K270)</f>
        <v>2000</v>
      </c>
      <c r="M270" s="5" t="n">
        <f aca="false">VA_base_426_data!D270</f>
        <v>700</v>
      </c>
      <c r="N270" s="5" t="n">
        <f aca="false">IF(AND(C270=10,E270=1),$W$6,N269-P269)</f>
        <v>0</v>
      </c>
      <c r="O270" s="5" t="n">
        <f aca="false">IF(ABS(M270-L270)&gt;1,MIN(N270/((L270-M270)*24/12.1/1000),D270),D270)</f>
        <v>0</v>
      </c>
      <c r="P270" s="5" t="n">
        <f aca="false">MIN(IF(AND(G270,E270),(L270-M270)*24/12.1*O270/1000,0),N270)</f>
        <v>0</v>
      </c>
      <c r="Q270" s="5" t="n">
        <f aca="false">IF(P270&gt;0,P270/O270*12.1/24*1000+M270,0)</f>
        <v>0</v>
      </c>
      <c r="R270" s="0" t="n">
        <f aca="false">IF(Q270&gt;0,TRUNC(O270),0)</f>
        <v>0</v>
      </c>
      <c r="S270" s="5" t="n">
        <f aca="false">(M270*(D270-R270)+(Q270*R270))/D270</f>
        <v>700</v>
      </c>
      <c r="T270" s="6" t="n">
        <f aca="false">(Q270-M270)*R270*24/12.1/1000</f>
        <v>-0</v>
      </c>
    </row>
    <row r="271" customFormat="false" ht="14.35" hidden="false" customHeight="false" outlineLevel="0" collapsed="false">
      <c r="A271" s="4" t="n">
        <v>15979</v>
      </c>
      <c r="B271" s="15" t="n">
        <f aca="false">IF(C271&lt;=9,YEAR(A271),YEAR(A271)+1)</f>
        <v>1943</v>
      </c>
      <c r="C271" s="15" t="n">
        <f aca="false">MONTH(A271)</f>
        <v>9</v>
      </c>
      <c r="D271" s="15" t="n">
        <f aca="false">DAY(A271)</f>
        <v>30</v>
      </c>
      <c r="E271" s="15" t="n">
        <f aca="false">VLOOKUP(B271,WYT!$A$2:$L$97,12)</f>
        <v>0</v>
      </c>
      <c r="F271" s="15" t="n">
        <f aca="false">IF(C271=$W$5,1,0)</f>
        <v>0</v>
      </c>
      <c r="G271" s="15" t="n">
        <f aca="false">IF(C271=10,0,IF(F271=1,1,G270))</f>
        <v>1</v>
      </c>
      <c r="H271" s="5" t="n">
        <f aca="false">VA_base_426_data!B271</f>
        <v>9752.65636459719</v>
      </c>
      <c r="I271" s="5" t="n">
        <f aca="false">IF(AND(E271=1,OR(C271=4,C271=5)),25*12.1/24/D271*1000,0)</f>
        <v>0</v>
      </c>
      <c r="J271" s="5" t="n">
        <f aca="false">VA_base_426_data!C271</f>
        <v>1000</v>
      </c>
      <c r="K271" s="5" t="n">
        <f aca="false">H271+I271-J271</f>
        <v>8752.65636459719</v>
      </c>
      <c r="L271" s="5" t="n">
        <f aca="false">MIN($W$7,J271+K271)</f>
        <v>2000</v>
      </c>
      <c r="M271" s="5" t="n">
        <f aca="false">VA_base_426_data!D271</f>
        <v>773.3333333</v>
      </c>
      <c r="N271" s="5" t="n">
        <f aca="false">IF(AND(C271=10,E271=1),$W$6,N270-P270)</f>
        <v>0</v>
      </c>
      <c r="O271" s="5" t="n">
        <f aca="false">IF(ABS(M271-L271)&gt;1,MIN(N271/((L271-M271)*24/12.1/1000),D271),D271)</f>
        <v>0</v>
      </c>
      <c r="P271" s="5" t="n">
        <f aca="false">MIN(IF(AND(G271,E271),(L271-M271)*24/12.1*O271/1000,0),N271)</f>
        <v>0</v>
      </c>
      <c r="Q271" s="5" t="n">
        <f aca="false">IF(P271&gt;0,P271/O271*12.1/24*1000+M271,0)</f>
        <v>0</v>
      </c>
      <c r="R271" s="0" t="n">
        <f aca="false">IF(Q271&gt;0,TRUNC(O271),0)</f>
        <v>0</v>
      </c>
      <c r="S271" s="5" t="n">
        <f aca="false">(M271*(D271-R271)+(Q271*R271))/D271</f>
        <v>773.3333333</v>
      </c>
      <c r="T271" s="6" t="n">
        <f aca="false">(Q271-M271)*R271*24/12.1/1000</f>
        <v>-0</v>
      </c>
    </row>
    <row r="272" customFormat="false" ht="14.35" hidden="false" customHeight="false" outlineLevel="0" collapsed="false">
      <c r="A272" s="4" t="n">
        <v>16010</v>
      </c>
      <c r="B272" s="15" t="n">
        <f aca="false">IF(C272&lt;=9,YEAR(A272),YEAR(A272)+1)</f>
        <v>1944</v>
      </c>
      <c r="C272" s="15" t="n">
        <f aca="false">MONTH(A272)</f>
        <v>10</v>
      </c>
      <c r="D272" s="15" t="n">
        <f aca="false">DAY(A272)</f>
        <v>31</v>
      </c>
      <c r="E272" s="15" t="n">
        <f aca="false">VLOOKUP(B272,WYT!$A$2:$L$97,12)</f>
        <v>1</v>
      </c>
      <c r="F272" s="15" t="n">
        <f aca="false">IF(C272=$W$5,1,0)</f>
        <v>0</v>
      </c>
      <c r="G272" s="15" t="n">
        <f aca="false">IF(C272=10,0,IF(F272=1,1,G271))</f>
        <v>0</v>
      </c>
      <c r="H272" s="5" t="n">
        <f aca="false">VA_base_426_data!B272</f>
        <v>4000</v>
      </c>
      <c r="I272" s="5" t="n">
        <f aca="false">IF(AND(E272=1,OR(C272=4,C272=5)),25*12.1/24/D272*1000,0)</f>
        <v>0</v>
      </c>
      <c r="J272" s="5" t="n">
        <f aca="false">VA_base_426_data!C272</f>
        <v>1700</v>
      </c>
      <c r="K272" s="5" t="n">
        <f aca="false">H272+I272-J272</f>
        <v>2300</v>
      </c>
      <c r="L272" s="5" t="n">
        <f aca="false">MIN($W$7,J272+K272)</f>
        <v>2000</v>
      </c>
      <c r="M272" s="5" t="n">
        <f aca="false">VA_base_426_data!D272</f>
        <v>800</v>
      </c>
      <c r="N272" s="5" t="n">
        <f aca="false">IF(AND(C272=10,E272=1),$W$6,N271-P271)</f>
        <v>43</v>
      </c>
      <c r="O272" s="5" t="n">
        <f aca="false">IF(ABS(M272-L272)&gt;1,MIN(N272/((L272-M272)*24/12.1/1000),D272),D272)</f>
        <v>18.0659722222222</v>
      </c>
      <c r="P272" s="5" t="n">
        <f aca="false">MIN(IF(AND(G272,E272),(L272-M272)*24/12.1*O272/1000,0),N272)</f>
        <v>0</v>
      </c>
      <c r="Q272" s="5" t="n">
        <f aca="false">IF(P272&gt;0,P272/O272*12.1/24*1000+M272,0)</f>
        <v>0</v>
      </c>
      <c r="R272" s="0" t="n">
        <f aca="false">IF(Q272&gt;0,TRUNC(O272),0)</f>
        <v>0</v>
      </c>
      <c r="S272" s="5" t="n">
        <f aca="false">(M272*(D272-R272)+(Q272*R272))/D272</f>
        <v>800</v>
      </c>
      <c r="T272" s="6" t="n">
        <f aca="false">(Q272-M272)*R272*24/12.1/1000</f>
        <v>-0</v>
      </c>
    </row>
    <row r="273" customFormat="false" ht="14.35" hidden="false" customHeight="false" outlineLevel="0" collapsed="false">
      <c r="A273" s="4" t="n">
        <v>16040</v>
      </c>
      <c r="B273" s="15" t="n">
        <f aca="false">IF(C273&lt;=9,YEAR(A273),YEAR(A273)+1)</f>
        <v>1944</v>
      </c>
      <c r="C273" s="15" t="n">
        <f aca="false">MONTH(A273)</f>
        <v>11</v>
      </c>
      <c r="D273" s="15" t="n">
        <f aca="false">DAY(A273)</f>
        <v>30</v>
      </c>
      <c r="E273" s="15" t="n">
        <f aca="false">VLOOKUP(B273,WYT!$A$2:$L$97,12)</f>
        <v>1</v>
      </c>
      <c r="F273" s="15" t="n">
        <f aca="false">IF(C273=$W$5,1,0)</f>
        <v>0</v>
      </c>
      <c r="G273" s="15" t="n">
        <f aca="false">IF(C273=10,0,IF(F273=1,1,G272))</f>
        <v>0</v>
      </c>
      <c r="H273" s="5" t="n">
        <f aca="false">VA_base_426_data!B273</f>
        <v>2500</v>
      </c>
      <c r="I273" s="5" t="n">
        <f aca="false">IF(AND(E273=1,OR(C273=4,C273=5)),25*12.1/24/D273*1000,0)</f>
        <v>0</v>
      </c>
      <c r="J273" s="5" t="n">
        <f aca="false">VA_base_426_data!C273</f>
        <v>1700</v>
      </c>
      <c r="K273" s="5" t="n">
        <f aca="false">H273+I273-J273</f>
        <v>800</v>
      </c>
      <c r="L273" s="5" t="n">
        <f aca="false">MIN($W$7,J273+K273)</f>
        <v>2000</v>
      </c>
      <c r="M273" s="5" t="n">
        <f aca="false">VA_base_426_data!D273</f>
        <v>800</v>
      </c>
      <c r="N273" s="5" t="n">
        <f aca="false">IF(AND(C273=10,E273=1),$W$6,N272-P272)</f>
        <v>43</v>
      </c>
      <c r="O273" s="5" t="n">
        <f aca="false">IF(ABS(M273-L273)&gt;1,MIN(N273/((L273-M273)*24/12.1/1000),D273),D273)</f>
        <v>18.0659722222222</v>
      </c>
      <c r="P273" s="5" t="n">
        <f aca="false">MIN(IF(AND(G273,E273),(L273-M273)*24/12.1*O273/1000,0),N273)</f>
        <v>0</v>
      </c>
      <c r="Q273" s="5" t="n">
        <f aca="false">IF(P273&gt;0,P273/O273*12.1/24*1000+M273,0)</f>
        <v>0</v>
      </c>
      <c r="R273" s="0" t="n">
        <f aca="false">IF(Q273&gt;0,TRUNC(O273),0)</f>
        <v>0</v>
      </c>
      <c r="S273" s="5" t="n">
        <f aca="false">(M273*(D273-R273)+(Q273*R273))/D273</f>
        <v>800</v>
      </c>
      <c r="T273" s="6" t="n">
        <f aca="false">(Q273-M273)*R273*24/12.1/1000</f>
        <v>-0</v>
      </c>
    </row>
    <row r="274" customFormat="false" ht="14.35" hidden="false" customHeight="false" outlineLevel="0" collapsed="false">
      <c r="A274" s="4" t="n">
        <v>16071</v>
      </c>
      <c r="B274" s="15" t="n">
        <f aca="false">IF(C274&lt;=9,YEAR(A274),YEAR(A274)+1)</f>
        <v>1944</v>
      </c>
      <c r="C274" s="15" t="n">
        <f aca="false">MONTH(A274)</f>
        <v>12</v>
      </c>
      <c r="D274" s="15" t="n">
        <f aca="false">DAY(A274)</f>
        <v>31</v>
      </c>
      <c r="E274" s="15" t="n">
        <f aca="false">VLOOKUP(B274,WYT!$A$2:$L$97,12)</f>
        <v>1</v>
      </c>
      <c r="F274" s="15" t="n">
        <f aca="false">IF(C274=$W$5,1,0)</f>
        <v>0</v>
      </c>
      <c r="G274" s="15" t="n">
        <f aca="false">IF(C274=10,0,IF(F274=1,1,G273))</f>
        <v>0</v>
      </c>
      <c r="H274" s="5" t="n">
        <f aca="false">VA_base_426_data!B274</f>
        <v>2112.03501014648</v>
      </c>
      <c r="I274" s="5" t="n">
        <f aca="false">IF(AND(E274=1,OR(C274=4,C274=5)),25*12.1/24/D274*1000,0)</f>
        <v>0</v>
      </c>
      <c r="J274" s="5" t="n">
        <f aca="false">VA_base_426_data!C274</f>
        <v>1700</v>
      </c>
      <c r="K274" s="5" t="n">
        <f aca="false">H274+I274-J274</f>
        <v>412.03501014648</v>
      </c>
      <c r="L274" s="5" t="n">
        <f aca="false">MIN($W$7,J274+K274)</f>
        <v>2000</v>
      </c>
      <c r="M274" s="5" t="n">
        <f aca="false">VA_base_426_data!D274</f>
        <v>800</v>
      </c>
      <c r="N274" s="5" t="n">
        <f aca="false">IF(AND(C274=10,E274=1),$W$6,N273-P273)</f>
        <v>43</v>
      </c>
      <c r="O274" s="5" t="n">
        <f aca="false">IF(ABS(M274-L274)&gt;1,MIN(N274/((L274-M274)*24/12.1/1000),D274),D274)</f>
        <v>18.0659722222222</v>
      </c>
      <c r="P274" s="5" t="n">
        <f aca="false">MIN(IF(AND(G274,E274),(L274-M274)*24/12.1*O274/1000,0),N274)</f>
        <v>0</v>
      </c>
      <c r="Q274" s="5" t="n">
        <f aca="false">IF(P274&gt;0,P274/O274*12.1/24*1000+M274,0)</f>
        <v>0</v>
      </c>
      <c r="R274" s="0" t="n">
        <f aca="false">IF(Q274&gt;0,TRUNC(O274),0)</f>
        <v>0</v>
      </c>
      <c r="S274" s="5" t="n">
        <f aca="false">(M274*(D274-R274)+(Q274*R274))/D274</f>
        <v>800</v>
      </c>
      <c r="T274" s="6" t="n">
        <f aca="false">(Q274-M274)*R274*24/12.1/1000</f>
        <v>-0</v>
      </c>
    </row>
    <row r="275" customFormat="false" ht="14.35" hidden="false" customHeight="false" outlineLevel="0" collapsed="false">
      <c r="A275" s="4" t="n">
        <v>16102</v>
      </c>
      <c r="B275" s="15" t="n">
        <f aca="false">IF(C275&lt;=9,YEAR(A275),YEAR(A275)+1)</f>
        <v>1944</v>
      </c>
      <c r="C275" s="15" t="n">
        <f aca="false">MONTH(A275)</f>
        <v>1</v>
      </c>
      <c r="D275" s="15" t="n">
        <f aca="false">DAY(A275)</f>
        <v>31</v>
      </c>
      <c r="E275" s="15" t="n">
        <f aca="false">VLOOKUP(B275,WYT!$A$2:$L$97,12)</f>
        <v>1</v>
      </c>
      <c r="F275" s="15" t="n">
        <f aca="false">IF(C275=$W$5,1,0)</f>
        <v>0</v>
      </c>
      <c r="G275" s="15" t="n">
        <f aca="false">IF(C275=10,0,IF(F275=1,1,G274))</f>
        <v>0</v>
      </c>
      <c r="H275" s="5" t="n">
        <f aca="false">VA_base_426_data!B275</f>
        <v>1700</v>
      </c>
      <c r="I275" s="5" t="n">
        <f aca="false">IF(AND(E275=1,OR(C275=4,C275=5)),25*12.1/24/D275*1000,0)</f>
        <v>0</v>
      </c>
      <c r="J275" s="5" t="n">
        <f aca="false">VA_base_426_data!C275</f>
        <v>1700</v>
      </c>
      <c r="K275" s="5" t="n">
        <f aca="false">H275+I275-J275</f>
        <v>0</v>
      </c>
      <c r="L275" s="5" t="n">
        <f aca="false">MIN($W$7,J275+K275)</f>
        <v>1700</v>
      </c>
      <c r="M275" s="5" t="n">
        <f aca="false">VA_base_426_data!D275</f>
        <v>800</v>
      </c>
      <c r="N275" s="5" t="n">
        <f aca="false">IF(AND(C275=10,E275=1),$W$6,N274-P274)</f>
        <v>43</v>
      </c>
      <c r="O275" s="5" t="n">
        <f aca="false">IF(ABS(M275-L275)&gt;1,MIN(N275/((L275-M275)*24/12.1/1000),D275),D275)</f>
        <v>24.087962962963</v>
      </c>
      <c r="P275" s="5" t="n">
        <f aca="false">MIN(IF(AND(G275,E275),(L275-M275)*24/12.1*O275/1000,0),N275)</f>
        <v>0</v>
      </c>
      <c r="Q275" s="5" t="n">
        <f aca="false">IF(P275&gt;0,P275/O275*12.1/24*1000+M275,0)</f>
        <v>0</v>
      </c>
      <c r="R275" s="0" t="n">
        <f aca="false">IF(Q275&gt;0,TRUNC(O275),0)</f>
        <v>0</v>
      </c>
      <c r="S275" s="5" t="n">
        <f aca="false">(M275*(D275-R275)+(Q275*R275))/D275</f>
        <v>800</v>
      </c>
      <c r="T275" s="6" t="n">
        <f aca="false">(Q275-M275)*R275*24/12.1/1000</f>
        <v>-0</v>
      </c>
    </row>
    <row r="276" customFormat="false" ht="14.35" hidden="false" customHeight="false" outlineLevel="0" collapsed="false">
      <c r="A276" s="4" t="n">
        <v>16131</v>
      </c>
      <c r="B276" s="15" t="n">
        <f aca="false">IF(C276&lt;=9,YEAR(A276),YEAR(A276)+1)</f>
        <v>1944</v>
      </c>
      <c r="C276" s="15" t="n">
        <f aca="false">MONTH(A276)</f>
        <v>2</v>
      </c>
      <c r="D276" s="15" t="n">
        <f aca="false">DAY(A276)</f>
        <v>29</v>
      </c>
      <c r="E276" s="15" t="n">
        <f aca="false">VLOOKUP(B276,WYT!$A$2:$L$97,12)</f>
        <v>1</v>
      </c>
      <c r="F276" s="15" t="n">
        <f aca="false">IF(C276=$W$5,1,0)</f>
        <v>1</v>
      </c>
      <c r="G276" s="15" t="n">
        <f aca="false">IF(C276=10,0,IF(F276=1,1,G275))</f>
        <v>1</v>
      </c>
      <c r="H276" s="5" t="n">
        <f aca="false">VA_base_426_data!B276</f>
        <v>1700</v>
      </c>
      <c r="I276" s="5" t="n">
        <f aca="false">IF(AND(E276=1,OR(C276=4,C276=5)),25*12.1/24/D276*1000,0)</f>
        <v>0</v>
      </c>
      <c r="J276" s="5" t="n">
        <f aca="false">VA_base_426_data!C276</f>
        <v>1700</v>
      </c>
      <c r="K276" s="5" t="n">
        <f aca="false">H276+I276-J276</f>
        <v>0</v>
      </c>
      <c r="L276" s="5" t="n">
        <f aca="false">MIN($W$7,J276+K276)</f>
        <v>1700</v>
      </c>
      <c r="M276" s="5" t="n">
        <f aca="false">VA_base_426_data!D276</f>
        <v>800</v>
      </c>
      <c r="N276" s="5" t="n">
        <f aca="false">IF(AND(C276=10,E276=1),$W$6,N275-P275)</f>
        <v>43</v>
      </c>
      <c r="O276" s="5" t="n">
        <f aca="false">IF(ABS(M276-L276)&gt;1,MIN(N276/((L276-M276)*24/12.1/1000),D276),D276)</f>
        <v>24.087962962963</v>
      </c>
      <c r="P276" s="5" t="n">
        <f aca="false">MIN(IF(AND(G276,E276),(L276-M276)*24/12.1*O276/1000,0),N276)</f>
        <v>43</v>
      </c>
      <c r="Q276" s="5" t="n">
        <f aca="false">IF(P276&gt;0,P276/O276*12.1/24*1000+M276,0)</f>
        <v>1700</v>
      </c>
      <c r="R276" s="0" t="n">
        <f aca="false">IF(Q276&gt;0,TRUNC(O276),0)</f>
        <v>24</v>
      </c>
      <c r="S276" s="5" t="n">
        <f aca="false">(M276*(D276-R276)+(Q276*R276))/D276</f>
        <v>1544.8275862069</v>
      </c>
      <c r="T276" s="6" t="n">
        <f aca="false">(Q276-M276)*R276*24/12.1/1000</f>
        <v>42.8429752066116</v>
      </c>
    </row>
    <row r="277" customFormat="false" ht="14.35" hidden="false" customHeight="false" outlineLevel="0" collapsed="false">
      <c r="A277" s="4" t="n">
        <v>16162</v>
      </c>
      <c r="B277" s="15" t="n">
        <f aca="false">IF(C277&lt;=9,YEAR(A277),YEAR(A277)+1)</f>
        <v>1944</v>
      </c>
      <c r="C277" s="15" t="n">
        <f aca="false">MONTH(A277)</f>
        <v>3</v>
      </c>
      <c r="D277" s="15" t="n">
        <f aca="false">DAY(A277)</f>
        <v>31</v>
      </c>
      <c r="E277" s="15" t="n">
        <f aca="false">VLOOKUP(B277,WYT!$A$2:$L$97,12)</f>
        <v>1</v>
      </c>
      <c r="F277" s="15" t="n">
        <f aca="false">IF(C277=$W$5,1,0)</f>
        <v>0</v>
      </c>
      <c r="G277" s="15" t="n">
        <f aca="false">IF(C277=10,0,IF(F277=1,1,G276))</f>
        <v>1</v>
      </c>
      <c r="H277" s="5" t="n">
        <f aca="false">VA_base_426_data!B277</f>
        <v>1700</v>
      </c>
      <c r="I277" s="5" t="n">
        <f aca="false">IF(AND(E277=1,OR(C277=4,C277=5)),25*12.1/24/D277*1000,0)</f>
        <v>0</v>
      </c>
      <c r="J277" s="5" t="n">
        <f aca="false">VA_base_426_data!C277</f>
        <v>1700</v>
      </c>
      <c r="K277" s="5" t="n">
        <f aca="false">H277+I277-J277</f>
        <v>0</v>
      </c>
      <c r="L277" s="5" t="n">
        <f aca="false">MIN($W$7,J277+K277)</f>
        <v>1700</v>
      </c>
      <c r="M277" s="5" t="n">
        <f aca="false">VA_base_426_data!D277</f>
        <v>800</v>
      </c>
      <c r="N277" s="5" t="n">
        <f aca="false">IF(AND(C277=10,E277=1),$W$6,N276-P276)</f>
        <v>0</v>
      </c>
      <c r="O277" s="5" t="n">
        <f aca="false">IF(ABS(M277-L277)&gt;1,MIN(N277/((L277-M277)*24/12.1/1000),D277),D277)</f>
        <v>0</v>
      </c>
      <c r="P277" s="5" t="n">
        <f aca="false">MIN(IF(AND(G277,E277),(L277-M277)*24/12.1*O277/1000,0),N277)</f>
        <v>0</v>
      </c>
      <c r="Q277" s="5" t="n">
        <f aca="false">IF(P277&gt;0,P277/O277*12.1/24*1000+M277,0)</f>
        <v>0</v>
      </c>
      <c r="R277" s="0" t="n">
        <f aca="false">IF(Q277&gt;0,TRUNC(O277),0)</f>
        <v>0</v>
      </c>
      <c r="S277" s="5" t="n">
        <f aca="false">(M277*(D277-R277)+(Q277*R277))/D277</f>
        <v>800</v>
      </c>
      <c r="T277" s="6" t="n">
        <f aca="false">(Q277-M277)*R277*24/12.1/1000</f>
        <v>-0</v>
      </c>
    </row>
    <row r="278" customFormat="false" ht="14.35" hidden="false" customHeight="false" outlineLevel="0" collapsed="false">
      <c r="A278" s="4" t="n">
        <v>16192</v>
      </c>
      <c r="B278" s="15" t="n">
        <f aca="false">IF(C278&lt;=9,YEAR(A278),YEAR(A278)+1)</f>
        <v>1944</v>
      </c>
      <c r="C278" s="15" t="n">
        <f aca="false">MONTH(A278)</f>
        <v>4</v>
      </c>
      <c r="D278" s="15" t="n">
        <f aca="false">DAY(A278)</f>
        <v>30</v>
      </c>
      <c r="E278" s="15" t="n">
        <f aca="false">VLOOKUP(B278,WYT!$A$2:$L$97,12)</f>
        <v>1</v>
      </c>
      <c r="F278" s="15" t="n">
        <f aca="false">IF(C278=$W$5,1,0)</f>
        <v>0</v>
      </c>
      <c r="G278" s="15" t="n">
        <f aca="false">IF(C278=10,0,IF(F278=1,1,G277))</f>
        <v>1</v>
      </c>
      <c r="H278" s="5" t="n">
        <f aca="false">VA_base_426_data!B278</f>
        <v>1859.20760256783</v>
      </c>
      <c r="I278" s="5" t="n">
        <f aca="false">IF(AND(E278=1,OR(C278=4,C278=5)),25*12.1/24/D278*1000,0)</f>
        <v>420.138888888889</v>
      </c>
      <c r="J278" s="5" t="n">
        <f aca="false">VA_base_426_data!C278</f>
        <v>1000</v>
      </c>
      <c r="K278" s="5" t="n">
        <f aca="false">H278+I278-J278</f>
        <v>1279.34649145672</v>
      </c>
      <c r="L278" s="5" t="n">
        <f aca="false">MIN($W$7,J278+K278)</f>
        <v>2000</v>
      </c>
      <c r="M278" s="5" t="n">
        <f aca="false">VA_base_426_data!D278</f>
        <v>700</v>
      </c>
      <c r="N278" s="5" t="n">
        <f aca="false">IF(AND(C278=10,E278=1),$W$6,N277-P277)</f>
        <v>0</v>
      </c>
      <c r="O278" s="5" t="n">
        <f aca="false">IF(ABS(M278-L278)&gt;1,MIN(N278/((L278-M278)*24/12.1/1000),D278),D278)</f>
        <v>0</v>
      </c>
      <c r="P278" s="5" t="n">
        <f aca="false">MIN(IF(AND(G278,E278),(L278-M278)*24/12.1*O278/1000,0),N278)</f>
        <v>0</v>
      </c>
      <c r="Q278" s="5" t="n">
        <f aca="false">IF(P278&gt;0,P278/O278*12.1/24*1000+M278,0)</f>
        <v>0</v>
      </c>
      <c r="R278" s="0" t="n">
        <f aca="false">IF(Q278&gt;0,TRUNC(O278),0)</f>
        <v>0</v>
      </c>
      <c r="S278" s="5" t="n">
        <f aca="false">(M278*(D278-R278)+(Q278*R278))/D278</f>
        <v>700</v>
      </c>
      <c r="T278" s="6" t="n">
        <f aca="false">(Q278-M278)*R278*24/12.1/1000</f>
        <v>-0</v>
      </c>
    </row>
    <row r="279" customFormat="false" ht="14.35" hidden="false" customHeight="false" outlineLevel="0" collapsed="false">
      <c r="A279" s="4" t="n">
        <v>16223</v>
      </c>
      <c r="B279" s="15" t="n">
        <f aca="false">IF(C279&lt;=9,YEAR(A279),YEAR(A279)+1)</f>
        <v>1944</v>
      </c>
      <c r="C279" s="15" t="n">
        <f aca="false">MONTH(A279)</f>
        <v>5</v>
      </c>
      <c r="D279" s="15" t="n">
        <f aca="false">DAY(A279)</f>
        <v>31</v>
      </c>
      <c r="E279" s="15" t="n">
        <f aca="false">VLOOKUP(B279,WYT!$A$2:$L$97,12)</f>
        <v>1</v>
      </c>
      <c r="F279" s="15" t="n">
        <f aca="false">IF(C279=$W$5,1,0)</f>
        <v>0</v>
      </c>
      <c r="G279" s="15" t="n">
        <f aca="false">IF(C279=10,0,IF(F279=1,1,G278))</f>
        <v>1</v>
      </c>
      <c r="H279" s="5" t="n">
        <f aca="false">VA_base_426_data!B279</f>
        <v>1110.57579613135</v>
      </c>
      <c r="I279" s="5" t="n">
        <f aca="false">IF(AND(E279=1,OR(C279=4,C279=5)),25*12.1/24/D279*1000,0)</f>
        <v>406.586021505376</v>
      </c>
      <c r="J279" s="5" t="n">
        <f aca="false">VA_base_426_data!C279</f>
        <v>1000</v>
      </c>
      <c r="K279" s="5" t="n">
        <f aca="false">H279+I279-J279</f>
        <v>517.161817636723</v>
      </c>
      <c r="L279" s="5" t="n">
        <f aca="false">MIN($W$7,J279+K279)</f>
        <v>1517.16181763672</v>
      </c>
      <c r="M279" s="5" t="n">
        <f aca="false">VA_base_426_data!D279</f>
        <v>700</v>
      </c>
      <c r="N279" s="5" t="n">
        <f aca="false">IF(AND(C279=10,E279=1),$W$6,N278-P278)</f>
        <v>0</v>
      </c>
      <c r="O279" s="5" t="n">
        <f aca="false">IF(ABS(M279-L279)&gt;1,MIN(N279/((L279-M279)*24/12.1/1000),D279),D279)</f>
        <v>0</v>
      </c>
      <c r="P279" s="5" t="n">
        <f aca="false">MIN(IF(AND(G279,E279),(L279-M279)*24/12.1*O279/1000,0),N279)</f>
        <v>0</v>
      </c>
      <c r="Q279" s="5" t="n">
        <f aca="false">IF(P279&gt;0,P279/O279*12.1/24*1000+M279,0)</f>
        <v>0</v>
      </c>
      <c r="R279" s="0" t="n">
        <f aca="false">IF(Q279&gt;0,TRUNC(O279),0)</f>
        <v>0</v>
      </c>
      <c r="S279" s="5" t="n">
        <f aca="false">(M279*(D279-R279)+(Q279*R279))/D279</f>
        <v>700</v>
      </c>
      <c r="T279" s="6" t="n">
        <f aca="false">(Q279-M279)*R279*24/12.1/1000</f>
        <v>-0</v>
      </c>
    </row>
    <row r="280" customFormat="false" ht="14.35" hidden="false" customHeight="false" outlineLevel="0" collapsed="false">
      <c r="A280" s="4" t="n">
        <v>16253</v>
      </c>
      <c r="B280" s="15" t="n">
        <f aca="false">IF(C280&lt;=9,YEAR(A280),YEAR(A280)+1)</f>
        <v>1944</v>
      </c>
      <c r="C280" s="15" t="n">
        <f aca="false">MONTH(A280)</f>
        <v>6</v>
      </c>
      <c r="D280" s="15" t="n">
        <f aca="false">DAY(A280)</f>
        <v>30</v>
      </c>
      <c r="E280" s="15" t="n">
        <f aca="false">VLOOKUP(B280,WYT!$A$2:$L$97,12)</f>
        <v>1</v>
      </c>
      <c r="F280" s="15" t="n">
        <f aca="false">IF(C280=$W$5,1,0)</f>
        <v>0</v>
      </c>
      <c r="G280" s="15" t="n">
        <f aca="false">IF(C280=10,0,IF(F280=1,1,G279))</f>
        <v>1</v>
      </c>
      <c r="H280" s="5" t="n">
        <f aca="false">VA_base_426_data!B280</f>
        <v>5248.8924035777</v>
      </c>
      <c r="I280" s="5" t="n">
        <f aca="false">IF(AND(E280=1,OR(C280=4,C280=5)),25*12.1/24/D280*1000,0)</f>
        <v>0</v>
      </c>
      <c r="J280" s="5" t="n">
        <f aca="false">VA_base_426_data!C280</f>
        <v>1000</v>
      </c>
      <c r="K280" s="5" t="n">
        <f aca="false">H280+I280-J280</f>
        <v>4248.8924035777</v>
      </c>
      <c r="L280" s="5" t="n">
        <f aca="false">MIN($W$7,J280+K280)</f>
        <v>2000</v>
      </c>
      <c r="M280" s="5" t="n">
        <f aca="false">VA_base_426_data!D280</f>
        <v>700</v>
      </c>
      <c r="N280" s="5" t="n">
        <f aca="false">IF(AND(C280=10,E280=1),$W$6,N279-P279)</f>
        <v>0</v>
      </c>
      <c r="O280" s="5" t="n">
        <f aca="false">IF(ABS(M280-L280)&gt;1,MIN(N280/((L280-M280)*24/12.1/1000),D280),D280)</f>
        <v>0</v>
      </c>
      <c r="P280" s="5" t="n">
        <f aca="false">MIN(IF(AND(G280,E280),(L280-M280)*24/12.1*O280/1000,0),N280)</f>
        <v>0</v>
      </c>
      <c r="Q280" s="5" t="n">
        <f aca="false">IF(P280&gt;0,P280/O280*12.1/24*1000+M280,0)</f>
        <v>0</v>
      </c>
      <c r="R280" s="0" t="n">
        <f aca="false">IF(Q280&gt;0,TRUNC(O280),0)</f>
        <v>0</v>
      </c>
      <c r="S280" s="5" t="n">
        <f aca="false">(M280*(D280-R280)+(Q280*R280))/D280</f>
        <v>700</v>
      </c>
      <c r="T280" s="6" t="n">
        <f aca="false">(Q280-M280)*R280*24/12.1/1000</f>
        <v>-0</v>
      </c>
    </row>
    <row r="281" customFormat="false" ht="14.35" hidden="false" customHeight="false" outlineLevel="0" collapsed="false">
      <c r="A281" s="4" t="n">
        <v>16284</v>
      </c>
      <c r="B281" s="15" t="n">
        <f aca="false">IF(C281&lt;=9,YEAR(A281),YEAR(A281)+1)</f>
        <v>1944</v>
      </c>
      <c r="C281" s="15" t="n">
        <f aca="false">MONTH(A281)</f>
        <v>7</v>
      </c>
      <c r="D281" s="15" t="n">
        <f aca="false">DAY(A281)</f>
        <v>31</v>
      </c>
      <c r="E281" s="15" t="n">
        <f aca="false">VLOOKUP(B281,WYT!$A$2:$L$97,12)</f>
        <v>1</v>
      </c>
      <c r="F281" s="15" t="n">
        <f aca="false">IF(C281=$W$5,1,0)</f>
        <v>0</v>
      </c>
      <c r="G281" s="15" t="n">
        <f aca="false">IF(C281=10,0,IF(F281=1,1,G280))</f>
        <v>1</v>
      </c>
      <c r="H281" s="5" t="n">
        <f aca="false">VA_base_426_data!B281</f>
        <v>8931.96195607505</v>
      </c>
      <c r="I281" s="5" t="n">
        <f aca="false">IF(AND(E281=1,OR(C281=4,C281=5)),25*12.1/24/D281*1000,0)</f>
        <v>0</v>
      </c>
      <c r="J281" s="5" t="n">
        <f aca="false">VA_base_426_data!C281</f>
        <v>1000</v>
      </c>
      <c r="K281" s="5" t="n">
        <f aca="false">H281+I281-J281</f>
        <v>7931.96195607505</v>
      </c>
      <c r="L281" s="5" t="n">
        <f aca="false">MIN($W$7,J281+K281)</f>
        <v>2000</v>
      </c>
      <c r="M281" s="5" t="n">
        <f aca="false">VA_base_426_data!D281</f>
        <v>700</v>
      </c>
      <c r="N281" s="5" t="n">
        <f aca="false">IF(AND(C281=10,E281=1),$W$6,N280-P280)</f>
        <v>0</v>
      </c>
      <c r="O281" s="5" t="n">
        <f aca="false">IF(ABS(M281-L281)&gt;1,MIN(N281/((L281-M281)*24/12.1/1000),D281),D281)</f>
        <v>0</v>
      </c>
      <c r="P281" s="5" t="n">
        <f aca="false">MIN(IF(AND(G281,E281),(L281-M281)*24/12.1*O281/1000,0),N281)</f>
        <v>0</v>
      </c>
      <c r="Q281" s="5" t="n">
        <f aca="false">IF(P281&gt;0,P281/O281*12.1/24*1000+M281,0)</f>
        <v>0</v>
      </c>
      <c r="R281" s="0" t="n">
        <f aca="false">IF(Q281&gt;0,TRUNC(O281),0)</f>
        <v>0</v>
      </c>
      <c r="S281" s="5" t="n">
        <f aca="false">(M281*(D281-R281)+(Q281*R281))/D281</f>
        <v>700</v>
      </c>
      <c r="T281" s="6" t="n">
        <f aca="false">(Q281-M281)*R281*24/12.1/1000</f>
        <v>-0</v>
      </c>
    </row>
    <row r="282" customFormat="false" ht="14.35" hidden="false" customHeight="false" outlineLevel="0" collapsed="false">
      <c r="A282" s="4" t="n">
        <v>16315</v>
      </c>
      <c r="B282" s="15" t="n">
        <f aca="false">IF(C282&lt;=9,YEAR(A282),YEAR(A282)+1)</f>
        <v>1944</v>
      </c>
      <c r="C282" s="15" t="n">
        <f aca="false">MONTH(A282)</f>
        <v>8</v>
      </c>
      <c r="D282" s="15" t="n">
        <f aca="false">DAY(A282)</f>
        <v>31</v>
      </c>
      <c r="E282" s="15" t="n">
        <f aca="false">VLOOKUP(B282,WYT!$A$2:$L$97,12)</f>
        <v>1</v>
      </c>
      <c r="F282" s="15" t="n">
        <f aca="false">IF(C282=$W$5,1,0)</f>
        <v>0</v>
      </c>
      <c r="G282" s="15" t="n">
        <f aca="false">IF(C282=10,0,IF(F282=1,1,G281))</f>
        <v>1</v>
      </c>
      <c r="H282" s="5" t="n">
        <f aca="false">VA_base_426_data!B282</f>
        <v>2173.53130282114</v>
      </c>
      <c r="I282" s="5" t="n">
        <f aca="false">IF(AND(E282=1,OR(C282=4,C282=5)),25*12.1/24/D282*1000,0)</f>
        <v>0</v>
      </c>
      <c r="J282" s="5" t="n">
        <f aca="false">VA_base_426_data!C282</f>
        <v>1000</v>
      </c>
      <c r="K282" s="5" t="n">
        <f aca="false">H282+I282-J282</f>
        <v>1173.53130282114</v>
      </c>
      <c r="L282" s="5" t="n">
        <f aca="false">MIN($W$7,J282+K282)</f>
        <v>2000</v>
      </c>
      <c r="M282" s="5" t="n">
        <f aca="false">VA_base_426_data!D282</f>
        <v>700</v>
      </c>
      <c r="N282" s="5" t="n">
        <f aca="false">IF(AND(C282=10,E282=1),$W$6,N281-P281)</f>
        <v>0</v>
      </c>
      <c r="O282" s="5" t="n">
        <f aca="false">IF(ABS(M282-L282)&gt;1,MIN(N282/((L282-M282)*24/12.1/1000),D282),D282)</f>
        <v>0</v>
      </c>
      <c r="P282" s="5" t="n">
        <f aca="false">MIN(IF(AND(G282,E282),(L282-M282)*24/12.1*O282/1000,0),N282)</f>
        <v>0</v>
      </c>
      <c r="Q282" s="5" t="n">
        <f aca="false">IF(P282&gt;0,P282/O282*12.1/24*1000+M282,0)</f>
        <v>0</v>
      </c>
      <c r="R282" s="0" t="n">
        <f aca="false">IF(Q282&gt;0,TRUNC(O282),0)</f>
        <v>0</v>
      </c>
      <c r="S282" s="5" t="n">
        <f aca="false">(M282*(D282-R282)+(Q282*R282))/D282</f>
        <v>700</v>
      </c>
      <c r="T282" s="6" t="n">
        <f aca="false">(Q282-M282)*R282*24/12.1/1000</f>
        <v>-0</v>
      </c>
    </row>
    <row r="283" customFormat="false" ht="14.35" hidden="false" customHeight="false" outlineLevel="0" collapsed="false">
      <c r="A283" s="4" t="n">
        <v>16345</v>
      </c>
      <c r="B283" s="15" t="n">
        <f aca="false">IF(C283&lt;=9,YEAR(A283),YEAR(A283)+1)</f>
        <v>1944</v>
      </c>
      <c r="C283" s="15" t="n">
        <f aca="false">MONTH(A283)</f>
        <v>9</v>
      </c>
      <c r="D283" s="15" t="n">
        <f aca="false">DAY(A283)</f>
        <v>30</v>
      </c>
      <c r="E283" s="15" t="n">
        <f aca="false">VLOOKUP(B283,WYT!$A$2:$L$97,12)</f>
        <v>1</v>
      </c>
      <c r="F283" s="15" t="n">
        <f aca="false">IF(C283=$W$5,1,0)</f>
        <v>0</v>
      </c>
      <c r="G283" s="15" t="n">
        <f aca="false">IF(C283=10,0,IF(F283=1,1,G282))</f>
        <v>1</v>
      </c>
      <c r="H283" s="5" t="n">
        <f aca="false">VA_base_426_data!B283</f>
        <v>1202.64249669328</v>
      </c>
      <c r="I283" s="5" t="n">
        <f aca="false">IF(AND(E283=1,OR(C283=4,C283=5)),25*12.1/24/D283*1000,0)</f>
        <v>0</v>
      </c>
      <c r="J283" s="5" t="n">
        <f aca="false">VA_base_426_data!C283</f>
        <v>1000</v>
      </c>
      <c r="K283" s="5" t="n">
        <f aca="false">H283+I283-J283</f>
        <v>202.642496693281</v>
      </c>
      <c r="L283" s="5" t="n">
        <f aca="false">MIN($W$7,J283+K283)</f>
        <v>1202.64249669328</v>
      </c>
      <c r="M283" s="5" t="n">
        <f aca="false">VA_base_426_data!D283</f>
        <v>773.3333333</v>
      </c>
      <c r="N283" s="5" t="n">
        <f aca="false">IF(AND(C283=10,E283=1),$W$6,N282-P282)</f>
        <v>0</v>
      </c>
      <c r="O283" s="5" t="n">
        <f aca="false">IF(ABS(M283-L283)&gt;1,MIN(N283/((L283-M283)*24/12.1/1000),D283),D283)</f>
        <v>0</v>
      </c>
      <c r="P283" s="5" t="n">
        <f aca="false">MIN(IF(AND(G283,E283),(L283-M283)*24/12.1*O283/1000,0),N283)</f>
        <v>0</v>
      </c>
      <c r="Q283" s="5" t="n">
        <f aca="false">IF(P283&gt;0,P283/O283*12.1/24*1000+M283,0)</f>
        <v>0</v>
      </c>
      <c r="R283" s="0" t="n">
        <f aca="false">IF(Q283&gt;0,TRUNC(O283),0)</f>
        <v>0</v>
      </c>
      <c r="S283" s="5" t="n">
        <f aca="false">(M283*(D283-R283)+(Q283*R283))/D283</f>
        <v>773.3333333</v>
      </c>
      <c r="T283" s="6" t="n">
        <f aca="false">(Q283-M283)*R283*24/12.1/1000</f>
        <v>-0</v>
      </c>
    </row>
    <row r="284" customFormat="false" ht="14.35" hidden="false" customHeight="false" outlineLevel="0" collapsed="false">
      <c r="A284" s="4" t="n">
        <v>16376</v>
      </c>
      <c r="B284" s="15" t="n">
        <f aca="false">IF(C284&lt;=9,YEAR(A284),YEAR(A284)+1)</f>
        <v>1945</v>
      </c>
      <c r="C284" s="15" t="n">
        <f aca="false">MONTH(A284)</f>
        <v>10</v>
      </c>
      <c r="D284" s="15" t="n">
        <f aca="false">DAY(A284)</f>
        <v>31</v>
      </c>
      <c r="E284" s="15" t="n">
        <f aca="false">VLOOKUP(B284,WYT!$A$2:$L$97,12)</f>
        <v>1</v>
      </c>
      <c r="F284" s="15" t="n">
        <f aca="false">IF(C284=$W$5,1,0)</f>
        <v>0</v>
      </c>
      <c r="G284" s="15" t="n">
        <f aca="false">IF(C284=10,0,IF(F284=1,1,G283))</f>
        <v>0</v>
      </c>
      <c r="H284" s="5" t="n">
        <f aca="false">VA_base_426_data!B284</f>
        <v>1700</v>
      </c>
      <c r="I284" s="5" t="n">
        <f aca="false">IF(AND(E284=1,OR(C284=4,C284=5)),25*12.1/24/D284*1000,0)</f>
        <v>0</v>
      </c>
      <c r="J284" s="5" t="n">
        <f aca="false">VA_base_426_data!C284</f>
        <v>1700</v>
      </c>
      <c r="K284" s="5" t="n">
        <f aca="false">H284+I284-J284</f>
        <v>0</v>
      </c>
      <c r="L284" s="5" t="n">
        <f aca="false">MIN($W$7,J284+K284)</f>
        <v>1700</v>
      </c>
      <c r="M284" s="5" t="n">
        <f aca="false">VA_base_426_data!D284</f>
        <v>800</v>
      </c>
      <c r="N284" s="5" t="n">
        <f aca="false">IF(AND(C284=10,E284=1),$W$6,N283-P283)</f>
        <v>43</v>
      </c>
      <c r="O284" s="5" t="n">
        <f aca="false">IF(ABS(M284-L284)&gt;1,MIN(N284/((L284-M284)*24/12.1/1000),D284),D284)</f>
        <v>24.087962962963</v>
      </c>
      <c r="P284" s="5" t="n">
        <f aca="false">MIN(IF(AND(G284,E284),(L284-M284)*24/12.1*O284/1000,0),N284)</f>
        <v>0</v>
      </c>
      <c r="Q284" s="5" t="n">
        <f aca="false">IF(P284&gt;0,P284/O284*12.1/24*1000+M284,0)</f>
        <v>0</v>
      </c>
      <c r="R284" s="0" t="n">
        <f aca="false">IF(Q284&gt;0,TRUNC(O284),0)</f>
        <v>0</v>
      </c>
      <c r="S284" s="5" t="n">
        <f aca="false">(M284*(D284-R284)+(Q284*R284))/D284</f>
        <v>800</v>
      </c>
      <c r="T284" s="6" t="n">
        <f aca="false">(Q284-M284)*R284*24/12.1/1000</f>
        <v>-0</v>
      </c>
    </row>
    <row r="285" customFormat="false" ht="14.35" hidden="false" customHeight="false" outlineLevel="0" collapsed="false">
      <c r="A285" s="4" t="n">
        <v>16406</v>
      </c>
      <c r="B285" s="15" t="n">
        <f aca="false">IF(C285&lt;=9,YEAR(A285),YEAR(A285)+1)</f>
        <v>1945</v>
      </c>
      <c r="C285" s="15" t="n">
        <f aca="false">MONTH(A285)</f>
        <v>11</v>
      </c>
      <c r="D285" s="15" t="n">
        <f aca="false">DAY(A285)</f>
        <v>30</v>
      </c>
      <c r="E285" s="15" t="n">
        <f aca="false">VLOOKUP(B285,WYT!$A$2:$L$97,12)</f>
        <v>1</v>
      </c>
      <c r="F285" s="15" t="n">
        <f aca="false">IF(C285=$W$5,1,0)</f>
        <v>0</v>
      </c>
      <c r="G285" s="15" t="n">
        <f aca="false">IF(C285=10,0,IF(F285=1,1,G284))</f>
        <v>0</v>
      </c>
      <c r="H285" s="5" t="n">
        <f aca="false">VA_base_426_data!B285</f>
        <v>1700</v>
      </c>
      <c r="I285" s="5" t="n">
        <f aca="false">IF(AND(E285=1,OR(C285=4,C285=5)),25*12.1/24/D285*1000,0)</f>
        <v>0</v>
      </c>
      <c r="J285" s="5" t="n">
        <f aca="false">VA_base_426_data!C285</f>
        <v>1700</v>
      </c>
      <c r="K285" s="5" t="n">
        <f aca="false">H285+I285-J285</f>
        <v>0</v>
      </c>
      <c r="L285" s="5" t="n">
        <f aca="false">MIN($W$7,J285+K285)</f>
        <v>1700</v>
      </c>
      <c r="M285" s="5" t="n">
        <f aca="false">VA_base_426_data!D285</f>
        <v>800</v>
      </c>
      <c r="N285" s="5" t="n">
        <f aca="false">IF(AND(C285=10,E285=1),$W$6,N284-P284)</f>
        <v>43</v>
      </c>
      <c r="O285" s="5" t="n">
        <f aca="false">IF(ABS(M285-L285)&gt;1,MIN(N285/((L285-M285)*24/12.1/1000),D285),D285)</f>
        <v>24.087962962963</v>
      </c>
      <c r="P285" s="5" t="n">
        <f aca="false">MIN(IF(AND(G285,E285),(L285-M285)*24/12.1*O285/1000,0),N285)</f>
        <v>0</v>
      </c>
      <c r="Q285" s="5" t="n">
        <f aca="false">IF(P285&gt;0,P285/O285*12.1/24*1000+M285,0)</f>
        <v>0</v>
      </c>
      <c r="R285" s="0" t="n">
        <f aca="false">IF(Q285&gt;0,TRUNC(O285),0)</f>
        <v>0</v>
      </c>
      <c r="S285" s="5" t="n">
        <f aca="false">(M285*(D285-R285)+(Q285*R285))/D285</f>
        <v>800</v>
      </c>
      <c r="T285" s="6" t="n">
        <f aca="false">(Q285-M285)*R285*24/12.1/1000</f>
        <v>-0</v>
      </c>
    </row>
    <row r="286" customFormat="false" ht="14.35" hidden="false" customHeight="false" outlineLevel="0" collapsed="false">
      <c r="A286" s="4" t="n">
        <v>16437</v>
      </c>
      <c r="B286" s="15" t="n">
        <f aca="false">IF(C286&lt;=9,YEAR(A286),YEAR(A286)+1)</f>
        <v>1945</v>
      </c>
      <c r="C286" s="15" t="n">
        <f aca="false">MONTH(A286)</f>
        <v>12</v>
      </c>
      <c r="D286" s="15" t="n">
        <f aca="false">DAY(A286)</f>
        <v>31</v>
      </c>
      <c r="E286" s="15" t="n">
        <f aca="false">VLOOKUP(B286,WYT!$A$2:$L$97,12)</f>
        <v>1</v>
      </c>
      <c r="F286" s="15" t="n">
        <f aca="false">IF(C286=$W$5,1,0)</f>
        <v>0</v>
      </c>
      <c r="G286" s="15" t="n">
        <f aca="false">IF(C286=10,0,IF(F286=1,1,G285))</f>
        <v>0</v>
      </c>
      <c r="H286" s="5" t="n">
        <f aca="false">VA_base_426_data!B286</f>
        <v>1700</v>
      </c>
      <c r="I286" s="5" t="n">
        <f aca="false">IF(AND(E286=1,OR(C286=4,C286=5)),25*12.1/24/D286*1000,0)</f>
        <v>0</v>
      </c>
      <c r="J286" s="5" t="n">
        <f aca="false">VA_base_426_data!C286</f>
        <v>1700</v>
      </c>
      <c r="K286" s="5" t="n">
        <f aca="false">H286+I286-J286</f>
        <v>0</v>
      </c>
      <c r="L286" s="5" t="n">
        <f aca="false">MIN($W$7,J286+K286)</f>
        <v>1700</v>
      </c>
      <c r="M286" s="5" t="n">
        <f aca="false">VA_base_426_data!D286</f>
        <v>800</v>
      </c>
      <c r="N286" s="5" t="n">
        <f aca="false">IF(AND(C286=10,E286=1),$W$6,N285-P285)</f>
        <v>43</v>
      </c>
      <c r="O286" s="5" t="n">
        <f aca="false">IF(ABS(M286-L286)&gt;1,MIN(N286/((L286-M286)*24/12.1/1000),D286),D286)</f>
        <v>24.087962962963</v>
      </c>
      <c r="P286" s="5" t="n">
        <f aca="false">MIN(IF(AND(G286,E286),(L286-M286)*24/12.1*O286/1000,0),N286)</f>
        <v>0</v>
      </c>
      <c r="Q286" s="5" t="n">
        <f aca="false">IF(P286&gt;0,P286/O286*12.1/24*1000+M286,0)</f>
        <v>0</v>
      </c>
      <c r="R286" s="0" t="n">
        <f aca="false">IF(Q286&gt;0,TRUNC(O286),0)</f>
        <v>0</v>
      </c>
      <c r="S286" s="5" t="n">
        <f aca="false">(M286*(D286-R286)+(Q286*R286))/D286</f>
        <v>800</v>
      </c>
      <c r="T286" s="6" t="n">
        <f aca="false">(Q286-M286)*R286*24/12.1/1000</f>
        <v>-0</v>
      </c>
    </row>
    <row r="287" customFormat="false" ht="14.35" hidden="false" customHeight="false" outlineLevel="0" collapsed="false">
      <c r="A287" s="4" t="n">
        <v>16468</v>
      </c>
      <c r="B287" s="15" t="n">
        <f aca="false">IF(C287&lt;=9,YEAR(A287),YEAR(A287)+1)</f>
        <v>1945</v>
      </c>
      <c r="C287" s="15" t="n">
        <f aca="false">MONTH(A287)</f>
        <v>1</v>
      </c>
      <c r="D287" s="15" t="n">
        <f aca="false">DAY(A287)</f>
        <v>31</v>
      </c>
      <c r="E287" s="15" t="n">
        <f aca="false">VLOOKUP(B287,WYT!$A$2:$L$97,12)</f>
        <v>1</v>
      </c>
      <c r="F287" s="15" t="n">
        <f aca="false">IF(C287=$W$5,1,0)</f>
        <v>0</v>
      </c>
      <c r="G287" s="15" t="n">
        <f aca="false">IF(C287=10,0,IF(F287=1,1,G286))</f>
        <v>0</v>
      </c>
      <c r="H287" s="5" t="n">
        <f aca="false">VA_base_426_data!B287</f>
        <v>1700</v>
      </c>
      <c r="I287" s="5" t="n">
        <f aca="false">IF(AND(E287=1,OR(C287=4,C287=5)),25*12.1/24/D287*1000,0)</f>
        <v>0</v>
      </c>
      <c r="J287" s="5" t="n">
        <f aca="false">VA_base_426_data!C287</f>
        <v>1700</v>
      </c>
      <c r="K287" s="5" t="n">
        <f aca="false">H287+I287-J287</f>
        <v>0</v>
      </c>
      <c r="L287" s="5" t="n">
        <f aca="false">MIN($W$7,J287+K287)</f>
        <v>1700</v>
      </c>
      <c r="M287" s="5" t="n">
        <f aca="false">VA_base_426_data!D287</f>
        <v>800</v>
      </c>
      <c r="N287" s="5" t="n">
        <f aca="false">IF(AND(C287=10,E287=1),$W$6,N286-P286)</f>
        <v>43</v>
      </c>
      <c r="O287" s="5" t="n">
        <f aca="false">IF(ABS(M287-L287)&gt;1,MIN(N287/((L287-M287)*24/12.1/1000),D287),D287)</f>
        <v>24.087962962963</v>
      </c>
      <c r="P287" s="5" t="n">
        <f aca="false">MIN(IF(AND(G287,E287),(L287-M287)*24/12.1*O287/1000,0),N287)</f>
        <v>0</v>
      </c>
      <c r="Q287" s="5" t="n">
        <f aca="false">IF(P287&gt;0,P287/O287*12.1/24*1000+M287,0)</f>
        <v>0</v>
      </c>
      <c r="R287" s="0" t="n">
        <f aca="false">IF(Q287&gt;0,TRUNC(O287),0)</f>
        <v>0</v>
      </c>
      <c r="S287" s="5" t="n">
        <f aca="false">(M287*(D287-R287)+(Q287*R287))/D287</f>
        <v>800</v>
      </c>
      <c r="T287" s="6" t="n">
        <f aca="false">(Q287-M287)*R287*24/12.1/1000</f>
        <v>-0</v>
      </c>
    </row>
    <row r="288" customFormat="false" ht="14.35" hidden="false" customHeight="false" outlineLevel="0" collapsed="false">
      <c r="A288" s="4" t="n">
        <v>16496</v>
      </c>
      <c r="B288" s="15" t="n">
        <f aca="false">IF(C288&lt;=9,YEAR(A288),YEAR(A288)+1)</f>
        <v>1945</v>
      </c>
      <c r="C288" s="15" t="n">
        <f aca="false">MONTH(A288)</f>
        <v>2</v>
      </c>
      <c r="D288" s="15" t="n">
        <f aca="false">DAY(A288)</f>
        <v>28</v>
      </c>
      <c r="E288" s="15" t="n">
        <f aca="false">VLOOKUP(B288,WYT!$A$2:$L$97,12)</f>
        <v>1</v>
      </c>
      <c r="F288" s="15" t="n">
        <f aca="false">IF(C288=$W$5,1,0)</f>
        <v>1</v>
      </c>
      <c r="G288" s="15" t="n">
        <f aca="false">IF(C288=10,0,IF(F288=1,1,G287))</f>
        <v>1</v>
      </c>
      <c r="H288" s="5" t="n">
        <f aca="false">VA_base_426_data!B288</f>
        <v>1700</v>
      </c>
      <c r="I288" s="5" t="n">
        <f aca="false">IF(AND(E288=1,OR(C288=4,C288=5)),25*12.1/24/D288*1000,0)</f>
        <v>0</v>
      </c>
      <c r="J288" s="5" t="n">
        <f aca="false">VA_base_426_data!C288</f>
        <v>1700</v>
      </c>
      <c r="K288" s="5" t="n">
        <f aca="false">H288+I288-J288</f>
        <v>0</v>
      </c>
      <c r="L288" s="5" t="n">
        <f aca="false">MIN($W$7,J288+K288)</f>
        <v>1700</v>
      </c>
      <c r="M288" s="5" t="n">
        <f aca="false">VA_base_426_data!D288</f>
        <v>800</v>
      </c>
      <c r="N288" s="5" t="n">
        <f aca="false">IF(AND(C288=10,E288=1),$W$6,N287-P287)</f>
        <v>43</v>
      </c>
      <c r="O288" s="5" t="n">
        <f aca="false">IF(ABS(M288-L288)&gt;1,MIN(N288/((L288-M288)*24/12.1/1000),D288),D288)</f>
        <v>24.087962962963</v>
      </c>
      <c r="P288" s="5" t="n">
        <f aca="false">MIN(IF(AND(G288,E288),(L288-M288)*24/12.1*O288/1000,0),N288)</f>
        <v>43</v>
      </c>
      <c r="Q288" s="5" t="n">
        <f aca="false">IF(P288&gt;0,P288/O288*12.1/24*1000+M288,0)</f>
        <v>1700</v>
      </c>
      <c r="R288" s="0" t="n">
        <f aca="false">IF(Q288&gt;0,TRUNC(O288),0)</f>
        <v>24</v>
      </c>
      <c r="S288" s="5" t="n">
        <f aca="false">(M288*(D288-R288)+(Q288*R288))/D288</f>
        <v>1571.42857142857</v>
      </c>
      <c r="T288" s="6" t="n">
        <f aca="false">(Q288-M288)*R288*24/12.1/1000</f>
        <v>42.8429752066116</v>
      </c>
    </row>
    <row r="289" customFormat="false" ht="14.35" hidden="false" customHeight="false" outlineLevel="0" collapsed="false">
      <c r="A289" s="4" t="n">
        <v>16527</v>
      </c>
      <c r="B289" s="15" t="n">
        <f aca="false">IF(C289&lt;=9,YEAR(A289),YEAR(A289)+1)</f>
        <v>1945</v>
      </c>
      <c r="C289" s="15" t="n">
        <f aca="false">MONTH(A289)</f>
        <v>3</v>
      </c>
      <c r="D289" s="15" t="n">
        <f aca="false">DAY(A289)</f>
        <v>31</v>
      </c>
      <c r="E289" s="15" t="n">
        <f aca="false">VLOOKUP(B289,WYT!$A$2:$L$97,12)</f>
        <v>1</v>
      </c>
      <c r="F289" s="15" t="n">
        <f aca="false">IF(C289=$W$5,1,0)</f>
        <v>0</v>
      </c>
      <c r="G289" s="15" t="n">
        <f aca="false">IF(C289=10,0,IF(F289=1,1,G288))</f>
        <v>1</v>
      </c>
      <c r="H289" s="5" t="n">
        <f aca="false">VA_base_426_data!B289</f>
        <v>1700</v>
      </c>
      <c r="I289" s="5" t="n">
        <f aca="false">IF(AND(E289=1,OR(C289=4,C289=5)),25*12.1/24/D289*1000,0)</f>
        <v>0</v>
      </c>
      <c r="J289" s="5" t="n">
        <f aca="false">VA_base_426_data!C289</f>
        <v>1700</v>
      </c>
      <c r="K289" s="5" t="n">
        <f aca="false">H289+I289-J289</f>
        <v>0</v>
      </c>
      <c r="L289" s="5" t="n">
        <f aca="false">MIN($W$7,J289+K289)</f>
        <v>1700</v>
      </c>
      <c r="M289" s="5" t="n">
        <f aca="false">VA_base_426_data!D289</f>
        <v>800</v>
      </c>
      <c r="N289" s="5" t="n">
        <f aca="false">IF(AND(C289=10,E289=1),$W$6,N288-P288)</f>
        <v>0</v>
      </c>
      <c r="O289" s="5" t="n">
        <f aca="false">IF(ABS(M289-L289)&gt;1,MIN(N289/((L289-M289)*24/12.1/1000),D289),D289)</f>
        <v>0</v>
      </c>
      <c r="P289" s="5" t="n">
        <f aca="false">MIN(IF(AND(G289,E289),(L289-M289)*24/12.1*O289/1000,0),N289)</f>
        <v>0</v>
      </c>
      <c r="Q289" s="5" t="n">
        <f aca="false">IF(P289&gt;0,P289/O289*12.1/24*1000+M289,0)</f>
        <v>0</v>
      </c>
      <c r="R289" s="0" t="n">
        <f aca="false">IF(Q289&gt;0,TRUNC(O289),0)</f>
        <v>0</v>
      </c>
      <c r="S289" s="5" t="n">
        <f aca="false">(M289*(D289-R289)+(Q289*R289))/D289</f>
        <v>800</v>
      </c>
      <c r="T289" s="6" t="n">
        <f aca="false">(Q289-M289)*R289*24/12.1/1000</f>
        <v>-0</v>
      </c>
    </row>
    <row r="290" customFormat="false" ht="14.35" hidden="false" customHeight="false" outlineLevel="0" collapsed="false">
      <c r="A290" s="4" t="n">
        <v>16557</v>
      </c>
      <c r="B290" s="15" t="n">
        <f aca="false">IF(C290&lt;=9,YEAR(A290),YEAR(A290)+1)</f>
        <v>1945</v>
      </c>
      <c r="C290" s="15" t="n">
        <f aca="false">MONTH(A290)</f>
        <v>4</v>
      </c>
      <c r="D290" s="15" t="n">
        <f aca="false">DAY(A290)</f>
        <v>30</v>
      </c>
      <c r="E290" s="15" t="n">
        <f aca="false">VLOOKUP(B290,WYT!$A$2:$L$97,12)</f>
        <v>1</v>
      </c>
      <c r="F290" s="15" t="n">
        <f aca="false">IF(C290=$W$5,1,0)</f>
        <v>0</v>
      </c>
      <c r="G290" s="15" t="n">
        <f aca="false">IF(C290=10,0,IF(F290=1,1,G289))</f>
        <v>1</v>
      </c>
      <c r="H290" s="5" t="n">
        <f aca="false">VA_base_426_data!B290</f>
        <v>1000</v>
      </c>
      <c r="I290" s="5" t="n">
        <f aca="false">IF(AND(E290=1,OR(C290=4,C290=5)),25*12.1/24/D290*1000,0)</f>
        <v>420.138888888889</v>
      </c>
      <c r="J290" s="5" t="n">
        <f aca="false">VA_base_426_data!C290</f>
        <v>1000</v>
      </c>
      <c r="K290" s="5" t="n">
        <f aca="false">H290+I290-J290</f>
        <v>420.138888888889</v>
      </c>
      <c r="L290" s="5" t="n">
        <f aca="false">MIN($W$7,J290+K290)</f>
        <v>1420.13888888889</v>
      </c>
      <c r="M290" s="5" t="n">
        <f aca="false">VA_base_426_data!D290</f>
        <v>700</v>
      </c>
      <c r="N290" s="5" t="n">
        <f aca="false">IF(AND(C290=10,E290=1),$W$6,N289-P289)</f>
        <v>0</v>
      </c>
      <c r="O290" s="5" t="n">
        <f aca="false">IF(ABS(M290-L290)&gt;1,MIN(N290/((L290-M290)*24/12.1/1000),D290),D290)</f>
        <v>0</v>
      </c>
      <c r="P290" s="5" t="n">
        <f aca="false">MIN(IF(AND(G290,E290),(L290-M290)*24/12.1*O290/1000,0),N290)</f>
        <v>0</v>
      </c>
      <c r="Q290" s="5" t="n">
        <f aca="false">IF(P290&gt;0,P290/O290*12.1/24*1000+M290,0)</f>
        <v>0</v>
      </c>
      <c r="R290" s="0" t="n">
        <f aca="false">IF(Q290&gt;0,TRUNC(O290),0)</f>
        <v>0</v>
      </c>
      <c r="S290" s="5" t="n">
        <f aca="false">(M290*(D290-R290)+(Q290*R290))/D290</f>
        <v>700</v>
      </c>
      <c r="T290" s="6" t="n">
        <f aca="false">(Q290-M290)*R290*24/12.1/1000</f>
        <v>-0</v>
      </c>
    </row>
    <row r="291" customFormat="false" ht="14.35" hidden="false" customHeight="false" outlineLevel="0" collapsed="false">
      <c r="A291" s="4" t="n">
        <v>16588</v>
      </c>
      <c r="B291" s="15" t="n">
        <f aca="false">IF(C291&lt;=9,YEAR(A291),YEAR(A291)+1)</f>
        <v>1945</v>
      </c>
      <c r="C291" s="15" t="n">
        <f aca="false">MONTH(A291)</f>
        <v>5</v>
      </c>
      <c r="D291" s="15" t="n">
        <f aca="false">DAY(A291)</f>
        <v>31</v>
      </c>
      <c r="E291" s="15" t="n">
        <f aca="false">VLOOKUP(B291,WYT!$A$2:$L$97,12)</f>
        <v>1</v>
      </c>
      <c r="F291" s="15" t="n">
        <f aca="false">IF(C291=$W$5,1,0)</f>
        <v>0</v>
      </c>
      <c r="G291" s="15" t="n">
        <f aca="false">IF(C291=10,0,IF(F291=1,1,G290))</f>
        <v>1</v>
      </c>
      <c r="H291" s="5" t="n">
        <f aca="false">VA_base_426_data!B291</f>
        <v>1000</v>
      </c>
      <c r="I291" s="5" t="n">
        <f aca="false">IF(AND(E291=1,OR(C291=4,C291=5)),25*12.1/24/D291*1000,0)</f>
        <v>406.586021505376</v>
      </c>
      <c r="J291" s="5" t="n">
        <f aca="false">VA_base_426_data!C291</f>
        <v>1000</v>
      </c>
      <c r="K291" s="5" t="n">
        <f aca="false">H291+I291-J291</f>
        <v>406.586021505376</v>
      </c>
      <c r="L291" s="5" t="n">
        <f aca="false">MIN($W$7,J291+K291)</f>
        <v>1406.58602150538</v>
      </c>
      <c r="M291" s="5" t="n">
        <f aca="false">VA_base_426_data!D291</f>
        <v>700</v>
      </c>
      <c r="N291" s="5" t="n">
        <f aca="false">IF(AND(C291=10,E291=1),$W$6,N290-P290)</f>
        <v>0</v>
      </c>
      <c r="O291" s="5" t="n">
        <f aca="false">IF(ABS(M291-L291)&gt;1,MIN(N291/((L291-M291)*24/12.1/1000),D291),D291)</f>
        <v>0</v>
      </c>
      <c r="P291" s="5" t="n">
        <f aca="false">MIN(IF(AND(G291,E291),(L291-M291)*24/12.1*O291/1000,0),N291)</f>
        <v>0</v>
      </c>
      <c r="Q291" s="5" t="n">
        <f aca="false">IF(P291&gt;0,P291/O291*12.1/24*1000+M291,0)</f>
        <v>0</v>
      </c>
      <c r="R291" s="0" t="n">
        <f aca="false">IF(Q291&gt;0,TRUNC(O291),0)</f>
        <v>0</v>
      </c>
      <c r="S291" s="5" t="n">
        <f aca="false">(M291*(D291-R291)+(Q291*R291))/D291</f>
        <v>700</v>
      </c>
      <c r="T291" s="6" t="n">
        <f aca="false">(Q291-M291)*R291*24/12.1/1000</f>
        <v>-0</v>
      </c>
    </row>
    <row r="292" customFormat="false" ht="14.35" hidden="false" customHeight="false" outlineLevel="0" collapsed="false">
      <c r="A292" s="4" t="n">
        <v>16618</v>
      </c>
      <c r="B292" s="15" t="n">
        <f aca="false">IF(C292&lt;=9,YEAR(A292),YEAR(A292)+1)</f>
        <v>1945</v>
      </c>
      <c r="C292" s="15" t="n">
        <f aca="false">MONTH(A292)</f>
        <v>6</v>
      </c>
      <c r="D292" s="15" t="n">
        <f aca="false">DAY(A292)</f>
        <v>30</v>
      </c>
      <c r="E292" s="15" t="n">
        <f aca="false">VLOOKUP(B292,WYT!$A$2:$L$97,12)</f>
        <v>1</v>
      </c>
      <c r="F292" s="15" t="n">
        <f aca="false">IF(C292=$W$5,1,0)</f>
        <v>0</v>
      </c>
      <c r="G292" s="15" t="n">
        <f aca="false">IF(C292=10,0,IF(F292=1,1,G291))</f>
        <v>1</v>
      </c>
      <c r="H292" s="5" t="n">
        <f aca="false">VA_base_426_data!B292</f>
        <v>2826.02130715183</v>
      </c>
      <c r="I292" s="5" t="n">
        <f aca="false">IF(AND(E292=1,OR(C292=4,C292=5)),25*12.1/24/D292*1000,0)</f>
        <v>0</v>
      </c>
      <c r="J292" s="5" t="n">
        <f aca="false">VA_base_426_data!C292</f>
        <v>1000</v>
      </c>
      <c r="K292" s="5" t="n">
        <f aca="false">H292+I292-J292</f>
        <v>1826.02130715184</v>
      </c>
      <c r="L292" s="5" t="n">
        <f aca="false">MIN($W$7,J292+K292)</f>
        <v>2000</v>
      </c>
      <c r="M292" s="5" t="n">
        <f aca="false">VA_base_426_data!D292</f>
        <v>700</v>
      </c>
      <c r="N292" s="5" t="n">
        <f aca="false">IF(AND(C292=10,E292=1),$W$6,N291-P291)</f>
        <v>0</v>
      </c>
      <c r="O292" s="5" t="n">
        <f aca="false">IF(ABS(M292-L292)&gt;1,MIN(N292/((L292-M292)*24/12.1/1000),D292),D292)</f>
        <v>0</v>
      </c>
      <c r="P292" s="5" t="n">
        <f aca="false">MIN(IF(AND(G292,E292),(L292-M292)*24/12.1*O292/1000,0),N292)</f>
        <v>0</v>
      </c>
      <c r="Q292" s="5" t="n">
        <f aca="false">IF(P292&gt;0,P292/O292*12.1/24*1000+M292,0)</f>
        <v>0</v>
      </c>
      <c r="R292" s="0" t="n">
        <f aca="false">IF(Q292&gt;0,TRUNC(O292),0)</f>
        <v>0</v>
      </c>
      <c r="S292" s="5" t="n">
        <f aca="false">(M292*(D292-R292)+(Q292*R292))/D292</f>
        <v>700</v>
      </c>
      <c r="T292" s="6" t="n">
        <f aca="false">(Q292-M292)*R292*24/12.1/1000</f>
        <v>-0</v>
      </c>
    </row>
    <row r="293" customFormat="false" ht="14.35" hidden="false" customHeight="false" outlineLevel="0" collapsed="false">
      <c r="A293" s="4" t="n">
        <v>16649</v>
      </c>
      <c r="B293" s="15" t="n">
        <f aca="false">IF(C293&lt;=9,YEAR(A293),YEAR(A293)+1)</f>
        <v>1945</v>
      </c>
      <c r="C293" s="15" t="n">
        <f aca="false">MONTH(A293)</f>
        <v>7</v>
      </c>
      <c r="D293" s="15" t="n">
        <f aca="false">DAY(A293)</f>
        <v>31</v>
      </c>
      <c r="E293" s="15" t="n">
        <f aca="false">VLOOKUP(B293,WYT!$A$2:$L$97,12)</f>
        <v>1</v>
      </c>
      <c r="F293" s="15" t="n">
        <f aca="false">IF(C293=$W$5,1,0)</f>
        <v>0</v>
      </c>
      <c r="G293" s="15" t="n">
        <f aca="false">IF(C293=10,0,IF(F293=1,1,G292))</f>
        <v>1</v>
      </c>
      <c r="H293" s="5" t="n">
        <f aca="false">VA_base_426_data!B293</f>
        <v>8860.12287876935</v>
      </c>
      <c r="I293" s="5" t="n">
        <f aca="false">IF(AND(E293=1,OR(C293=4,C293=5)),25*12.1/24/D293*1000,0)</f>
        <v>0</v>
      </c>
      <c r="J293" s="5" t="n">
        <f aca="false">VA_base_426_data!C293</f>
        <v>1000</v>
      </c>
      <c r="K293" s="5" t="n">
        <f aca="false">H293+I293-J293</f>
        <v>7860.12287876935</v>
      </c>
      <c r="L293" s="5" t="n">
        <f aca="false">MIN($W$7,J293+K293)</f>
        <v>2000</v>
      </c>
      <c r="M293" s="5" t="n">
        <f aca="false">VA_base_426_data!D293</f>
        <v>700</v>
      </c>
      <c r="N293" s="5" t="n">
        <f aca="false">IF(AND(C293=10,E293=1),$W$6,N292-P292)</f>
        <v>0</v>
      </c>
      <c r="O293" s="5" t="n">
        <f aca="false">IF(ABS(M293-L293)&gt;1,MIN(N293/((L293-M293)*24/12.1/1000),D293),D293)</f>
        <v>0</v>
      </c>
      <c r="P293" s="5" t="n">
        <f aca="false">MIN(IF(AND(G293,E293),(L293-M293)*24/12.1*O293/1000,0),N293)</f>
        <v>0</v>
      </c>
      <c r="Q293" s="5" t="n">
        <f aca="false">IF(P293&gt;0,P293/O293*12.1/24*1000+M293,0)</f>
        <v>0</v>
      </c>
      <c r="R293" s="0" t="n">
        <f aca="false">IF(Q293&gt;0,TRUNC(O293),0)</f>
        <v>0</v>
      </c>
      <c r="S293" s="5" t="n">
        <f aca="false">(M293*(D293-R293)+(Q293*R293))/D293</f>
        <v>700</v>
      </c>
      <c r="T293" s="6" t="n">
        <f aca="false">(Q293-M293)*R293*24/12.1/1000</f>
        <v>-0</v>
      </c>
    </row>
    <row r="294" customFormat="false" ht="14.35" hidden="false" customHeight="false" outlineLevel="0" collapsed="false">
      <c r="A294" s="4" t="n">
        <v>16680</v>
      </c>
      <c r="B294" s="15" t="n">
        <f aca="false">IF(C294&lt;=9,YEAR(A294),YEAR(A294)+1)</f>
        <v>1945</v>
      </c>
      <c r="C294" s="15" t="n">
        <f aca="false">MONTH(A294)</f>
        <v>8</v>
      </c>
      <c r="D294" s="15" t="n">
        <f aca="false">DAY(A294)</f>
        <v>31</v>
      </c>
      <c r="E294" s="15" t="n">
        <f aca="false">VLOOKUP(B294,WYT!$A$2:$L$97,12)</f>
        <v>1</v>
      </c>
      <c r="F294" s="15" t="n">
        <f aca="false">IF(C294=$W$5,1,0)</f>
        <v>0</v>
      </c>
      <c r="G294" s="15" t="n">
        <f aca="false">IF(C294=10,0,IF(F294=1,1,G293))</f>
        <v>1</v>
      </c>
      <c r="H294" s="5" t="n">
        <f aca="false">VA_base_426_data!B294</f>
        <v>7813.84743060042</v>
      </c>
      <c r="I294" s="5" t="n">
        <f aca="false">IF(AND(E294=1,OR(C294=4,C294=5)),25*12.1/24/D294*1000,0)</f>
        <v>0</v>
      </c>
      <c r="J294" s="5" t="n">
        <f aca="false">VA_base_426_data!C294</f>
        <v>1000</v>
      </c>
      <c r="K294" s="5" t="n">
        <f aca="false">H294+I294-J294</f>
        <v>6813.84743060042</v>
      </c>
      <c r="L294" s="5" t="n">
        <f aca="false">MIN($W$7,J294+K294)</f>
        <v>2000</v>
      </c>
      <c r="M294" s="5" t="n">
        <f aca="false">VA_base_426_data!D294</f>
        <v>700</v>
      </c>
      <c r="N294" s="5" t="n">
        <f aca="false">IF(AND(C294=10,E294=1),$W$6,N293-P293)</f>
        <v>0</v>
      </c>
      <c r="O294" s="5" t="n">
        <f aca="false">IF(ABS(M294-L294)&gt;1,MIN(N294/((L294-M294)*24/12.1/1000),D294),D294)</f>
        <v>0</v>
      </c>
      <c r="P294" s="5" t="n">
        <f aca="false">MIN(IF(AND(G294,E294),(L294-M294)*24/12.1*O294/1000,0),N294)</f>
        <v>0</v>
      </c>
      <c r="Q294" s="5" t="n">
        <f aca="false">IF(P294&gt;0,P294/O294*12.1/24*1000+M294,0)</f>
        <v>0</v>
      </c>
      <c r="R294" s="0" t="n">
        <f aca="false">IF(Q294&gt;0,TRUNC(O294),0)</f>
        <v>0</v>
      </c>
      <c r="S294" s="5" t="n">
        <f aca="false">(M294*(D294-R294)+(Q294*R294))/D294</f>
        <v>700</v>
      </c>
      <c r="T294" s="6" t="n">
        <f aca="false">(Q294-M294)*R294*24/12.1/1000</f>
        <v>-0</v>
      </c>
    </row>
    <row r="295" customFormat="false" ht="14.35" hidden="false" customHeight="false" outlineLevel="0" collapsed="false">
      <c r="A295" s="4" t="n">
        <v>16710</v>
      </c>
      <c r="B295" s="15" t="n">
        <f aca="false">IF(C295&lt;=9,YEAR(A295),YEAR(A295)+1)</f>
        <v>1945</v>
      </c>
      <c r="C295" s="15" t="n">
        <f aca="false">MONTH(A295)</f>
        <v>9</v>
      </c>
      <c r="D295" s="15" t="n">
        <f aca="false">DAY(A295)</f>
        <v>30</v>
      </c>
      <c r="E295" s="15" t="n">
        <f aca="false">VLOOKUP(B295,WYT!$A$2:$L$97,12)</f>
        <v>1</v>
      </c>
      <c r="F295" s="15" t="n">
        <f aca="false">IF(C295=$W$5,1,0)</f>
        <v>0</v>
      </c>
      <c r="G295" s="15" t="n">
        <f aca="false">IF(C295=10,0,IF(F295=1,1,G294))</f>
        <v>1</v>
      </c>
      <c r="H295" s="5" t="n">
        <f aca="false">VA_base_426_data!B295</f>
        <v>1405.91779142264</v>
      </c>
      <c r="I295" s="5" t="n">
        <f aca="false">IF(AND(E295=1,OR(C295=4,C295=5)),25*12.1/24/D295*1000,0)</f>
        <v>0</v>
      </c>
      <c r="J295" s="5" t="n">
        <f aca="false">VA_base_426_data!C295</f>
        <v>1000</v>
      </c>
      <c r="K295" s="5" t="n">
        <f aca="false">H295+I295-J295</f>
        <v>405.917791422639</v>
      </c>
      <c r="L295" s="5" t="n">
        <f aca="false">MIN($W$7,J295+K295)</f>
        <v>1405.91779142264</v>
      </c>
      <c r="M295" s="5" t="n">
        <f aca="false">VA_base_426_data!D295</f>
        <v>773.3333333</v>
      </c>
      <c r="N295" s="5" t="n">
        <f aca="false">IF(AND(C295=10,E295=1),$W$6,N294-P294)</f>
        <v>0</v>
      </c>
      <c r="O295" s="5" t="n">
        <f aca="false">IF(ABS(M295-L295)&gt;1,MIN(N295/((L295-M295)*24/12.1/1000),D295),D295)</f>
        <v>0</v>
      </c>
      <c r="P295" s="5" t="n">
        <f aca="false">MIN(IF(AND(G295,E295),(L295-M295)*24/12.1*O295/1000,0),N295)</f>
        <v>0</v>
      </c>
      <c r="Q295" s="5" t="n">
        <f aca="false">IF(P295&gt;0,P295/O295*12.1/24*1000+M295,0)</f>
        <v>0</v>
      </c>
      <c r="R295" s="0" t="n">
        <f aca="false">IF(Q295&gt;0,TRUNC(O295),0)</f>
        <v>0</v>
      </c>
      <c r="S295" s="5" t="n">
        <f aca="false">(M295*(D295-R295)+(Q295*R295))/D295</f>
        <v>773.3333333</v>
      </c>
      <c r="T295" s="6" t="n">
        <f aca="false">(Q295-M295)*R295*24/12.1/1000</f>
        <v>-0</v>
      </c>
    </row>
    <row r="296" customFormat="false" ht="14.35" hidden="false" customHeight="false" outlineLevel="0" collapsed="false">
      <c r="A296" s="4" t="n">
        <v>16741</v>
      </c>
      <c r="B296" s="15" t="n">
        <f aca="false">IF(C296&lt;=9,YEAR(A296),YEAR(A296)+1)</f>
        <v>1946</v>
      </c>
      <c r="C296" s="15" t="n">
        <f aca="false">MONTH(A296)</f>
        <v>10</v>
      </c>
      <c r="D296" s="15" t="n">
        <f aca="false">DAY(A296)</f>
        <v>31</v>
      </c>
      <c r="E296" s="15" t="n">
        <f aca="false">VLOOKUP(B296,WYT!$A$2:$L$97,12)</f>
        <v>1</v>
      </c>
      <c r="F296" s="15" t="n">
        <f aca="false">IF(C296=$W$5,1,0)</f>
        <v>0</v>
      </c>
      <c r="G296" s="15" t="n">
        <f aca="false">IF(C296=10,0,IF(F296=1,1,G295))</f>
        <v>0</v>
      </c>
      <c r="H296" s="5" t="n">
        <f aca="false">VA_base_426_data!B296</f>
        <v>1903.26880925887</v>
      </c>
      <c r="I296" s="5" t="n">
        <f aca="false">IF(AND(E296=1,OR(C296=4,C296=5)),25*12.1/24/D296*1000,0)</f>
        <v>0</v>
      </c>
      <c r="J296" s="5" t="n">
        <f aca="false">VA_base_426_data!C296</f>
        <v>1700</v>
      </c>
      <c r="K296" s="5" t="n">
        <f aca="false">H296+I296-J296</f>
        <v>203.268809258869</v>
      </c>
      <c r="L296" s="5" t="n">
        <f aca="false">MIN($W$7,J296+K296)</f>
        <v>1903.26880925887</v>
      </c>
      <c r="M296" s="5" t="n">
        <f aca="false">VA_base_426_data!D296</f>
        <v>800</v>
      </c>
      <c r="N296" s="5" t="n">
        <f aca="false">IF(AND(C296=10,E296=1),$W$6,N295-P295)</f>
        <v>43</v>
      </c>
      <c r="O296" s="5" t="n">
        <f aca="false">IF(ABS(M296-L296)&gt;1,MIN(N296/((L296-M296)*24/12.1/1000),D296),D296)</f>
        <v>19.6499406896401</v>
      </c>
      <c r="P296" s="5" t="n">
        <f aca="false">MIN(IF(AND(G296,E296),(L296-M296)*24/12.1*O296/1000,0),N296)</f>
        <v>0</v>
      </c>
      <c r="Q296" s="5" t="n">
        <f aca="false">IF(P296&gt;0,P296/O296*12.1/24*1000+M296,0)</f>
        <v>0</v>
      </c>
      <c r="R296" s="0" t="n">
        <f aca="false">IF(Q296&gt;0,TRUNC(O296),0)</f>
        <v>0</v>
      </c>
      <c r="S296" s="5" t="n">
        <f aca="false">(M296*(D296-R296)+(Q296*R296))/D296</f>
        <v>800</v>
      </c>
      <c r="T296" s="6" t="n">
        <f aca="false">(Q296-M296)*R296*24/12.1/1000</f>
        <v>-0</v>
      </c>
    </row>
    <row r="297" customFormat="false" ht="14.35" hidden="false" customHeight="false" outlineLevel="0" collapsed="false">
      <c r="A297" s="4" t="n">
        <v>16771</v>
      </c>
      <c r="B297" s="15" t="n">
        <f aca="false">IF(C297&lt;=9,YEAR(A297),YEAR(A297)+1)</f>
        <v>1946</v>
      </c>
      <c r="C297" s="15" t="n">
        <f aca="false">MONTH(A297)</f>
        <v>11</v>
      </c>
      <c r="D297" s="15" t="n">
        <f aca="false">DAY(A297)</f>
        <v>30</v>
      </c>
      <c r="E297" s="15" t="n">
        <f aca="false">VLOOKUP(B297,WYT!$A$2:$L$97,12)</f>
        <v>1</v>
      </c>
      <c r="F297" s="15" t="n">
        <f aca="false">IF(C297=$W$5,1,0)</f>
        <v>0</v>
      </c>
      <c r="G297" s="15" t="n">
        <f aca="false">IF(C297=10,0,IF(F297=1,1,G296))</f>
        <v>0</v>
      </c>
      <c r="H297" s="5" t="n">
        <f aca="false">VA_base_426_data!B297</f>
        <v>1700</v>
      </c>
      <c r="I297" s="5" t="n">
        <f aca="false">IF(AND(E297=1,OR(C297=4,C297=5)),25*12.1/24/D297*1000,0)</f>
        <v>0</v>
      </c>
      <c r="J297" s="5" t="n">
        <f aca="false">VA_base_426_data!C297</f>
        <v>1700</v>
      </c>
      <c r="K297" s="5" t="n">
        <f aca="false">H297+I297-J297</f>
        <v>0</v>
      </c>
      <c r="L297" s="5" t="n">
        <f aca="false">MIN($W$7,J297+K297)</f>
        <v>1700</v>
      </c>
      <c r="M297" s="5" t="n">
        <f aca="false">VA_base_426_data!D297</f>
        <v>800</v>
      </c>
      <c r="N297" s="5" t="n">
        <f aca="false">IF(AND(C297=10,E297=1),$W$6,N296-P296)</f>
        <v>43</v>
      </c>
      <c r="O297" s="5" t="n">
        <f aca="false">IF(ABS(M297-L297)&gt;1,MIN(N297/((L297-M297)*24/12.1/1000),D297),D297)</f>
        <v>24.087962962963</v>
      </c>
      <c r="P297" s="5" t="n">
        <f aca="false">MIN(IF(AND(G297,E297),(L297-M297)*24/12.1*O297/1000,0),N297)</f>
        <v>0</v>
      </c>
      <c r="Q297" s="5" t="n">
        <f aca="false">IF(P297&gt;0,P297/O297*12.1/24*1000+M297,0)</f>
        <v>0</v>
      </c>
      <c r="R297" s="0" t="n">
        <f aca="false">IF(Q297&gt;0,TRUNC(O297),0)</f>
        <v>0</v>
      </c>
      <c r="S297" s="5" t="n">
        <f aca="false">(M297*(D297-R297)+(Q297*R297))/D297</f>
        <v>800</v>
      </c>
      <c r="T297" s="6" t="n">
        <f aca="false">(Q297-M297)*R297*24/12.1/1000</f>
        <v>-0</v>
      </c>
    </row>
    <row r="298" customFormat="false" ht="14.35" hidden="false" customHeight="false" outlineLevel="0" collapsed="false">
      <c r="A298" s="4" t="n">
        <v>16802</v>
      </c>
      <c r="B298" s="15" t="n">
        <f aca="false">IF(C298&lt;=9,YEAR(A298),YEAR(A298)+1)</f>
        <v>1946</v>
      </c>
      <c r="C298" s="15" t="n">
        <f aca="false">MONTH(A298)</f>
        <v>12</v>
      </c>
      <c r="D298" s="15" t="n">
        <f aca="false">DAY(A298)</f>
        <v>31</v>
      </c>
      <c r="E298" s="15" t="n">
        <f aca="false">VLOOKUP(B298,WYT!$A$2:$L$97,12)</f>
        <v>1</v>
      </c>
      <c r="F298" s="15" t="n">
        <f aca="false">IF(C298=$W$5,1,0)</f>
        <v>0</v>
      </c>
      <c r="G298" s="15" t="n">
        <f aca="false">IF(C298=10,0,IF(F298=1,1,G297))</f>
        <v>0</v>
      </c>
      <c r="H298" s="5" t="n">
        <f aca="false">VA_base_426_data!B298</f>
        <v>1700</v>
      </c>
      <c r="I298" s="5" t="n">
        <f aca="false">IF(AND(E298=1,OR(C298=4,C298=5)),25*12.1/24/D298*1000,0)</f>
        <v>0</v>
      </c>
      <c r="J298" s="5" t="n">
        <f aca="false">VA_base_426_data!C298</f>
        <v>1700</v>
      </c>
      <c r="K298" s="5" t="n">
        <f aca="false">H298+I298-J298</f>
        <v>0</v>
      </c>
      <c r="L298" s="5" t="n">
        <f aca="false">MIN($W$7,J298+K298)</f>
        <v>1700</v>
      </c>
      <c r="M298" s="5" t="n">
        <f aca="false">VA_base_426_data!D298</f>
        <v>800</v>
      </c>
      <c r="N298" s="5" t="n">
        <f aca="false">IF(AND(C298=10,E298=1),$W$6,N297-P297)</f>
        <v>43</v>
      </c>
      <c r="O298" s="5" t="n">
        <f aca="false">IF(ABS(M298-L298)&gt;1,MIN(N298/((L298-M298)*24/12.1/1000),D298),D298)</f>
        <v>24.087962962963</v>
      </c>
      <c r="P298" s="5" t="n">
        <f aca="false">MIN(IF(AND(G298,E298),(L298-M298)*24/12.1*O298/1000,0),N298)</f>
        <v>0</v>
      </c>
      <c r="Q298" s="5" t="n">
        <f aca="false">IF(P298&gt;0,P298/O298*12.1/24*1000+M298,0)</f>
        <v>0</v>
      </c>
      <c r="R298" s="0" t="n">
        <f aca="false">IF(Q298&gt;0,TRUNC(O298),0)</f>
        <v>0</v>
      </c>
      <c r="S298" s="5" t="n">
        <f aca="false">(M298*(D298-R298)+(Q298*R298))/D298</f>
        <v>800</v>
      </c>
      <c r="T298" s="6" t="n">
        <f aca="false">(Q298-M298)*R298*24/12.1/1000</f>
        <v>-0</v>
      </c>
    </row>
    <row r="299" customFormat="false" ht="14.35" hidden="false" customHeight="false" outlineLevel="0" collapsed="false">
      <c r="A299" s="4" t="n">
        <v>16833</v>
      </c>
      <c r="B299" s="15" t="n">
        <f aca="false">IF(C299&lt;=9,YEAR(A299),YEAR(A299)+1)</f>
        <v>1946</v>
      </c>
      <c r="C299" s="15" t="n">
        <f aca="false">MONTH(A299)</f>
        <v>1</v>
      </c>
      <c r="D299" s="15" t="n">
        <f aca="false">DAY(A299)</f>
        <v>31</v>
      </c>
      <c r="E299" s="15" t="n">
        <f aca="false">VLOOKUP(B299,WYT!$A$2:$L$97,12)</f>
        <v>1</v>
      </c>
      <c r="F299" s="15" t="n">
        <f aca="false">IF(C299=$W$5,1,0)</f>
        <v>0</v>
      </c>
      <c r="G299" s="15" t="n">
        <f aca="false">IF(C299=10,0,IF(F299=1,1,G298))</f>
        <v>0</v>
      </c>
      <c r="H299" s="5" t="n">
        <f aca="false">VA_base_426_data!B299</f>
        <v>1700</v>
      </c>
      <c r="I299" s="5" t="n">
        <f aca="false">IF(AND(E299=1,OR(C299=4,C299=5)),25*12.1/24/D299*1000,0)</f>
        <v>0</v>
      </c>
      <c r="J299" s="5" t="n">
        <f aca="false">VA_base_426_data!C299</f>
        <v>1700</v>
      </c>
      <c r="K299" s="5" t="n">
        <f aca="false">H299+I299-J299</f>
        <v>0</v>
      </c>
      <c r="L299" s="5" t="n">
        <f aca="false">MIN($W$7,J299+K299)</f>
        <v>1700</v>
      </c>
      <c r="M299" s="5" t="n">
        <f aca="false">VA_base_426_data!D299</f>
        <v>800</v>
      </c>
      <c r="N299" s="5" t="n">
        <f aca="false">IF(AND(C299=10,E299=1),$W$6,N298-P298)</f>
        <v>43</v>
      </c>
      <c r="O299" s="5" t="n">
        <f aca="false">IF(ABS(M299-L299)&gt;1,MIN(N299/((L299-M299)*24/12.1/1000),D299),D299)</f>
        <v>24.087962962963</v>
      </c>
      <c r="P299" s="5" t="n">
        <f aca="false">MIN(IF(AND(G299,E299),(L299-M299)*24/12.1*O299/1000,0),N299)</f>
        <v>0</v>
      </c>
      <c r="Q299" s="5" t="n">
        <f aca="false">IF(P299&gt;0,P299/O299*12.1/24*1000+M299,0)</f>
        <v>0</v>
      </c>
      <c r="R299" s="0" t="n">
        <f aca="false">IF(Q299&gt;0,TRUNC(O299),0)</f>
        <v>0</v>
      </c>
      <c r="S299" s="5" t="n">
        <f aca="false">(M299*(D299-R299)+(Q299*R299))/D299</f>
        <v>800</v>
      </c>
      <c r="T299" s="6" t="n">
        <f aca="false">(Q299-M299)*R299*24/12.1/1000</f>
        <v>-0</v>
      </c>
    </row>
    <row r="300" customFormat="false" ht="14.35" hidden="false" customHeight="false" outlineLevel="0" collapsed="false">
      <c r="A300" s="4" t="n">
        <v>16861</v>
      </c>
      <c r="B300" s="15" t="n">
        <f aca="false">IF(C300&lt;=9,YEAR(A300),YEAR(A300)+1)</f>
        <v>1946</v>
      </c>
      <c r="C300" s="15" t="n">
        <f aca="false">MONTH(A300)</f>
        <v>2</v>
      </c>
      <c r="D300" s="15" t="n">
        <f aca="false">DAY(A300)</f>
        <v>28</v>
      </c>
      <c r="E300" s="15" t="n">
        <f aca="false">VLOOKUP(B300,WYT!$A$2:$L$97,12)</f>
        <v>1</v>
      </c>
      <c r="F300" s="15" t="n">
        <f aca="false">IF(C300=$W$5,1,0)</f>
        <v>1</v>
      </c>
      <c r="G300" s="15" t="n">
        <f aca="false">IF(C300=10,0,IF(F300=1,1,G299))</f>
        <v>1</v>
      </c>
      <c r="H300" s="5" t="n">
        <f aca="false">VA_base_426_data!B300</f>
        <v>1700</v>
      </c>
      <c r="I300" s="5" t="n">
        <f aca="false">IF(AND(E300=1,OR(C300=4,C300=5)),25*12.1/24/D300*1000,0)</f>
        <v>0</v>
      </c>
      <c r="J300" s="5" t="n">
        <f aca="false">VA_base_426_data!C300</f>
        <v>1700</v>
      </c>
      <c r="K300" s="5" t="n">
        <f aca="false">H300+I300-J300</f>
        <v>0</v>
      </c>
      <c r="L300" s="5" t="n">
        <f aca="false">MIN($W$7,J300+K300)</f>
        <v>1700</v>
      </c>
      <c r="M300" s="5" t="n">
        <f aca="false">VA_base_426_data!D300</f>
        <v>800</v>
      </c>
      <c r="N300" s="5" t="n">
        <f aca="false">IF(AND(C300=10,E300=1),$W$6,N299-P299)</f>
        <v>43</v>
      </c>
      <c r="O300" s="5" t="n">
        <f aca="false">IF(ABS(M300-L300)&gt;1,MIN(N300/((L300-M300)*24/12.1/1000),D300),D300)</f>
        <v>24.087962962963</v>
      </c>
      <c r="P300" s="5" t="n">
        <f aca="false">MIN(IF(AND(G300,E300),(L300-M300)*24/12.1*O300/1000,0),N300)</f>
        <v>43</v>
      </c>
      <c r="Q300" s="5" t="n">
        <f aca="false">IF(P300&gt;0,P300/O300*12.1/24*1000+M300,0)</f>
        <v>1700</v>
      </c>
      <c r="R300" s="0" t="n">
        <f aca="false">IF(Q300&gt;0,TRUNC(O300),0)</f>
        <v>24</v>
      </c>
      <c r="S300" s="5" t="n">
        <f aca="false">(M300*(D300-R300)+(Q300*R300))/D300</f>
        <v>1571.42857142857</v>
      </c>
      <c r="T300" s="6" t="n">
        <f aca="false">(Q300-M300)*R300*24/12.1/1000</f>
        <v>42.8429752066116</v>
      </c>
    </row>
    <row r="301" customFormat="false" ht="14.35" hidden="false" customHeight="false" outlineLevel="0" collapsed="false">
      <c r="A301" s="4" t="n">
        <v>16892</v>
      </c>
      <c r="B301" s="15" t="n">
        <f aca="false">IF(C301&lt;=9,YEAR(A301),YEAR(A301)+1)</f>
        <v>1946</v>
      </c>
      <c r="C301" s="15" t="n">
        <f aca="false">MONTH(A301)</f>
        <v>3</v>
      </c>
      <c r="D301" s="15" t="n">
        <f aca="false">DAY(A301)</f>
        <v>31</v>
      </c>
      <c r="E301" s="15" t="n">
        <f aca="false">VLOOKUP(B301,WYT!$A$2:$L$97,12)</f>
        <v>1</v>
      </c>
      <c r="F301" s="15" t="n">
        <f aca="false">IF(C301=$W$5,1,0)</f>
        <v>0</v>
      </c>
      <c r="G301" s="15" t="n">
        <f aca="false">IF(C301=10,0,IF(F301=1,1,G300))</f>
        <v>1</v>
      </c>
      <c r="H301" s="5" t="n">
        <f aca="false">VA_base_426_data!B301</f>
        <v>1700</v>
      </c>
      <c r="I301" s="5" t="n">
        <f aca="false">IF(AND(E301=1,OR(C301=4,C301=5)),25*12.1/24/D301*1000,0)</f>
        <v>0</v>
      </c>
      <c r="J301" s="5" t="n">
        <f aca="false">VA_base_426_data!C301</f>
        <v>1700</v>
      </c>
      <c r="K301" s="5" t="n">
        <f aca="false">H301+I301-J301</f>
        <v>0</v>
      </c>
      <c r="L301" s="5" t="n">
        <f aca="false">MIN($W$7,J301+K301)</f>
        <v>1700</v>
      </c>
      <c r="M301" s="5" t="n">
        <f aca="false">VA_base_426_data!D301</f>
        <v>800</v>
      </c>
      <c r="N301" s="5" t="n">
        <f aca="false">IF(AND(C301=10,E301=1),$W$6,N300-P300)</f>
        <v>0</v>
      </c>
      <c r="O301" s="5" t="n">
        <f aca="false">IF(ABS(M301-L301)&gt;1,MIN(N301/((L301-M301)*24/12.1/1000),D301),D301)</f>
        <v>0</v>
      </c>
      <c r="P301" s="5" t="n">
        <f aca="false">MIN(IF(AND(G301,E301),(L301-M301)*24/12.1*O301/1000,0),N301)</f>
        <v>0</v>
      </c>
      <c r="Q301" s="5" t="n">
        <f aca="false">IF(P301&gt;0,P301/O301*12.1/24*1000+M301,0)</f>
        <v>0</v>
      </c>
      <c r="R301" s="0" t="n">
        <f aca="false">IF(Q301&gt;0,TRUNC(O301),0)</f>
        <v>0</v>
      </c>
      <c r="S301" s="5" t="n">
        <f aca="false">(M301*(D301-R301)+(Q301*R301))/D301</f>
        <v>800</v>
      </c>
      <c r="T301" s="6" t="n">
        <f aca="false">(Q301-M301)*R301*24/12.1/1000</f>
        <v>-0</v>
      </c>
    </row>
    <row r="302" customFormat="false" ht="14.35" hidden="false" customHeight="false" outlineLevel="0" collapsed="false">
      <c r="A302" s="4" t="n">
        <v>16922</v>
      </c>
      <c r="B302" s="15" t="n">
        <f aca="false">IF(C302&lt;=9,YEAR(A302),YEAR(A302)+1)</f>
        <v>1946</v>
      </c>
      <c r="C302" s="15" t="n">
        <f aca="false">MONTH(A302)</f>
        <v>4</v>
      </c>
      <c r="D302" s="15" t="n">
        <f aca="false">DAY(A302)</f>
        <v>30</v>
      </c>
      <c r="E302" s="15" t="n">
        <f aca="false">VLOOKUP(B302,WYT!$A$2:$L$97,12)</f>
        <v>1</v>
      </c>
      <c r="F302" s="15" t="n">
        <f aca="false">IF(C302=$W$5,1,0)</f>
        <v>0</v>
      </c>
      <c r="G302" s="15" t="n">
        <f aca="false">IF(C302=10,0,IF(F302=1,1,G301))</f>
        <v>1</v>
      </c>
      <c r="H302" s="5" t="n">
        <f aca="false">VA_base_426_data!B302</f>
        <v>1000</v>
      </c>
      <c r="I302" s="5" t="n">
        <f aca="false">IF(AND(E302=1,OR(C302=4,C302=5)),25*12.1/24/D302*1000,0)</f>
        <v>420.138888888889</v>
      </c>
      <c r="J302" s="5" t="n">
        <f aca="false">VA_base_426_data!C302</f>
        <v>1000</v>
      </c>
      <c r="K302" s="5" t="n">
        <f aca="false">H302+I302-J302</f>
        <v>420.138888888889</v>
      </c>
      <c r="L302" s="5" t="n">
        <f aca="false">MIN($W$7,J302+K302)</f>
        <v>1420.13888888889</v>
      </c>
      <c r="M302" s="5" t="n">
        <f aca="false">VA_base_426_data!D302</f>
        <v>700</v>
      </c>
      <c r="N302" s="5" t="n">
        <f aca="false">IF(AND(C302=10,E302=1),$W$6,N301-P301)</f>
        <v>0</v>
      </c>
      <c r="O302" s="5" t="n">
        <f aca="false">IF(ABS(M302-L302)&gt;1,MIN(N302/((L302-M302)*24/12.1/1000),D302),D302)</f>
        <v>0</v>
      </c>
      <c r="P302" s="5" t="n">
        <f aca="false">MIN(IF(AND(G302,E302),(L302-M302)*24/12.1*O302/1000,0),N302)</f>
        <v>0</v>
      </c>
      <c r="Q302" s="5" t="n">
        <f aca="false">IF(P302&gt;0,P302/O302*12.1/24*1000+M302,0)</f>
        <v>0</v>
      </c>
      <c r="R302" s="0" t="n">
        <f aca="false">IF(Q302&gt;0,TRUNC(O302),0)</f>
        <v>0</v>
      </c>
      <c r="S302" s="5" t="n">
        <f aca="false">(M302*(D302-R302)+(Q302*R302))/D302</f>
        <v>700</v>
      </c>
      <c r="T302" s="6" t="n">
        <f aca="false">(Q302-M302)*R302*24/12.1/1000</f>
        <v>-0</v>
      </c>
    </row>
    <row r="303" customFormat="false" ht="14.35" hidden="false" customHeight="false" outlineLevel="0" collapsed="false">
      <c r="A303" s="4" t="n">
        <v>16953</v>
      </c>
      <c r="B303" s="15" t="n">
        <f aca="false">IF(C303&lt;=9,YEAR(A303),YEAR(A303)+1)</f>
        <v>1946</v>
      </c>
      <c r="C303" s="15" t="n">
        <f aca="false">MONTH(A303)</f>
        <v>5</v>
      </c>
      <c r="D303" s="15" t="n">
        <f aca="false">DAY(A303)</f>
        <v>31</v>
      </c>
      <c r="E303" s="15" t="n">
        <f aca="false">VLOOKUP(B303,WYT!$A$2:$L$97,12)</f>
        <v>1</v>
      </c>
      <c r="F303" s="15" t="n">
        <f aca="false">IF(C303=$W$5,1,0)</f>
        <v>0</v>
      </c>
      <c r="G303" s="15" t="n">
        <f aca="false">IF(C303=10,0,IF(F303=1,1,G302))</f>
        <v>1</v>
      </c>
      <c r="H303" s="5" t="n">
        <f aca="false">VA_base_426_data!B303</f>
        <v>1000</v>
      </c>
      <c r="I303" s="5" t="n">
        <f aca="false">IF(AND(E303=1,OR(C303=4,C303=5)),25*12.1/24/D303*1000,0)</f>
        <v>406.586021505376</v>
      </c>
      <c r="J303" s="5" t="n">
        <f aca="false">VA_base_426_data!C303</f>
        <v>1000</v>
      </c>
      <c r="K303" s="5" t="n">
        <f aca="false">H303+I303-J303</f>
        <v>406.586021505376</v>
      </c>
      <c r="L303" s="5" t="n">
        <f aca="false">MIN($W$7,J303+K303)</f>
        <v>1406.58602150538</v>
      </c>
      <c r="M303" s="5" t="n">
        <f aca="false">VA_base_426_data!D303</f>
        <v>700</v>
      </c>
      <c r="N303" s="5" t="n">
        <f aca="false">IF(AND(C303=10,E303=1),$W$6,N302-P302)</f>
        <v>0</v>
      </c>
      <c r="O303" s="5" t="n">
        <f aca="false">IF(ABS(M303-L303)&gt;1,MIN(N303/((L303-M303)*24/12.1/1000),D303),D303)</f>
        <v>0</v>
      </c>
      <c r="P303" s="5" t="n">
        <f aca="false">MIN(IF(AND(G303,E303),(L303-M303)*24/12.1*O303/1000,0),N303)</f>
        <v>0</v>
      </c>
      <c r="Q303" s="5" t="n">
        <f aca="false">IF(P303&gt;0,P303/O303*12.1/24*1000+M303,0)</f>
        <v>0</v>
      </c>
      <c r="R303" s="0" t="n">
        <f aca="false">IF(Q303&gt;0,TRUNC(O303),0)</f>
        <v>0</v>
      </c>
      <c r="S303" s="5" t="n">
        <f aca="false">(M303*(D303-R303)+(Q303*R303))/D303</f>
        <v>700</v>
      </c>
      <c r="T303" s="6" t="n">
        <f aca="false">(Q303-M303)*R303*24/12.1/1000</f>
        <v>-0</v>
      </c>
    </row>
    <row r="304" customFormat="false" ht="14.35" hidden="false" customHeight="false" outlineLevel="0" collapsed="false">
      <c r="A304" s="4" t="n">
        <v>16983</v>
      </c>
      <c r="B304" s="15" t="n">
        <f aca="false">IF(C304&lt;=9,YEAR(A304),YEAR(A304)+1)</f>
        <v>1946</v>
      </c>
      <c r="C304" s="15" t="n">
        <f aca="false">MONTH(A304)</f>
        <v>6</v>
      </c>
      <c r="D304" s="15" t="n">
        <f aca="false">DAY(A304)</f>
        <v>30</v>
      </c>
      <c r="E304" s="15" t="n">
        <f aca="false">VLOOKUP(B304,WYT!$A$2:$L$97,12)</f>
        <v>1</v>
      </c>
      <c r="F304" s="15" t="n">
        <f aca="false">IF(C304=$W$5,1,0)</f>
        <v>0</v>
      </c>
      <c r="G304" s="15" t="n">
        <f aca="false">IF(C304=10,0,IF(F304=1,1,G303))</f>
        <v>1</v>
      </c>
      <c r="H304" s="5" t="n">
        <f aca="false">VA_base_426_data!B304</f>
        <v>3871.70308160316</v>
      </c>
      <c r="I304" s="5" t="n">
        <f aca="false">IF(AND(E304=1,OR(C304=4,C304=5)),25*12.1/24/D304*1000,0)</f>
        <v>0</v>
      </c>
      <c r="J304" s="5" t="n">
        <f aca="false">VA_base_426_data!C304</f>
        <v>1000</v>
      </c>
      <c r="K304" s="5" t="n">
        <f aca="false">H304+I304-J304</f>
        <v>2871.70308160316</v>
      </c>
      <c r="L304" s="5" t="n">
        <f aca="false">MIN($W$7,J304+K304)</f>
        <v>2000</v>
      </c>
      <c r="M304" s="5" t="n">
        <f aca="false">VA_base_426_data!D304</f>
        <v>700</v>
      </c>
      <c r="N304" s="5" t="n">
        <f aca="false">IF(AND(C304=10,E304=1),$W$6,N303-P303)</f>
        <v>0</v>
      </c>
      <c r="O304" s="5" t="n">
        <f aca="false">IF(ABS(M304-L304)&gt;1,MIN(N304/((L304-M304)*24/12.1/1000),D304),D304)</f>
        <v>0</v>
      </c>
      <c r="P304" s="5" t="n">
        <f aca="false">MIN(IF(AND(G304,E304),(L304-M304)*24/12.1*O304/1000,0),N304)</f>
        <v>0</v>
      </c>
      <c r="Q304" s="5" t="n">
        <f aca="false">IF(P304&gt;0,P304/O304*12.1/24*1000+M304,0)</f>
        <v>0</v>
      </c>
      <c r="R304" s="0" t="n">
        <f aca="false">IF(Q304&gt;0,TRUNC(O304),0)</f>
        <v>0</v>
      </c>
      <c r="S304" s="5" t="n">
        <f aca="false">(M304*(D304-R304)+(Q304*R304))/D304</f>
        <v>700</v>
      </c>
      <c r="T304" s="6" t="n">
        <f aca="false">(Q304-M304)*R304*24/12.1/1000</f>
        <v>-0</v>
      </c>
    </row>
    <row r="305" customFormat="false" ht="14.35" hidden="false" customHeight="false" outlineLevel="0" collapsed="false">
      <c r="A305" s="4" t="n">
        <v>17014</v>
      </c>
      <c r="B305" s="15" t="n">
        <f aca="false">IF(C305&lt;=9,YEAR(A305),YEAR(A305)+1)</f>
        <v>1946</v>
      </c>
      <c r="C305" s="15" t="n">
        <f aca="false">MONTH(A305)</f>
        <v>7</v>
      </c>
      <c r="D305" s="15" t="n">
        <f aca="false">DAY(A305)</f>
        <v>31</v>
      </c>
      <c r="E305" s="15" t="n">
        <f aca="false">VLOOKUP(B305,WYT!$A$2:$L$97,12)</f>
        <v>1</v>
      </c>
      <c r="F305" s="15" t="n">
        <f aca="false">IF(C305=$W$5,1,0)</f>
        <v>0</v>
      </c>
      <c r="G305" s="15" t="n">
        <f aca="false">IF(C305=10,0,IF(F305=1,1,G304))</f>
        <v>1</v>
      </c>
      <c r="H305" s="5" t="n">
        <f aca="false">VA_base_426_data!B305</f>
        <v>9786.8666421669</v>
      </c>
      <c r="I305" s="5" t="n">
        <f aca="false">IF(AND(E305=1,OR(C305=4,C305=5)),25*12.1/24/D305*1000,0)</f>
        <v>0</v>
      </c>
      <c r="J305" s="5" t="n">
        <f aca="false">VA_base_426_data!C305</f>
        <v>1000</v>
      </c>
      <c r="K305" s="5" t="n">
        <f aca="false">H305+I305-J305</f>
        <v>8786.8666421669</v>
      </c>
      <c r="L305" s="5" t="n">
        <f aca="false">MIN($W$7,J305+K305)</f>
        <v>2000</v>
      </c>
      <c r="M305" s="5" t="n">
        <f aca="false">VA_base_426_data!D305</f>
        <v>700</v>
      </c>
      <c r="N305" s="5" t="n">
        <f aca="false">IF(AND(C305=10,E305=1),$W$6,N304-P304)</f>
        <v>0</v>
      </c>
      <c r="O305" s="5" t="n">
        <f aca="false">IF(ABS(M305-L305)&gt;1,MIN(N305/((L305-M305)*24/12.1/1000),D305),D305)</f>
        <v>0</v>
      </c>
      <c r="P305" s="5" t="n">
        <f aca="false">MIN(IF(AND(G305,E305),(L305-M305)*24/12.1*O305/1000,0),N305)</f>
        <v>0</v>
      </c>
      <c r="Q305" s="5" t="n">
        <f aca="false">IF(P305&gt;0,P305/O305*12.1/24*1000+M305,0)</f>
        <v>0</v>
      </c>
      <c r="R305" s="0" t="n">
        <f aca="false">IF(Q305&gt;0,TRUNC(O305),0)</f>
        <v>0</v>
      </c>
      <c r="S305" s="5" t="n">
        <f aca="false">(M305*(D305-R305)+(Q305*R305))/D305</f>
        <v>700</v>
      </c>
      <c r="T305" s="6" t="n">
        <f aca="false">(Q305-M305)*R305*24/12.1/1000</f>
        <v>-0</v>
      </c>
    </row>
    <row r="306" customFormat="false" ht="14.35" hidden="false" customHeight="false" outlineLevel="0" collapsed="false">
      <c r="A306" s="4" t="n">
        <v>17045</v>
      </c>
      <c r="B306" s="15" t="n">
        <f aca="false">IF(C306&lt;=9,YEAR(A306),YEAR(A306)+1)</f>
        <v>1946</v>
      </c>
      <c r="C306" s="15" t="n">
        <f aca="false">MONTH(A306)</f>
        <v>8</v>
      </c>
      <c r="D306" s="15" t="n">
        <f aca="false">DAY(A306)</f>
        <v>31</v>
      </c>
      <c r="E306" s="15" t="n">
        <f aca="false">VLOOKUP(B306,WYT!$A$2:$L$97,12)</f>
        <v>1</v>
      </c>
      <c r="F306" s="15" t="n">
        <f aca="false">IF(C306=$W$5,1,0)</f>
        <v>0</v>
      </c>
      <c r="G306" s="15" t="n">
        <f aca="false">IF(C306=10,0,IF(F306=1,1,G305))</f>
        <v>1</v>
      </c>
      <c r="H306" s="5" t="n">
        <f aca="false">VA_base_426_data!B306</f>
        <v>8458.05901194379</v>
      </c>
      <c r="I306" s="5" t="n">
        <f aca="false">IF(AND(E306=1,OR(C306=4,C306=5)),25*12.1/24/D306*1000,0)</f>
        <v>0</v>
      </c>
      <c r="J306" s="5" t="n">
        <f aca="false">VA_base_426_data!C306</f>
        <v>1000</v>
      </c>
      <c r="K306" s="5" t="n">
        <f aca="false">H306+I306-J306</f>
        <v>7458.05901194379</v>
      </c>
      <c r="L306" s="5" t="n">
        <f aca="false">MIN($W$7,J306+K306)</f>
        <v>2000</v>
      </c>
      <c r="M306" s="5" t="n">
        <f aca="false">VA_base_426_data!D306</f>
        <v>700</v>
      </c>
      <c r="N306" s="5" t="n">
        <f aca="false">IF(AND(C306=10,E306=1),$W$6,N305-P305)</f>
        <v>0</v>
      </c>
      <c r="O306" s="5" t="n">
        <f aca="false">IF(ABS(M306-L306)&gt;1,MIN(N306/((L306-M306)*24/12.1/1000),D306),D306)</f>
        <v>0</v>
      </c>
      <c r="P306" s="5" t="n">
        <f aca="false">MIN(IF(AND(G306,E306),(L306-M306)*24/12.1*O306/1000,0),N306)</f>
        <v>0</v>
      </c>
      <c r="Q306" s="5" t="n">
        <f aca="false">IF(P306&gt;0,P306/O306*12.1/24*1000+M306,0)</f>
        <v>0</v>
      </c>
      <c r="R306" s="0" t="n">
        <f aca="false">IF(Q306&gt;0,TRUNC(O306),0)</f>
        <v>0</v>
      </c>
      <c r="S306" s="5" t="n">
        <f aca="false">(M306*(D306-R306)+(Q306*R306))/D306</f>
        <v>700</v>
      </c>
      <c r="T306" s="6" t="n">
        <f aca="false">(Q306-M306)*R306*24/12.1/1000</f>
        <v>-0</v>
      </c>
    </row>
    <row r="307" customFormat="false" ht="14.35" hidden="false" customHeight="false" outlineLevel="0" collapsed="false">
      <c r="A307" s="4" t="n">
        <v>17075</v>
      </c>
      <c r="B307" s="15" t="n">
        <f aca="false">IF(C307&lt;=9,YEAR(A307),YEAR(A307)+1)</f>
        <v>1946</v>
      </c>
      <c r="C307" s="15" t="n">
        <f aca="false">MONTH(A307)</f>
        <v>9</v>
      </c>
      <c r="D307" s="15" t="n">
        <f aca="false">DAY(A307)</f>
        <v>30</v>
      </c>
      <c r="E307" s="15" t="n">
        <f aca="false">VLOOKUP(B307,WYT!$A$2:$L$97,12)</f>
        <v>1</v>
      </c>
      <c r="F307" s="15" t="n">
        <f aca="false">IF(C307=$W$5,1,0)</f>
        <v>0</v>
      </c>
      <c r="G307" s="15" t="n">
        <f aca="false">IF(C307=10,0,IF(F307=1,1,G306))</f>
        <v>1</v>
      </c>
      <c r="H307" s="5" t="n">
        <f aca="false">VA_base_426_data!B307</f>
        <v>5499.57215322607</v>
      </c>
      <c r="I307" s="5" t="n">
        <f aca="false">IF(AND(E307=1,OR(C307=4,C307=5)),25*12.1/24/D307*1000,0)</f>
        <v>0</v>
      </c>
      <c r="J307" s="5" t="n">
        <f aca="false">VA_base_426_data!C307</f>
        <v>1000</v>
      </c>
      <c r="K307" s="5" t="n">
        <f aca="false">H307+I307-J307</f>
        <v>4499.57215322607</v>
      </c>
      <c r="L307" s="5" t="n">
        <f aca="false">MIN($W$7,J307+K307)</f>
        <v>2000</v>
      </c>
      <c r="M307" s="5" t="n">
        <f aca="false">VA_base_426_data!D307</f>
        <v>773.3333333</v>
      </c>
      <c r="N307" s="5" t="n">
        <f aca="false">IF(AND(C307=10,E307=1),$W$6,N306-P306)</f>
        <v>0</v>
      </c>
      <c r="O307" s="5" t="n">
        <f aca="false">IF(ABS(M307-L307)&gt;1,MIN(N307/((L307-M307)*24/12.1/1000),D307),D307)</f>
        <v>0</v>
      </c>
      <c r="P307" s="5" t="n">
        <f aca="false">MIN(IF(AND(G307,E307),(L307-M307)*24/12.1*O307/1000,0),N307)</f>
        <v>0</v>
      </c>
      <c r="Q307" s="5" t="n">
        <f aca="false">IF(P307&gt;0,P307/O307*12.1/24*1000+M307,0)</f>
        <v>0</v>
      </c>
      <c r="R307" s="0" t="n">
        <f aca="false">IF(Q307&gt;0,TRUNC(O307),0)</f>
        <v>0</v>
      </c>
      <c r="S307" s="5" t="n">
        <f aca="false">(M307*(D307-R307)+(Q307*R307))/D307</f>
        <v>773.3333333</v>
      </c>
      <c r="T307" s="6" t="n">
        <f aca="false">(Q307-M307)*R307*24/12.1/1000</f>
        <v>-0</v>
      </c>
    </row>
    <row r="308" customFormat="false" ht="14.35" hidden="false" customHeight="false" outlineLevel="0" collapsed="false">
      <c r="A308" s="4" t="n">
        <v>17106</v>
      </c>
      <c r="B308" s="15" t="n">
        <f aca="false">IF(C308&lt;=9,YEAR(A308),YEAR(A308)+1)</f>
        <v>1947</v>
      </c>
      <c r="C308" s="15" t="n">
        <f aca="false">MONTH(A308)</f>
        <v>10</v>
      </c>
      <c r="D308" s="15" t="n">
        <f aca="false">DAY(A308)</f>
        <v>31</v>
      </c>
      <c r="E308" s="15" t="n">
        <f aca="false">VLOOKUP(B308,WYT!$A$2:$L$97,12)</f>
        <v>1</v>
      </c>
      <c r="F308" s="15" t="n">
        <f aca="false">IF(C308=$W$5,1,0)</f>
        <v>0</v>
      </c>
      <c r="G308" s="15" t="n">
        <f aca="false">IF(C308=10,0,IF(F308=1,1,G307))</f>
        <v>0</v>
      </c>
      <c r="H308" s="5" t="n">
        <f aca="false">VA_base_426_data!B308</f>
        <v>2192.58225734145</v>
      </c>
      <c r="I308" s="5" t="n">
        <f aca="false">IF(AND(E308=1,OR(C308=4,C308=5)),25*12.1/24/D308*1000,0)</f>
        <v>0</v>
      </c>
      <c r="J308" s="5" t="n">
        <f aca="false">VA_base_426_data!C308</f>
        <v>1700</v>
      </c>
      <c r="K308" s="5" t="n">
        <f aca="false">H308+I308-J308</f>
        <v>492.582257341455</v>
      </c>
      <c r="L308" s="5" t="n">
        <f aca="false">MIN($W$7,J308+K308)</f>
        <v>2000</v>
      </c>
      <c r="M308" s="5" t="n">
        <f aca="false">VA_base_426_data!D308</f>
        <v>800</v>
      </c>
      <c r="N308" s="5" t="n">
        <f aca="false">IF(AND(C308=10,E308=1),$W$6,N307-P307)</f>
        <v>43</v>
      </c>
      <c r="O308" s="5" t="n">
        <f aca="false">IF(ABS(M308-L308)&gt;1,MIN(N308/((L308-M308)*24/12.1/1000),D308),D308)</f>
        <v>18.0659722222222</v>
      </c>
      <c r="P308" s="5" t="n">
        <f aca="false">MIN(IF(AND(G308,E308),(L308-M308)*24/12.1*O308/1000,0),N308)</f>
        <v>0</v>
      </c>
      <c r="Q308" s="5" t="n">
        <f aca="false">IF(P308&gt;0,P308/O308*12.1/24*1000+M308,0)</f>
        <v>0</v>
      </c>
      <c r="R308" s="0" t="n">
        <f aca="false">IF(Q308&gt;0,TRUNC(O308),0)</f>
        <v>0</v>
      </c>
      <c r="S308" s="5" t="n">
        <f aca="false">(M308*(D308-R308)+(Q308*R308))/D308</f>
        <v>800</v>
      </c>
      <c r="T308" s="6" t="n">
        <f aca="false">(Q308-M308)*R308*24/12.1/1000</f>
        <v>-0</v>
      </c>
    </row>
    <row r="309" customFormat="false" ht="14.35" hidden="false" customHeight="false" outlineLevel="0" collapsed="false">
      <c r="A309" s="4" t="n">
        <v>17136</v>
      </c>
      <c r="B309" s="15" t="n">
        <f aca="false">IF(C309&lt;=9,YEAR(A309),YEAR(A309)+1)</f>
        <v>1947</v>
      </c>
      <c r="C309" s="15" t="n">
        <f aca="false">MONTH(A309)</f>
        <v>11</v>
      </c>
      <c r="D309" s="15" t="n">
        <f aca="false">DAY(A309)</f>
        <v>30</v>
      </c>
      <c r="E309" s="15" t="n">
        <f aca="false">VLOOKUP(B309,WYT!$A$2:$L$97,12)</f>
        <v>1</v>
      </c>
      <c r="F309" s="15" t="n">
        <f aca="false">IF(C309=$W$5,1,0)</f>
        <v>0</v>
      </c>
      <c r="G309" s="15" t="n">
        <f aca="false">IF(C309=10,0,IF(F309=1,1,G308))</f>
        <v>0</v>
      </c>
      <c r="H309" s="5" t="n">
        <f aca="false">VA_base_426_data!B309</f>
        <v>1700</v>
      </c>
      <c r="I309" s="5" t="n">
        <f aca="false">IF(AND(E309=1,OR(C309=4,C309=5)),25*12.1/24/D309*1000,0)</f>
        <v>0</v>
      </c>
      <c r="J309" s="5" t="n">
        <f aca="false">VA_base_426_data!C309</f>
        <v>1700</v>
      </c>
      <c r="K309" s="5" t="n">
        <f aca="false">H309+I309-J309</f>
        <v>0</v>
      </c>
      <c r="L309" s="5" t="n">
        <f aca="false">MIN($W$7,J309+K309)</f>
        <v>1700</v>
      </c>
      <c r="M309" s="5" t="n">
        <f aca="false">VA_base_426_data!D309</f>
        <v>800</v>
      </c>
      <c r="N309" s="5" t="n">
        <f aca="false">IF(AND(C309=10,E309=1),$W$6,N308-P308)</f>
        <v>43</v>
      </c>
      <c r="O309" s="5" t="n">
        <f aca="false">IF(ABS(M309-L309)&gt;1,MIN(N309/((L309-M309)*24/12.1/1000),D309),D309)</f>
        <v>24.087962962963</v>
      </c>
      <c r="P309" s="5" t="n">
        <f aca="false">MIN(IF(AND(G309,E309),(L309-M309)*24/12.1*O309/1000,0),N309)</f>
        <v>0</v>
      </c>
      <c r="Q309" s="5" t="n">
        <f aca="false">IF(P309&gt;0,P309/O309*12.1/24*1000+M309,0)</f>
        <v>0</v>
      </c>
      <c r="R309" s="0" t="n">
        <f aca="false">IF(Q309&gt;0,TRUNC(O309),0)</f>
        <v>0</v>
      </c>
      <c r="S309" s="5" t="n">
        <f aca="false">(M309*(D309-R309)+(Q309*R309))/D309</f>
        <v>800</v>
      </c>
      <c r="T309" s="6" t="n">
        <f aca="false">(Q309-M309)*R309*24/12.1/1000</f>
        <v>-0</v>
      </c>
    </row>
    <row r="310" customFormat="false" ht="14.35" hidden="false" customHeight="false" outlineLevel="0" collapsed="false">
      <c r="A310" s="4" t="n">
        <v>17167</v>
      </c>
      <c r="B310" s="15" t="n">
        <f aca="false">IF(C310&lt;=9,YEAR(A310),YEAR(A310)+1)</f>
        <v>1947</v>
      </c>
      <c r="C310" s="15" t="n">
        <f aca="false">MONTH(A310)</f>
        <v>12</v>
      </c>
      <c r="D310" s="15" t="n">
        <f aca="false">DAY(A310)</f>
        <v>31</v>
      </c>
      <c r="E310" s="15" t="n">
        <f aca="false">VLOOKUP(B310,WYT!$A$2:$L$97,12)</f>
        <v>1</v>
      </c>
      <c r="F310" s="15" t="n">
        <f aca="false">IF(C310=$W$5,1,0)</f>
        <v>0</v>
      </c>
      <c r="G310" s="15" t="n">
        <f aca="false">IF(C310=10,0,IF(F310=1,1,G309))</f>
        <v>0</v>
      </c>
      <c r="H310" s="5" t="n">
        <f aca="false">VA_base_426_data!B310</f>
        <v>1700</v>
      </c>
      <c r="I310" s="5" t="n">
        <f aca="false">IF(AND(E310=1,OR(C310=4,C310=5)),25*12.1/24/D310*1000,0)</f>
        <v>0</v>
      </c>
      <c r="J310" s="5" t="n">
        <f aca="false">VA_base_426_data!C310</f>
        <v>1700</v>
      </c>
      <c r="K310" s="5" t="n">
        <f aca="false">H310+I310-J310</f>
        <v>0</v>
      </c>
      <c r="L310" s="5" t="n">
        <f aca="false">MIN($W$7,J310+K310)</f>
        <v>1700</v>
      </c>
      <c r="M310" s="5" t="n">
        <f aca="false">VA_base_426_data!D310</f>
        <v>800</v>
      </c>
      <c r="N310" s="5" t="n">
        <f aca="false">IF(AND(C310=10,E310=1),$W$6,N309-P309)</f>
        <v>43</v>
      </c>
      <c r="O310" s="5" t="n">
        <f aca="false">IF(ABS(M310-L310)&gt;1,MIN(N310/((L310-M310)*24/12.1/1000),D310),D310)</f>
        <v>24.087962962963</v>
      </c>
      <c r="P310" s="5" t="n">
        <f aca="false">MIN(IF(AND(G310,E310),(L310-M310)*24/12.1*O310/1000,0),N310)</f>
        <v>0</v>
      </c>
      <c r="Q310" s="5" t="n">
        <f aca="false">IF(P310&gt;0,P310/O310*12.1/24*1000+M310,0)</f>
        <v>0</v>
      </c>
      <c r="R310" s="0" t="n">
        <f aca="false">IF(Q310&gt;0,TRUNC(O310),0)</f>
        <v>0</v>
      </c>
      <c r="S310" s="5" t="n">
        <f aca="false">(M310*(D310-R310)+(Q310*R310))/D310</f>
        <v>800</v>
      </c>
      <c r="T310" s="6" t="n">
        <f aca="false">(Q310-M310)*R310*24/12.1/1000</f>
        <v>-0</v>
      </c>
    </row>
    <row r="311" customFormat="false" ht="14.35" hidden="false" customHeight="false" outlineLevel="0" collapsed="false">
      <c r="A311" s="4" t="n">
        <v>17198</v>
      </c>
      <c r="B311" s="15" t="n">
        <f aca="false">IF(C311&lt;=9,YEAR(A311),YEAR(A311)+1)</f>
        <v>1947</v>
      </c>
      <c r="C311" s="15" t="n">
        <f aca="false">MONTH(A311)</f>
        <v>1</v>
      </c>
      <c r="D311" s="15" t="n">
        <f aca="false">DAY(A311)</f>
        <v>31</v>
      </c>
      <c r="E311" s="15" t="n">
        <f aca="false">VLOOKUP(B311,WYT!$A$2:$L$97,12)</f>
        <v>1</v>
      </c>
      <c r="F311" s="15" t="n">
        <f aca="false">IF(C311=$W$5,1,0)</f>
        <v>0</v>
      </c>
      <c r="G311" s="15" t="n">
        <f aca="false">IF(C311=10,0,IF(F311=1,1,G310))</f>
        <v>0</v>
      </c>
      <c r="H311" s="5" t="n">
        <f aca="false">VA_base_426_data!B311</f>
        <v>1700</v>
      </c>
      <c r="I311" s="5" t="n">
        <f aca="false">IF(AND(E311=1,OR(C311=4,C311=5)),25*12.1/24/D311*1000,0)</f>
        <v>0</v>
      </c>
      <c r="J311" s="5" t="n">
        <f aca="false">VA_base_426_data!C311</f>
        <v>1700</v>
      </c>
      <c r="K311" s="5" t="n">
        <f aca="false">H311+I311-J311</f>
        <v>0</v>
      </c>
      <c r="L311" s="5" t="n">
        <f aca="false">MIN($W$7,J311+K311)</f>
        <v>1700</v>
      </c>
      <c r="M311" s="5" t="n">
        <f aca="false">VA_base_426_data!D311</f>
        <v>800</v>
      </c>
      <c r="N311" s="5" t="n">
        <f aca="false">IF(AND(C311=10,E311=1),$W$6,N310-P310)</f>
        <v>43</v>
      </c>
      <c r="O311" s="5" t="n">
        <f aca="false">IF(ABS(M311-L311)&gt;1,MIN(N311/((L311-M311)*24/12.1/1000),D311),D311)</f>
        <v>24.087962962963</v>
      </c>
      <c r="P311" s="5" t="n">
        <f aca="false">MIN(IF(AND(G311,E311),(L311-M311)*24/12.1*O311/1000,0),N311)</f>
        <v>0</v>
      </c>
      <c r="Q311" s="5" t="n">
        <f aca="false">IF(P311&gt;0,P311/O311*12.1/24*1000+M311,0)</f>
        <v>0</v>
      </c>
      <c r="R311" s="0" t="n">
        <f aca="false">IF(Q311&gt;0,TRUNC(O311),0)</f>
        <v>0</v>
      </c>
      <c r="S311" s="5" t="n">
        <f aca="false">(M311*(D311-R311)+(Q311*R311))/D311</f>
        <v>800</v>
      </c>
      <c r="T311" s="6" t="n">
        <f aca="false">(Q311-M311)*R311*24/12.1/1000</f>
        <v>-0</v>
      </c>
    </row>
    <row r="312" customFormat="false" ht="14.35" hidden="false" customHeight="false" outlineLevel="0" collapsed="false">
      <c r="A312" s="4" t="n">
        <v>17226</v>
      </c>
      <c r="B312" s="15" t="n">
        <f aca="false">IF(C312&lt;=9,YEAR(A312),YEAR(A312)+1)</f>
        <v>1947</v>
      </c>
      <c r="C312" s="15" t="n">
        <f aca="false">MONTH(A312)</f>
        <v>2</v>
      </c>
      <c r="D312" s="15" t="n">
        <f aca="false">DAY(A312)</f>
        <v>28</v>
      </c>
      <c r="E312" s="15" t="n">
        <f aca="false">VLOOKUP(B312,WYT!$A$2:$L$97,12)</f>
        <v>1</v>
      </c>
      <c r="F312" s="15" t="n">
        <f aca="false">IF(C312=$W$5,1,0)</f>
        <v>1</v>
      </c>
      <c r="G312" s="15" t="n">
        <f aca="false">IF(C312=10,0,IF(F312=1,1,G311))</f>
        <v>1</v>
      </c>
      <c r="H312" s="5" t="n">
        <f aca="false">VA_base_426_data!B312</f>
        <v>1700</v>
      </c>
      <c r="I312" s="5" t="n">
        <f aca="false">IF(AND(E312=1,OR(C312=4,C312=5)),25*12.1/24/D312*1000,0)</f>
        <v>0</v>
      </c>
      <c r="J312" s="5" t="n">
        <f aca="false">VA_base_426_data!C312</f>
        <v>1700</v>
      </c>
      <c r="K312" s="5" t="n">
        <f aca="false">H312+I312-J312</f>
        <v>0</v>
      </c>
      <c r="L312" s="5" t="n">
        <f aca="false">MIN($W$7,J312+K312)</f>
        <v>1700</v>
      </c>
      <c r="M312" s="5" t="n">
        <f aca="false">VA_base_426_data!D312</f>
        <v>800</v>
      </c>
      <c r="N312" s="5" t="n">
        <f aca="false">IF(AND(C312=10,E312=1),$W$6,N311-P311)</f>
        <v>43</v>
      </c>
      <c r="O312" s="5" t="n">
        <f aca="false">IF(ABS(M312-L312)&gt;1,MIN(N312/((L312-M312)*24/12.1/1000),D312),D312)</f>
        <v>24.087962962963</v>
      </c>
      <c r="P312" s="5" t="n">
        <f aca="false">MIN(IF(AND(G312,E312),(L312-M312)*24/12.1*O312/1000,0),N312)</f>
        <v>43</v>
      </c>
      <c r="Q312" s="5" t="n">
        <f aca="false">IF(P312&gt;0,P312/O312*12.1/24*1000+M312,0)</f>
        <v>1700</v>
      </c>
      <c r="R312" s="0" t="n">
        <f aca="false">IF(Q312&gt;0,TRUNC(O312),0)</f>
        <v>24</v>
      </c>
      <c r="S312" s="5" t="n">
        <f aca="false">(M312*(D312-R312)+(Q312*R312))/D312</f>
        <v>1571.42857142857</v>
      </c>
      <c r="T312" s="6" t="n">
        <f aca="false">(Q312-M312)*R312*24/12.1/1000</f>
        <v>42.8429752066116</v>
      </c>
    </row>
    <row r="313" customFormat="false" ht="14.35" hidden="false" customHeight="false" outlineLevel="0" collapsed="false">
      <c r="A313" s="4" t="n">
        <v>17257</v>
      </c>
      <c r="B313" s="15" t="n">
        <f aca="false">IF(C313&lt;=9,YEAR(A313),YEAR(A313)+1)</f>
        <v>1947</v>
      </c>
      <c r="C313" s="15" t="n">
        <f aca="false">MONTH(A313)</f>
        <v>3</v>
      </c>
      <c r="D313" s="15" t="n">
        <f aca="false">DAY(A313)</f>
        <v>31</v>
      </c>
      <c r="E313" s="15" t="n">
        <f aca="false">VLOOKUP(B313,WYT!$A$2:$L$97,12)</f>
        <v>1</v>
      </c>
      <c r="F313" s="15" t="n">
        <f aca="false">IF(C313=$W$5,1,0)</f>
        <v>0</v>
      </c>
      <c r="G313" s="15" t="n">
        <f aca="false">IF(C313=10,0,IF(F313=1,1,G312))</f>
        <v>1</v>
      </c>
      <c r="H313" s="5" t="n">
        <f aca="false">VA_base_426_data!B313</f>
        <v>1700</v>
      </c>
      <c r="I313" s="5" t="n">
        <f aca="false">IF(AND(E313=1,OR(C313=4,C313=5)),25*12.1/24/D313*1000,0)</f>
        <v>0</v>
      </c>
      <c r="J313" s="5" t="n">
        <f aca="false">VA_base_426_data!C313</f>
        <v>1700</v>
      </c>
      <c r="K313" s="5" t="n">
        <f aca="false">H313+I313-J313</f>
        <v>0</v>
      </c>
      <c r="L313" s="5" t="n">
        <f aca="false">MIN($W$7,J313+K313)</f>
        <v>1700</v>
      </c>
      <c r="M313" s="5" t="n">
        <f aca="false">VA_base_426_data!D313</f>
        <v>800</v>
      </c>
      <c r="N313" s="5" t="n">
        <f aca="false">IF(AND(C313=10,E313=1),$W$6,N312-P312)</f>
        <v>0</v>
      </c>
      <c r="O313" s="5" t="n">
        <f aca="false">IF(ABS(M313-L313)&gt;1,MIN(N313/((L313-M313)*24/12.1/1000),D313),D313)</f>
        <v>0</v>
      </c>
      <c r="P313" s="5" t="n">
        <f aca="false">MIN(IF(AND(G313,E313),(L313-M313)*24/12.1*O313/1000,0),N313)</f>
        <v>0</v>
      </c>
      <c r="Q313" s="5" t="n">
        <f aca="false">IF(P313&gt;0,P313/O313*12.1/24*1000+M313,0)</f>
        <v>0</v>
      </c>
      <c r="R313" s="0" t="n">
        <f aca="false">IF(Q313&gt;0,TRUNC(O313),0)</f>
        <v>0</v>
      </c>
      <c r="S313" s="5" t="n">
        <f aca="false">(M313*(D313-R313)+(Q313*R313))/D313</f>
        <v>800</v>
      </c>
      <c r="T313" s="6" t="n">
        <f aca="false">(Q313-M313)*R313*24/12.1/1000</f>
        <v>-0</v>
      </c>
    </row>
    <row r="314" customFormat="false" ht="14.35" hidden="false" customHeight="false" outlineLevel="0" collapsed="false">
      <c r="A314" s="4" t="n">
        <v>17287</v>
      </c>
      <c r="B314" s="15" t="n">
        <f aca="false">IF(C314&lt;=9,YEAR(A314),YEAR(A314)+1)</f>
        <v>1947</v>
      </c>
      <c r="C314" s="15" t="n">
        <f aca="false">MONTH(A314)</f>
        <v>4</v>
      </c>
      <c r="D314" s="15" t="n">
        <f aca="false">DAY(A314)</f>
        <v>30</v>
      </c>
      <c r="E314" s="15" t="n">
        <f aca="false">VLOOKUP(B314,WYT!$A$2:$L$97,12)</f>
        <v>1</v>
      </c>
      <c r="F314" s="15" t="n">
        <f aca="false">IF(C314=$W$5,1,0)</f>
        <v>0</v>
      </c>
      <c r="G314" s="15" t="n">
        <f aca="false">IF(C314=10,0,IF(F314=1,1,G313))</f>
        <v>1</v>
      </c>
      <c r="H314" s="5" t="n">
        <f aca="false">VA_base_426_data!B314</f>
        <v>1000</v>
      </c>
      <c r="I314" s="5" t="n">
        <f aca="false">IF(AND(E314=1,OR(C314=4,C314=5)),25*12.1/24/D314*1000,0)</f>
        <v>420.138888888889</v>
      </c>
      <c r="J314" s="5" t="n">
        <f aca="false">VA_base_426_data!C314</f>
        <v>1000</v>
      </c>
      <c r="K314" s="5" t="n">
        <f aca="false">H314+I314-J314</f>
        <v>420.138888888889</v>
      </c>
      <c r="L314" s="5" t="n">
        <f aca="false">MIN($W$7,J314+K314)</f>
        <v>1420.13888888889</v>
      </c>
      <c r="M314" s="5" t="n">
        <f aca="false">VA_base_426_data!D314</f>
        <v>700</v>
      </c>
      <c r="N314" s="5" t="n">
        <f aca="false">IF(AND(C314=10,E314=1),$W$6,N313-P313)</f>
        <v>0</v>
      </c>
      <c r="O314" s="5" t="n">
        <f aca="false">IF(ABS(M314-L314)&gt;1,MIN(N314/((L314-M314)*24/12.1/1000),D314),D314)</f>
        <v>0</v>
      </c>
      <c r="P314" s="5" t="n">
        <f aca="false">MIN(IF(AND(G314,E314),(L314-M314)*24/12.1*O314/1000,0),N314)</f>
        <v>0</v>
      </c>
      <c r="Q314" s="5" t="n">
        <f aca="false">IF(P314&gt;0,P314/O314*12.1/24*1000+M314,0)</f>
        <v>0</v>
      </c>
      <c r="R314" s="0" t="n">
        <f aca="false">IF(Q314&gt;0,TRUNC(O314),0)</f>
        <v>0</v>
      </c>
      <c r="S314" s="5" t="n">
        <f aca="false">(M314*(D314-R314)+(Q314*R314))/D314</f>
        <v>700</v>
      </c>
      <c r="T314" s="6" t="n">
        <f aca="false">(Q314-M314)*R314*24/12.1/1000</f>
        <v>-0</v>
      </c>
    </row>
    <row r="315" customFormat="false" ht="14.35" hidden="false" customHeight="false" outlineLevel="0" collapsed="false">
      <c r="A315" s="4" t="n">
        <v>17318</v>
      </c>
      <c r="B315" s="15" t="n">
        <f aca="false">IF(C315&lt;=9,YEAR(A315),YEAR(A315)+1)</f>
        <v>1947</v>
      </c>
      <c r="C315" s="15" t="n">
        <f aca="false">MONTH(A315)</f>
        <v>5</v>
      </c>
      <c r="D315" s="15" t="n">
        <f aca="false">DAY(A315)</f>
        <v>31</v>
      </c>
      <c r="E315" s="15" t="n">
        <f aca="false">VLOOKUP(B315,WYT!$A$2:$L$97,12)</f>
        <v>1</v>
      </c>
      <c r="F315" s="15" t="n">
        <f aca="false">IF(C315=$W$5,1,0)</f>
        <v>0</v>
      </c>
      <c r="G315" s="15" t="n">
        <f aca="false">IF(C315=10,0,IF(F315=1,1,G314))</f>
        <v>1</v>
      </c>
      <c r="H315" s="5" t="n">
        <f aca="false">VA_base_426_data!B315</f>
        <v>2555.87286436171</v>
      </c>
      <c r="I315" s="5" t="n">
        <f aca="false">IF(AND(E315=1,OR(C315=4,C315=5)),25*12.1/24/D315*1000,0)</f>
        <v>406.586021505376</v>
      </c>
      <c r="J315" s="5" t="n">
        <f aca="false">VA_base_426_data!C315</f>
        <v>1000</v>
      </c>
      <c r="K315" s="5" t="n">
        <f aca="false">H315+I315-J315</f>
        <v>1962.45888586709</v>
      </c>
      <c r="L315" s="5" t="n">
        <f aca="false">MIN($W$7,J315+K315)</f>
        <v>2000</v>
      </c>
      <c r="M315" s="5" t="n">
        <f aca="false">VA_base_426_data!D315</f>
        <v>700</v>
      </c>
      <c r="N315" s="5" t="n">
        <f aca="false">IF(AND(C315=10,E315=1),$W$6,N314-P314)</f>
        <v>0</v>
      </c>
      <c r="O315" s="5" t="n">
        <f aca="false">IF(ABS(M315-L315)&gt;1,MIN(N315/((L315-M315)*24/12.1/1000),D315),D315)</f>
        <v>0</v>
      </c>
      <c r="P315" s="5" t="n">
        <f aca="false">MIN(IF(AND(G315,E315),(L315-M315)*24/12.1*O315/1000,0),N315)</f>
        <v>0</v>
      </c>
      <c r="Q315" s="5" t="n">
        <f aca="false">IF(P315&gt;0,P315/O315*12.1/24*1000+M315,0)</f>
        <v>0</v>
      </c>
      <c r="R315" s="0" t="n">
        <f aca="false">IF(Q315&gt;0,TRUNC(O315),0)</f>
        <v>0</v>
      </c>
      <c r="S315" s="5" t="n">
        <f aca="false">(M315*(D315-R315)+(Q315*R315))/D315</f>
        <v>700</v>
      </c>
      <c r="T315" s="6" t="n">
        <f aca="false">(Q315-M315)*R315*24/12.1/1000</f>
        <v>-0</v>
      </c>
    </row>
    <row r="316" customFormat="false" ht="14.35" hidden="false" customHeight="false" outlineLevel="0" collapsed="false">
      <c r="A316" s="4" t="n">
        <v>17348</v>
      </c>
      <c r="B316" s="15" t="n">
        <f aca="false">IF(C316&lt;=9,YEAR(A316),YEAR(A316)+1)</f>
        <v>1947</v>
      </c>
      <c r="C316" s="15" t="n">
        <f aca="false">MONTH(A316)</f>
        <v>6</v>
      </c>
      <c r="D316" s="15" t="n">
        <f aca="false">DAY(A316)</f>
        <v>30</v>
      </c>
      <c r="E316" s="15" t="n">
        <f aca="false">VLOOKUP(B316,WYT!$A$2:$L$97,12)</f>
        <v>1</v>
      </c>
      <c r="F316" s="15" t="n">
        <f aca="false">IF(C316=$W$5,1,0)</f>
        <v>0</v>
      </c>
      <c r="G316" s="15" t="n">
        <f aca="false">IF(C316=10,0,IF(F316=1,1,G315))</f>
        <v>1</v>
      </c>
      <c r="H316" s="5" t="n">
        <f aca="false">VA_base_426_data!B316</f>
        <v>3734.58412545067</v>
      </c>
      <c r="I316" s="5" t="n">
        <f aca="false">IF(AND(E316=1,OR(C316=4,C316=5)),25*12.1/24/D316*1000,0)</f>
        <v>0</v>
      </c>
      <c r="J316" s="5" t="n">
        <f aca="false">VA_base_426_data!C316</f>
        <v>1000</v>
      </c>
      <c r="K316" s="5" t="n">
        <f aca="false">H316+I316-J316</f>
        <v>2734.58412545067</v>
      </c>
      <c r="L316" s="5" t="n">
        <f aca="false">MIN($W$7,J316+K316)</f>
        <v>2000</v>
      </c>
      <c r="M316" s="5" t="n">
        <f aca="false">VA_base_426_data!D316</f>
        <v>700</v>
      </c>
      <c r="N316" s="5" t="n">
        <f aca="false">IF(AND(C316=10,E316=1),$W$6,N315-P315)</f>
        <v>0</v>
      </c>
      <c r="O316" s="5" t="n">
        <f aca="false">IF(ABS(M316-L316)&gt;1,MIN(N316/((L316-M316)*24/12.1/1000),D316),D316)</f>
        <v>0</v>
      </c>
      <c r="P316" s="5" t="n">
        <f aca="false">MIN(IF(AND(G316,E316),(L316-M316)*24/12.1*O316/1000,0),N316)</f>
        <v>0</v>
      </c>
      <c r="Q316" s="5" t="n">
        <f aca="false">IF(P316&gt;0,P316/O316*12.1/24*1000+M316,0)</f>
        <v>0</v>
      </c>
      <c r="R316" s="0" t="n">
        <f aca="false">IF(Q316&gt;0,TRUNC(O316),0)</f>
        <v>0</v>
      </c>
      <c r="S316" s="5" t="n">
        <f aca="false">(M316*(D316-R316)+(Q316*R316))/D316</f>
        <v>700</v>
      </c>
      <c r="T316" s="6" t="n">
        <f aca="false">(Q316-M316)*R316*24/12.1/1000</f>
        <v>-0</v>
      </c>
    </row>
    <row r="317" customFormat="false" ht="14.35" hidden="false" customHeight="false" outlineLevel="0" collapsed="false">
      <c r="A317" s="4" t="n">
        <v>17379</v>
      </c>
      <c r="B317" s="15" t="n">
        <f aca="false">IF(C317&lt;=9,YEAR(A317),YEAR(A317)+1)</f>
        <v>1947</v>
      </c>
      <c r="C317" s="15" t="n">
        <f aca="false">MONTH(A317)</f>
        <v>7</v>
      </c>
      <c r="D317" s="15" t="n">
        <f aca="false">DAY(A317)</f>
        <v>31</v>
      </c>
      <c r="E317" s="15" t="n">
        <f aca="false">VLOOKUP(B317,WYT!$A$2:$L$97,12)</f>
        <v>1</v>
      </c>
      <c r="F317" s="15" t="n">
        <f aca="false">IF(C317=$W$5,1,0)</f>
        <v>0</v>
      </c>
      <c r="G317" s="15" t="n">
        <f aca="false">IF(C317=10,0,IF(F317=1,1,G316))</f>
        <v>1</v>
      </c>
      <c r="H317" s="5" t="n">
        <f aca="false">VA_base_426_data!B317</f>
        <v>5350.20622000772</v>
      </c>
      <c r="I317" s="5" t="n">
        <f aca="false">IF(AND(E317=1,OR(C317=4,C317=5)),25*12.1/24/D317*1000,0)</f>
        <v>0</v>
      </c>
      <c r="J317" s="5" t="n">
        <f aca="false">VA_base_426_data!C317</f>
        <v>1000</v>
      </c>
      <c r="K317" s="5" t="n">
        <f aca="false">H317+I317-J317</f>
        <v>4350.20622000772</v>
      </c>
      <c r="L317" s="5" t="n">
        <f aca="false">MIN($W$7,J317+K317)</f>
        <v>2000</v>
      </c>
      <c r="M317" s="5" t="n">
        <f aca="false">VA_base_426_data!D317</f>
        <v>700</v>
      </c>
      <c r="N317" s="5" t="n">
        <f aca="false">IF(AND(C317=10,E317=1),$W$6,N316-P316)</f>
        <v>0</v>
      </c>
      <c r="O317" s="5" t="n">
        <f aca="false">IF(ABS(M317-L317)&gt;1,MIN(N317/((L317-M317)*24/12.1/1000),D317),D317)</f>
        <v>0</v>
      </c>
      <c r="P317" s="5" t="n">
        <f aca="false">MIN(IF(AND(G317,E317),(L317-M317)*24/12.1*O317/1000,0),N317)</f>
        <v>0</v>
      </c>
      <c r="Q317" s="5" t="n">
        <f aca="false">IF(P317&gt;0,P317/O317*12.1/24*1000+M317,0)</f>
        <v>0</v>
      </c>
      <c r="R317" s="0" t="n">
        <f aca="false">IF(Q317&gt;0,TRUNC(O317),0)</f>
        <v>0</v>
      </c>
      <c r="S317" s="5" t="n">
        <f aca="false">(M317*(D317-R317)+(Q317*R317))/D317</f>
        <v>700</v>
      </c>
      <c r="T317" s="6" t="n">
        <f aca="false">(Q317-M317)*R317*24/12.1/1000</f>
        <v>-0</v>
      </c>
    </row>
    <row r="318" customFormat="false" ht="14.35" hidden="false" customHeight="false" outlineLevel="0" collapsed="false">
      <c r="A318" s="4" t="n">
        <v>17410</v>
      </c>
      <c r="B318" s="15" t="n">
        <f aca="false">IF(C318&lt;=9,YEAR(A318),YEAR(A318)+1)</f>
        <v>1947</v>
      </c>
      <c r="C318" s="15" t="n">
        <f aca="false">MONTH(A318)</f>
        <v>8</v>
      </c>
      <c r="D318" s="15" t="n">
        <f aca="false">DAY(A318)</f>
        <v>31</v>
      </c>
      <c r="E318" s="15" t="n">
        <f aca="false">VLOOKUP(B318,WYT!$A$2:$L$97,12)</f>
        <v>1</v>
      </c>
      <c r="F318" s="15" t="n">
        <f aca="false">IF(C318=$W$5,1,0)</f>
        <v>0</v>
      </c>
      <c r="G318" s="15" t="n">
        <f aca="false">IF(C318=10,0,IF(F318=1,1,G317))</f>
        <v>1</v>
      </c>
      <c r="H318" s="5" t="n">
        <f aca="false">VA_base_426_data!B318</f>
        <v>2000.49064314944</v>
      </c>
      <c r="I318" s="5" t="n">
        <f aca="false">IF(AND(E318=1,OR(C318=4,C318=5)),25*12.1/24/D318*1000,0)</f>
        <v>0</v>
      </c>
      <c r="J318" s="5" t="n">
        <f aca="false">VA_base_426_data!C318</f>
        <v>1000</v>
      </c>
      <c r="K318" s="5" t="n">
        <f aca="false">H318+I318-J318</f>
        <v>1000.49064314944</v>
      </c>
      <c r="L318" s="5" t="n">
        <f aca="false">MIN($W$7,J318+K318)</f>
        <v>2000</v>
      </c>
      <c r="M318" s="5" t="n">
        <f aca="false">VA_base_426_data!D318</f>
        <v>700</v>
      </c>
      <c r="N318" s="5" t="n">
        <f aca="false">IF(AND(C318=10,E318=1),$W$6,N317-P317)</f>
        <v>0</v>
      </c>
      <c r="O318" s="5" t="n">
        <f aca="false">IF(ABS(M318-L318)&gt;1,MIN(N318/((L318-M318)*24/12.1/1000),D318),D318)</f>
        <v>0</v>
      </c>
      <c r="P318" s="5" t="n">
        <f aca="false">MIN(IF(AND(G318,E318),(L318-M318)*24/12.1*O318/1000,0),N318)</f>
        <v>0</v>
      </c>
      <c r="Q318" s="5" t="n">
        <f aca="false">IF(P318&gt;0,P318/O318*12.1/24*1000+M318,0)</f>
        <v>0</v>
      </c>
      <c r="R318" s="0" t="n">
        <f aca="false">IF(Q318&gt;0,TRUNC(O318),0)</f>
        <v>0</v>
      </c>
      <c r="S318" s="5" t="n">
        <f aca="false">(M318*(D318-R318)+(Q318*R318))/D318</f>
        <v>700</v>
      </c>
      <c r="T318" s="6" t="n">
        <f aca="false">(Q318-M318)*R318*24/12.1/1000</f>
        <v>-0</v>
      </c>
    </row>
    <row r="319" customFormat="false" ht="14.35" hidden="false" customHeight="false" outlineLevel="0" collapsed="false">
      <c r="A319" s="4" t="n">
        <v>17440</v>
      </c>
      <c r="B319" s="15" t="n">
        <f aca="false">IF(C319&lt;=9,YEAR(A319),YEAR(A319)+1)</f>
        <v>1947</v>
      </c>
      <c r="C319" s="15" t="n">
        <f aca="false">MONTH(A319)</f>
        <v>9</v>
      </c>
      <c r="D319" s="15" t="n">
        <f aca="false">DAY(A319)</f>
        <v>30</v>
      </c>
      <c r="E319" s="15" t="n">
        <f aca="false">VLOOKUP(B319,WYT!$A$2:$L$97,12)</f>
        <v>1</v>
      </c>
      <c r="F319" s="15" t="n">
        <f aca="false">IF(C319=$W$5,1,0)</f>
        <v>0</v>
      </c>
      <c r="G319" s="15" t="n">
        <f aca="false">IF(C319=10,0,IF(F319=1,1,G318))</f>
        <v>1</v>
      </c>
      <c r="H319" s="5" t="n">
        <f aca="false">VA_base_426_data!B319</f>
        <v>1168.48279285209</v>
      </c>
      <c r="I319" s="5" t="n">
        <f aca="false">IF(AND(E319=1,OR(C319=4,C319=5)),25*12.1/24/D319*1000,0)</f>
        <v>0</v>
      </c>
      <c r="J319" s="5" t="n">
        <f aca="false">VA_base_426_data!C319</f>
        <v>1000</v>
      </c>
      <c r="K319" s="5" t="n">
        <f aca="false">H319+I319-J319</f>
        <v>168.482792852086</v>
      </c>
      <c r="L319" s="5" t="n">
        <f aca="false">MIN($W$7,J319+K319)</f>
        <v>1168.48279285209</v>
      </c>
      <c r="M319" s="5" t="n">
        <f aca="false">VA_base_426_data!D319</f>
        <v>773.3333333</v>
      </c>
      <c r="N319" s="5" t="n">
        <f aca="false">IF(AND(C319=10,E319=1),$W$6,N318-P318)</f>
        <v>0</v>
      </c>
      <c r="O319" s="5" t="n">
        <f aca="false">IF(ABS(M319-L319)&gt;1,MIN(N319/((L319-M319)*24/12.1/1000),D319),D319)</f>
        <v>0</v>
      </c>
      <c r="P319" s="5" t="n">
        <f aca="false">MIN(IF(AND(G319,E319),(L319-M319)*24/12.1*O319/1000,0),N319)</f>
        <v>0</v>
      </c>
      <c r="Q319" s="5" t="n">
        <f aca="false">IF(P319&gt;0,P319/O319*12.1/24*1000+M319,0)</f>
        <v>0</v>
      </c>
      <c r="R319" s="0" t="n">
        <f aca="false">IF(Q319&gt;0,TRUNC(O319),0)</f>
        <v>0</v>
      </c>
      <c r="S319" s="5" t="n">
        <f aca="false">(M319*(D319-R319)+(Q319*R319))/D319</f>
        <v>773.3333333</v>
      </c>
      <c r="T319" s="6" t="n">
        <f aca="false">(Q319-M319)*R319*24/12.1/1000</f>
        <v>-0</v>
      </c>
    </row>
    <row r="320" customFormat="false" ht="14.35" hidden="false" customHeight="false" outlineLevel="0" collapsed="false">
      <c r="A320" s="4" t="n">
        <v>17471</v>
      </c>
      <c r="B320" s="15" t="n">
        <f aca="false">IF(C320&lt;=9,YEAR(A320),YEAR(A320)+1)</f>
        <v>1948</v>
      </c>
      <c r="C320" s="15" t="n">
        <f aca="false">MONTH(A320)</f>
        <v>10</v>
      </c>
      <c r="D320" s="15" t="n">
        <f aca="false">DAY(A320)</f>
        <v>31</v>
      </c>
      <c r="E320" s="15" t="n">
        <f aca="false">VLOOKUP(B320,WYT!$A$2:$L$97,12)</f>
        <v>1</v>
      </c>
      <c r="F320" s="15" t="n">
        <f aca="false">IF(C320=$W$5,1,0)</f>
        <v>0</v>
      </c>
      <c r="G320" s="15" t="n">
        <f aca="false">IF(C320=10,0,IF(F320=1,1,G319))</f>
        <v>0</v>
      </c>
      <c r="H320" s="5" t="n">
        <f aca="false">VA_base_426_data!B320</f>
        <v>1200</v>
      </c>
      <c r="I320" s="5" t="n">
        <f aca="false">IF(AND(E320=1,OR(C320=4,C320=5)),25*12.1/24/D320*1000,0)</f>
        <v>0</v>
      </c>
      <c r="J320" s="5" t="n">
        <f aca="false">VA_base_426_data!C320</f>
        <v>1200</v>
      </c>
      <c r="K320" s="5" t="n">
        <f aca="false">H320+I320-J320</f>
        <v>0</v>
      </c>
      <c r="L320" s="5" t="n">
        <f aca="false">MIN($W$7,J320+K320)</f>
        <v>1200</v>
      </c>
      <c r="M320" s="5" t="n">
        <f aca="false">VA_base_426_data!D320</f>
        <v>800</v>
      </c>
      <c r="N320" s="5" t="n">
        <f aca="false">IF(AND(C320=10,E320=1),$W$6,N319-P319)</f>
        <v>43</v>
      </c>
      <c r="O320" s="5" t="n">
        <f aca="false">IF(ABS(M320-L320)&gt;1,MIN(N320/((L320-M320)*24/12.1/1000),D320),D320)</f>
        <v>31</v>
      </c>
      <c r="P320" s="5" t="n">
        <f aca="false">MIN(IF(AND(G320,E320),(L320-M320)*24/12.1*O320/1000,0),N320)</f>
        <v>0</v>
      </c>
      <c r="Q320" s="5" t="n">
        <f aca="false">IF(P320&gt;0,P320/O320*12.1/24*1000+M320,0)</f>
        <v>0</v>
      </c>
      <c r="R320" s="0" t="n">
        <f aca="false">IF(Q320&gt;0,TRUNC(O320),0)</f>
        <v>0</v>
      </c>
      <c r="S320" s="5" t="n">
        <f aca="false">(M320*(D320-R320)+(Q320*R320))/D320</f>
        <v>800</v>
      </c>
      <c r="T320" s="6" t="n">
        <f aca="false">(Q320-M320)*R320*24/12.1/1000</f>
        <v>-0</v>
      </c>
    </row>
    <row r="321" customFormat="false" ht="14.35" hidden="false" customHeight="false" outlineLevel="0" collapsed="false">
      <c r="A321" s="4" t="n">
        <v>17501</v>
      </c>
      <c r="B321" s="15" t="n">
        <f aca="false">IF(C321&lt;=9,YEAR(A321),YEAR(A321)+1)</f>
        <v>1948</v>
      </c>
      <c r="C321" s="15" t="n">
        <f aca="false">MONTH(A321)</f>
        <v>11</v>
      </c>
      <c r="D321" s="15" t="n">
        <f aca="false">DAY(A321)</f>
        <v>30</v>
      </c>
      <c r="E321" s="15" t="n">
        <f aca="false">VLOOKUP(B321,WYT!$A$2:$L$97,12)</f>
        <v>1</v>
      </c>
      <c r="F321" s="15" t="n">
        <f aca="false">IF(C321=$W$5,1,0)</f>
        <v>0</v>
      </c>
      <c r="G321" s="15" t="n">
        <f aca="false">IF(C321=10,0,IF(F321=1,1,G320))</f>
        <v>0</v>
      </c>
      <c r="H321" s="5" t="n">
        <f aca="false">VA_base_426_data!B321</f>
        <v>1200.00000000001</v>
      </c>
      <c r="I321" s="5" t="n">
        <f aca="false">IF(AND(E321=1,OR(C321=4,C321=5)),25*12.1/24/D321*1000,0)</f>
        <v>0</v>
      </c>
      <c r="J321" s="5" t="n">
        <f aca="false">VA_base_426_data!C321</f>
        <v>1200</v>
      </c>
      <c r="K321" s="5" t="n">
        <f aca="false">H321+I321-J321</f>
        <v>1.36424205265939E-011</v>
      </c>
      <c r="L321" s="5" t="n">
        <f aca="false">MIN($W$7,J321+K321)</f>
        <v>1200.00000000001</v>
      </c>
      <c r="M321" s="5" t="n">
        <f aca="false">VA_base_426_data!D321</f>
        <v>800</v>
      </c>
      <c r="N321" s="5" t="n">
        <f aca="false">IF(AND(C321=10,E321=1),$W$6,N320-P320)</f>
        <v>43</v>
      </c>
      <c r="O321" s="5" t="n">
        <f aca="false">IF(ABS(M321-L321)&gt;1,MIN(N321/((L321-M321)*24/12.1/1000),D321),D321)</f>
        <v>30</v>
      </c>
      <c r="P321" s="5" t="n">
        <f aca="false">MIN(IF(AND(G321,E321),(L321-M321)*24/12.1*O321/1000,0),N321)</f>
        <v>0</v>
      </c>
      <c r="Q321" s="5" t="n">
        <f aca="false">IF(P321&gt;0,P321/O321*12.1/24*1000+M321,0)</f>
        <v>0</v>
      </c>
      <c r="R321" s="0" t="n">
        <f aca="false">IF(Q321&gt;0,TRUNC(O321),0)</f>
        <v>0</v>
      </c>
      <c r="S321" s="5" t="n">
        <f aca="false">(M321*(D321-R321)+(Q321*R321))/D321</f>
        <v>800</v>
      </c>
      <c r="T321" s="6" t="n">
        <f aca="false">(Q321-M321)*R321*24/12.1/1000</f>
        <v>-0</v>
      </c>
    </row>
    <row r="322" customFormat="false" ht="14.35" hidden="false" customHeight="false" outlineLevel="0" collapsed="false">
      <c r="A322" s="4" t="n">
        <v>17532</v>
      </c>
      <c r="B322" s="15" t="n">
        <f aca="false">IF(C322&lt;=9,YEAR(A322),YEAR(A322)+1)</f>
        <v>1948</v>
      </c>
      <c r="C322" s="15" t="n">
        <f aca="false">MONTH(A322)</f>
        <v>12</v>
      </c>
      <c r="D322" s="15" t="n">
        <f aca="false">DAY(A322)</f>
        <v>31</v>
      </c>
      <c r="E322" s="15" t="n">
        <f aca="false">VLOOKUP(B322,WYT!$A$2:$L$97,12)</f>
        <v>1</v>
      </c>
      <c r="F322" s="15" t="n">
        <f aca="false">IF(C322=$W$5,1,0)</f>
        <v>0</v>
      </c>
      <c r="G322" s="15" t="n">
        <f aca="false">IF(C322=10,0,IF(F322=1,1,G321))</f>
        <v>0</v>
      </c>
      <c r="H322" s="5" t="n">
        <f aca="false">VA_base_426_data!B322</f>
        <v>1200</v>
      </c>
      <c r="I322" s="5" t="n">
        <f aca="false">IF(AND(E322=1,OR(C322=4,C322=5)),25*12.1/24/D322*1000,0)</f>
        <v>0</v>
      </c>
      <c r="J322" s="5" t="n">
        <f aca="false">VA_base_426_data!C322</f>
        <v>1200</v>
      </c>
      <c r="K322" s="5" t="n">
        <f aca="false">H322+I322-J322</f>
        <v>0</v>
      </c>
      <c r="L322" s="5" t="n">
        <f aca="false">MIN($W$7,J322+K322)</f>
        <v>1200</v>
      </c>
      <c r="M322" s="5" t="n">
        <f aca="false">VA_base_426_data!D322</f>
        <v>800</v>
      </c>
      <c r="N322" s="5" t="n">
        <f aca="false">IF(AND(C322=10,E322=1),$W$6,N321-P321)</f>
        <v>43</v>
      </c>
      <c r="O322" s="5" t="n">
        <f aca="false">IF(ABS(M322-L322)&gt;1,MIN(N322/((L322-M322)*24/12.1/1000),D322),D322)</f>
        <v>31</v>
      </c>
      <c r="P322" s="5" t="n">
        <f aca="false">MIN(IF(AND(G322,E322),(L322-M322)*24/12.1*O322/1000,0),N322)</f>
        <v>0</v>
      </c>
      <c r="Q322" s="5" t="n">
        <f aca="false">IF(P322&gt;0,P322/O322*12.1/24*1000+M322,0)</f>
        <v>0</v>
      </c>
      <c r="R322" s="0" t="n">
        <f aca="false">IF(Q322&gt;0,TRUNC(O322),0)</f>
        <v>0</v>
      </c>
      <c r="S322" s="5" t="n">
        <f aca="false">(M322*(D322-R322)+(Q322*R322))/D322</f>
        <v>800</v>
      </c>
      <c r="T322" s="6" t="n">
        <f aca="false">(Q322-M322)*R322*24/12.1/1000</f>
        <v>-0</v>
      </c>
    </row>
    <row r="323" customFormat="false" ht="14.35" hidden="false" customHeight="false" outlineLevel="0" collapsed="false">
      <c r="A323" s="4" t="n">
        <v>17563</v>
      </c>
      <c r="B323" s="15" t="n">
        <f aca="false">IF(C323&lt;=9,YEAR(A323),YEAR(A323)+1)</f>
        <v>1948</v>
      </c>
      <c r="C323" s="15" t="n">
        <f aca="false">MONTH(A323)</f>
        <v>1</v>
      </c>
      <c r="D323" s="15" t="n">
        <f aca="false">DAY(A323)</f>
        <v>31</v>
      </c>
      <c r="E323" s="15" t="n">
        <f aca="false">VLOOKUP(B323,WYT!$A$2:$L$97,12)</f>
        <v>1</v>
      </c>
      <c r="F323" s="15" t="n">
        <f aca="false">IF(C323=$W$5,1,0)</f>
        <v>0</v>
      </c>
      <c r="G323" s="15" t="n">
        <f aca="false">IF(C323=10,0,IF(F323=1,1,G322))</f>
        <v>0</v>
      </c>
      <c r="H323" s="5" t="n">
        <f aca="false">VA_base_426_data!B323</f>
        <v>1200</v>
      </c>
      <c r="I323" s="5" t="n">
        <f aca="false">IF(AND(E323=1,OR(C323=4,C323=5)),25*12.1/24/D323*1000,0)</f>
        <v>0</v>
      </c>
      <c r="J323" s="5" t="n">
        <f aca="false">VA_base_426_data!C323</f>
        <v>1200</v>
      </c>
      <c r="K323" s="5" t="n">
        <f aca="false">H323+I323-J323</f>
        <v>0</v>
      </c>
      <c r="L323" s="5" t="n">
        <f aca="false">MIN($W$7,J323+K323)</f>
        <v>1200</v>
      </c>
      <c r="M323" s="5" t="n">
        <f aca="false">VA_base_426_data!D323</f>
        <v>800</v>
      </c>
      <c r="N323" s="5" t="n">
        <f aca="false">IF(AND(C323=10,E323=1),$W$6,N322-P322)</f>
        <v>43</v>
      </c>
      <c r="O323" s="5" t="n">
        <f aca="false">IF(ABS(M323-L323)&gt;1,MIN(N323/((L323-M323)*24/12.1/1000),D323),D323)</f>
        <v>31</v>
      </c>
      <c r="P323" s="5" t="n">
        <f aca="false">MIN(IF(AND(G323,E323),(L323-M323)*24/12.1*O323/1000,0),N323)</f>
        <v>0</v>
      </c>
      <c r="Q323" s="5" t="n">
        <f aca="false">IF(P323&gt;0,P323/O323*12.1/24*1000+M323,0)</f>
        <v>0</v>
      </c>
      <c r="R323" s="0" t="n">
        <f aca="false">IF(Q323&gt;0,TRUNC(O323),0)</f>
        <v>0</v>
      </c>
      <c r="S323" s="5" t="n">
        <f aca="false">(M323*(D323-R323)+(Q323*R323))/D323</f>
        <v>800</v>
      </c>
      <c r="T323" s="6" t="n">
        <f aca="false">(Q323-M323)*R323*24/12.1/1000</f>
        <v>-0</v>
      </c>
    </row>
    <row r="324" customFormat="false" ht="14.35" hidden="false" customHeight="false" outlineLevel="0" collapsed="false">
      <c r="A324" s="4" t="n">
        <v>17592</v>
      </c>
      <c r="B324" s="15" t="n">
        <f aca="false">IF(C324&lt;=9,YEAR(A324),YEAR(A324)+1)</f>
        <v>1948</v>
      </c>
      <c r="C324" s="15" t="n">
        <f aca="false">MONTH(A324)</f>
        <v>2</v>
      </c>
      <c r="D324" s="15" t="n">
        <f aca="false">DAY(A324)</f>
        <v>29</v>
      </c>
      <c r="E324" s="15" t="n">
        <f aca="false">VLOOKUP(B324,WYT!$A$2:$L$97,12)</f>
        <v>1</v>
      </c>
      <c r="F324" s="15" t="n">
        <f aca="false">IF(C324=$W$5,1,0)</f>
        <v>1</v>
      </c>
      <c r="G324" s="15" t="n">
        <f aca="false">IF(C324=10,0,IF(F324=1,1,G323))</f>
        <v>1</v>
      </c>
      <c r="H324" s="5" t="n">
        <f aca="false">VA_base_426_data!B324</f>
        <v>1200</v>
      </c>
      <c r="I324" s="5" t="n">
        <f aca="false">IF(AND(E324=1,OR(C324=4,C324=5)),25*12.1/24/D324*1000,0)</f>
        <v>0</v>
      </c>
      <c r="J324" s="5" t="n">
        <f aca="false">VA_base_426_data!C324</f>
        <v>1200</v>
      </c>
      <c r="K324" s="5" t="n">
        <f aca="false">H324+I324-J324</f>
        <v>0</v>
      </c>
      <c r="L324" s="5" t="n">
        <f aca="false">MIN($W$7,J324+K324)</f>
        <v>1200</v>
      </c>
      <c r="M324" s="5" t="n">
        <f aca="false">VA_base_426_data!D324</f>
        <v>800</v>
      </c>
      <c r="N324" s="5" t="n">
        <f aca="false">IF(AND(C324=10,E324=1),$W$6,N323-P323)</f>
        <v>43</v>
      </c>
      <c r="O324" s="5" t="n">
        <f aca="false">IF(ABS(M324-L324)&gt;1,MIN(N324/((L324-M324)*24/12.1/1000),D324),D324)</f>
        <v>29</v>
      </c>
      <c r="P324" s="5" t="n">
        <f aca="false">MIN(IF(AND(G324,E324),(L324-M324)*24/12.1*O324/1000,0),N324)</f>
        <v>23.0082644628099</v>
      </c>
      <c r="Q324" s="5" t="n">
        <f aca="false">IF(P324&gt;0,P324/O324*12.1/24*1000+M324,0)</f>
        <v>1200</v>
      </c>
      <c r="R324" s="0" t="n">
        <f aca="false">IF(Q324&gt;0,TRUNC(O324),0)</f>
        <v>29</v>
      </c>
      <c r="S324" s="5" t="n">
        <f aca="false">(M324*(D324-R324)+(Q324*R324))/D324</f>
        <v>1200</v>
      </c>
      <c r="T324" s="6" t="n">
        <f aca="false">(Q324-M324)*R324*24/12.1/1000</f>
        <v>23.0082644628099</v>
      </c>
    </row>
    <row r="325" customFormat="false" ht="14.35" hidden="false" customHeight="false" outlineLevel="0" collapsed="false">
      <c r="A325" s="4" t="n">
        <v>17623</v>
      </c>
      <c r="B325" s="15" t="n">
        <f aca="false">IF(C325&lt;=9,YEAR(A325),YEAR(A325)+1)</f>
        <v>1948</v>
      </c>
      <c r="C325" s="15" t="n">
        <f aca="false">MONTH(A325)</f>
        <v>3</v>
      </c>
      <c r="D325" s="15" t="n">
        <f aca="false">DAY(A325)</f>
        <v>31</v>
      </c>
      <c r="E325" s="15" t="n">
        <f aca="false">VLOOKUP(B325,WYT!$A$2:$L$97,12)</f>
        <v>1</v>
      </c>
      <c r="F325" s="15" t="n">
        <f aca="false">IF(C325=$W$5,1,0)</f>
        <v>0</v>
      </c>
      <c r="G325" s="15" t="n">
        <f aca="false">IF(C325=10,0,IF(F325=1,1,G324))</f>
        <v>1</v>
      </c>
      <c r="H325" s="5" t="n">
        <f aca="false">VA_base_426_data!B325</f>
        <v>1000</v>
      </c>
      <c r="I325" s="5" t="n">
        <f aca="false">IF(AND(E325=1,OR(C325=4,C325=5)),25*12.1/24/D325*1000,0)</f>
        <v>0</v>
      </c>
      <c r="J325" s="5" t="n">
        <f aca="false">VA_base_426_data!C325</f>
        <v>1000</v>
      </c>
      <c r="K325" s="5" t="n">
        <f aca="false">H325+I325-J325</f>
        <v>0</v>
      </c>
      <c r="L325" s="5" t="n">
        <f aca="false">MIN($W$7,J325+K325)</f>
        <v>1000</v>
      </c>
      <c r="M325" s="5" t="n">
        <f aca="false">VA_base_426_data!D325</f>
        <v>800</v>
      </c>
      <c r="N325" s="5" t="n">
        <f aca="false">IF(AND(C325=10,E325=1),$W$6,N324-P324)</f>
        <v>19.9917355371901</v>
      </c>
      <c r="O325" s="5" t="n">
        <f aca="false">IF(ABS(M325-L325)&gt;1,MIN(N325/((L325-M325)*24/12.1/1000),D325),D325)</f>
        <v>31</v>
      </c>
      <c r="P325" s="5" t="n">
        <f aca="false">MIN(IF(AND(G325,E325),(L325-M325)*24/12.1*O325/1000,0),N325)</f>
        <v>12.297520661157</v>
      </c>
      <c r="Q325" s="5" t="n">
        <f aca="false">IF(P325&gt;0,P325/O325*12.1/24*1000+M325,0)</f>
        <v>1000</v>
      </c>
      <c r="R325" s="0" t="n">
        <f aca="false">IF(Q325&gt;0,TRUNC(O325),0)</f>
        <v>31</v>
      </c>
      <c r="S325" s="5" t="n">
        <f aca="false">(M325*(D325-R325)+(Q325*R325))/D325</f>
        <v>1000</v>
      </c>
      <c r="T325" s="6" t="n">
        <f aca="false">(Q325-M325)*R325*24/12.1/1000</f>
        <v>12.297520661157</v>
      </c>
    </row>
    <row r="326" customFormat="false" ht="14.35" hidden="false" customHeight="false" outlineLevel="0" collapsed="false">
      <c r="A326" s="4" t="n">
        <v>17653</v>
      </c>
      <c r="B326" s="15" t="n">
        <f aca="false">IF(C326&lt;=9,YEAR(A326),YEAR(A326)+1)</f>
        <v>1948</v>
      </c>
      <c r="C326" s="15" t="n">
        <f aca="false">MONTH(A326)</f>
        <v>4</v>
      </c>
      <c r="D326" s="15" t="n">
        <f aca="false">DAY(A326)</f>
        <v>30</v>
      </c>
      <c r="E326" s="15" t="n">
        <f aca="false">VLOOKUP(B326,WYT!$A$2:$L$97,12)</f>
        <v>1</v>
      </c>
      <c r="F326" s="15" t="n">
        <f aca="false">IF(C326=$W$5,1,0)</f>
        <v>0</v>
      </c>
      <c r="G326" s="15" t="n">
        <f aca="false">IF(C326=10,0,IF(F326=1,1,G325))</f>
        <v>1</v>
      </c>
      <c r="H326" s="5" t="n">
        <f aca="false">VA_base_426_data!B326</f>
        <v>1000</v>
      </c>
      <c r="I326" s="5" t="n">
        <f aca="false">IF(AND(E326=1,OR(C326=4,C326=5)),25*12.1/24/D326*1000,0)</f>
        <v>420.138888888889</v>
      </c>
      <c r="J326" s="5" t="n">
        <f aca="false">VA_base_426_data!C326</f>
        <v>1000</v>
      </c>
      <c r="K326" s="5" t="n">
        <f aca="false">H326+I326-J326</f>
        <v>420.138888888889</v>
      </c>
      <c r="L326" s="5" t="n">
        <f aca="false">MIN($W$7,J326+K326)</f>
        <v>1420.13888888889</v>
      </c>
      <c r="M326" s="5" t="n">
        <f aca="false">VA_base_426_data!D326</f>
        <v>700</v>
      </c>
      <c r="N326" s="5" t="n">
        <f aca="false">IF(AND(C326=10,E326=1),$W$6,N325-P325)</f>
        <v>7.69421487603306</v>
      </c>
      <c r="O326" s="5" t="n">
        <f aca="false">IF(ABS(M326-L326)&gt;1,MIN(N326/((L326-M326)*24/12.1/1000),D326),D326)</f>
        <v>5.38669238187078</v>
      </c>
      <c r="P326" s="5" t="n">
        <f aca="false">MIN(IF(AND(G326,E326),(L326-M326)*24/12.1*O326/1000,0),N326)</f>
        <v>7.69421487603306</v>
      </c>
      <c r="Q326" s="5" t="n">
        <f aca="false">IF(P326&gt;0,P326/O326*12.1/24*1000+M326,0)</f>
        <v>1420.13888888889</v>
      </c>
      <c r="R326" s="0" t="n">
        <f aca="false">IF(Q326&gt;0,TRUNC(O326),0)</f>
        <v>5</v>
      </c>
      <c r="S326" s="5" t="n">
        <f aca="false">(M326*(D326-R326)+(Q326*R326))/D326</f>
        <v>820.023148148148</v>
      </c>
      <c r="T326" s="6" t="n">
        <f aca="false">(Q326-M326)*R326*24/12.1/1000</f>
        <v>7.14187327823692</v>
      </c>
    </row>
    <row r="327" customFormat="false" ht="14.35" hidden="false" customHeight="false" outlineLevel="0" collapsed="false">
      <c r="A327" s="4" t="n">
        <v>17684</v>
      </c>
      <c r="B327" s="15" t="n">
        <f aca="false">IF(C327&lt;=9,YEAR(A327),YEAR(A327)+1)</f>
        <v>1948</v>
      </c>
      <c r="C327" s="15" t="n">
        <f aca="false">MONTH(A327)</f>
        <v>5</v>
      </c>
      <c r="D327" s="15" t="n">
        <f aca="false">DAY(A327)</f>
        <v>31</v>
      </c>
      <c r="E327" s="15" t="n">
        <f aca="false">VLOOKUP(B327,WYT!$A$2:$L$97,12)</f>
        <v>1</v>
      </c>
      <c r="F327" s="15" t="n">
        <f aca="false">IF(C327=$W$5,1,0)</f>
        <v>0</v>
      </c>
      <c r="G327" s="15" t="n">
        <f aca="false">IF(C327=10,0,IF(F327=1,1,G326))</f>
        <v>1</v>
      </c>
      <c r="H327" s="5" t="n">
        <f aca="false">VA_base_426_data!B327</f>
        <v>1000</v>
      </c>
      <c r="I327" s="5" t="n">
        <f aca="false">IF(AND(E327=1,OR(C327=4,C327=5)),25*12.1/24/D327*1000,0)</f>
        <v>406.586021505376</v>
      </c>
      <c r="J327" s="5" t="n">
        <f aca="false">VA_base_426_data!C327</f>
        <v>1000</v>
      </c>
      <c r="K327" s="5" t="n">
        <f aca="false">H327+I327-J327</f>
        <v>406.586021505376</v>
      </c>
      <c r="L327" s="5" t="n">
        <f aca="false">MIN($W$7,J327+K327)</f>
        <v>1406.58602150538</v>
      </c>
      <c r="M327" s="5" t="n">
        <f aca="false">VA_base_426_data!D327</f>
        <v>700</v>
      </c>
      <c r="N327" s="5" t="n">
        <f aca="false">IF(AND(C327=10,E327=1),$W$6,N326-P326)</f>
        <v>0</v>
      </c>
      <c r="O327" s="5" t="n">
        <f aca="false">IF(ABS(M327-L327)&gt;1,MIN(N327/((L327-M327)*24/12.1/1000),D327),D327)</f>
        <v>0</v>
      </c>
      <c r="P327" s="5" t="n">
        <f aca="false">MIN(IF(AND(G327,E327),(L327-M327)*24/12.1*O327/1000,0),N327)</f>
        <v>0</v>
      </c>
      <c r="Q327" s="5" t="n">
        <f aca="false">IF(P327&gt;0,P327/O327*12.1/24*1000+M327,0)</f>
        <v>0</v>
      </c>
      <c r="R327" s="0" t="n">
        <f aca="false">IF(Q327&gt;0,TRUNC(O327),0)</f>
        <v>0</v>
      </c>
      <c r="S327" s="5" t="n">
        <f aca="false">(M327*(D327-R327)+(Q327*R327))/D327</f>
        <v>700</v>
      </c>
      <c r="T327" s="6" t="n">
        <f aca="false">(Q327-M327)*R327*24/12.1/1000</f>
        <v>-0</v>
      </c>
    </row>
    <row r="328" customFormat="false" ht="14.35" hidden="false" customHeight="false" outlineLevel="0" collapsed="false">
      <c r="A328" s="4" t="n">
        <v>17714</v>
      </c>
      <c r="B328" s="15" t="n">
        <f aca="false">IF(C328&lt;=9,YEAR(A328),YEAR(A328)+1)</f>
        <v>1948</v>
      </c>
      <c r="C328" s="15" t="n">
        <f aca="false">MONTH(A328)</f>
        <v>6</v>
      </c>
      <c r="D328" s="15" t="n">
        <f aca="false">DAY(A328)</f>
        <v>30</v>
      </c>
      <c r="E328" s="15" t="n">
        <f aca="false">VLOOKUP(B328,WYT!$A$2:$L$97,12)</f>
        <v>1</v>
      </c>
      <c r="F328" s="15" t="n">
        <f aca="false">IF(C328=$W$5,1,0)</f>
        <v>0</v>
      </c>
      <c r="G328" s="15" t="n">
        <f aca="false">IF(C328=10,0,IF(F328=1,1,G327))</f>
        <v>1</v>
      </c>
      <c r="H328" s="5" t="n">
        <f aca="false">VA_base_426_data!B328</f>
        <v>1000</v>
      </c>
      <c r="I328" s="5" t="n">
        <f aca="false">IF(AND(E328=1,OR(C328=4,C328=5)),25*12.1/24/D328*1000,0)</f>
        <v>0</v>
      </c>
      <c r="J328" s="5" t="n">
        <f aca="false">VA_base_426_data!C328</f>
        <v>1000</v>
      </c>
      <c r="K328" s="5" t="n">
        <f aca="false">H328+I328-J328</f>
        <v>0</v>
      </c>
      <c r="L328" s="5" t="n">
        <f aca="false">MIN($W$7,J328+K328)</f>
        <v>1000</v>
      </c>
      <c r="M328" s="5" t="n">
        <f aca="false">VA_base_426_data!D328</f>
        <v>700</v>
      </c>
      <c r="N328" s="5" t="n">
        <f aca="false">IF(AND(C328=10,E328=1),$W$6,N327-P327)</f>
        <v>0</v>
      </c>
      <c r="O328" s="5" t="n">
        <f aca="false">IF(ABS(M328-L328)&gt;1,MIN(N328/((L328-M328)*24/12.1/1000),D328),D328)</f>
        <v>0</v>
      </c>
      <c r="P328" s="5" t="n">
        <f aca="false">MIN(IF(AND(G328,E328),(L328-M328)*24/12.1*O328/1000,0),N328)</f>
        <v>0</v>
      </c>
      <c r="Q328" s="5" t="n">
        <f aca="false">IF(P328&gt;0,P328/O328*12.1/24*1000+M328,0)</f>
        <v>0</v>
      </c>
      <c r="R328" s="0" t="n">
        <f aca="false">IF(Q328&gt;0,TRUNC(O328),0)</f>
        <v>0</v>
      </c>
      <c r="S328" s="5" t="n">
        <f aca="false">(M328*(D328-R328)+(Q328*R328))/D328</f>
        <v>700</v>
      </c>
      <c r="T328" s="6" t="n">
        <f aca="false">(Q328-M328)*R328*24/12.1/1000</f>
        <v>-0</v>
      </c>
    </row>
    <row r="329" customFormat="false" ht="14.35" hidden="false" customHeight="false" outlineLevel="0" collapsed="false">
      <c r="A329" s="4" t="n">
        <v>17745</v>
      </c>
      <c r="B329" s="15" t="n">
        <f aca="false">IF(C329&lt;=9,YEAR(A329),YEAR(A329)+1)</f>
        <v>1948</v>
      </c>
      <c r="C329" s="15" t="n">
        <f aca="false">MONTH(A329)</f>
        <v>7</v>
      </c>
      <c r="D329" s="15" t="n">
        <f aca="false">DAY(A329)</f>
        <v>31</v>
      </c>
      <c r="E329" s="15" t="n">
        <f aca="false">VLOOKUP(B329,WYT!$A$2:$L$97,12)</f>
        <v>1</v>
      </c>
      <c r="F329" s="15" t="n">
        <f aca="false">IF(C329=$W$5,1,0)</f>
        <v>0</v>
      </c>
      <c r="G329" s="15" t="n">
        <f aca="false">IF(C329=10,0,IF(F329=1,1,G328))</f>
        <v>1</v>
      </c>
      <c r="H329" s="5" t="n">
        <f aca="false">VA_base_426_data!B329</f>
        <v>8819.0468888519</v>
      </c>
      <c r="I329" s="5" t="n">
        <f aca="false">IF(AND(E329=1,OR(C329=4,C329=5)),25*12.1/24/D329*1000,0)</f>
        <v>0</v>
      </c>
      <c r="J329" s="5" t="n">
        <f aca="false">VA_base_426_data!C329</f>
        <v>1000</v>
      </c>
      <c r="K329" s="5" t="n">
        <f aca="false">H329+I329-J329</f>
        <v>7819.0468888519</v>
      </c>
      <c r="L329" s="5" t="n">
        <f aca="false">MIN($W$7,J329+K329)</f>
        <v>2000</v>
      </c>
      <c r="M329" s="5" t="n">
        <f aca="false">VA_base_426_data!D329</f>
        <v>700</v>
      </c>
      <c r="N329" s="5" t="n">
        <f aca="false">IF(AND(C329=10,E329=1),$W$6,N328-P328)</f>
        <v>0</v>
      </c>
      <c r="O329" s="5" t="n">
        <f aca="false">IF(ABS(M329-L329)&gt;1,MIN(N329/((L329-M329)*24/12.1/1000),D329),D329)</f>
        <v>0</v>
      </c>
      <c r="P329" s="5" t="n">
        <f aca="false">MIN(IF(AND(G329,E329),(L329-M329)*24/12.1*O329/1000,0),N329)</f>
        <v>0</v>
      </c>
      <c r="Q329" s="5" t="n">
        <f aca="false">IF(P329&gt;0,P329/O329*12.1/24*1000+M329,0)</f>
        <v>0</v>
      </c>
      <c r="R329" s="0" t="n">
        <f aca="false">IF(Q329&gt;0,TRUNC(O329),0)</f>
        <v>0</v>
      </c>
      <c r="S329" s="5" t="n">
        <f aca="false">(M329*(D329-R329)+(Q329*R329))/D329</f>
        <v>700</v>
      </c>
      <c r="T329" s="6" t="n">
        <f aca="false">(Q329-M329)*R329*24/12.1/1000</f>
        <v>-0</v>
      </c>
    </row>
    <row r="330" customFormat="false" ht="14.35" hidden="false" customHeight="false" outlineLevel="0" collapsed="false">
      <c r="A330" s="4" t="n">
        <v>17776</v>
      </c>
      <c r="B330" s="15" t="n">
        <f aca="false">IF(C330&lt;=9,YEAR(A330),YEAR(A330)+1)</f>
        <v>1948</v>
      </c>
      <c r="C330" s="15" t="n">
        <f aca="false">MONTH(A330)</f>
        <v>8</v>
      </c>
      <c r="D330" s="15" t="n">
        <f aca="false">DAY(A330)</f>
        <v>31</v>
      </c>
      <c r="E330" s="15" t="n">
        <f aca="false">VLOOKUP(B330,WYT!$A$2:$L$97,12)</f>
        <v>1</v>
      </c>
      <c r="F330" s="15" t="n">
        <f aca="false">IF(C330=$W$5,1,0)</f>
        <v>0</v>
      </c>
      <c r="G330" s="15" t="n">
        <f aca="false">IF(C330=10,0,IF(F330=1,1,G329))</f>
        <v>1</v>
      </c>
      <c r="H330" s="5" t="n">
        <f aca="false">VA_base_426_data!B330</f>
        <v>8008.09758556615</v>
      </c>
      <c r="I330" s="5" t="n">
        <f aca="false">IF(AND(E330=1,OR(C330=4,C330=5)),25*12.1/24/D330*1000,0)</f>
        <v>0</v>
      </c>
      <c r="J330" s="5" t="n">
        <f aca="false">VA_base_426_data!C330</f>
        <v>1000</v>
      </c>
      <c r="K330" s="5" t="n">
        <f aca="false">H330+I330-J330</f>
        <v>7008.09758556615</v>
      </c>
      <c r="L330" s="5" t="n">
        <f aca="false">MIN($W$7,J330+K330)</f>
        <v>2000</v>
      </c>
      <c r="M330" s="5" t="n">
        <f aca="false">VA_base_426_data!D330</f>
        <v>700</v>
      </c>
      <c r="N330" s="5" t="n">
        <f aca="false">IF(AND(C330=10,E330=1),$W$6,N329-P329)</f>
        <v>0</v>
      </c>
      <c r="O330" s="5" t="n">
        <f aca="false">IF(ABS(M330-L330)&gt;1,MIN(N330/((L330-M330)*24/12.1/1000),D330),D330)</f>
        <v>0</v>
      </c>
      <c r="P330" s="5" t="n">
        <f aca="false">MIN(IF(AND(G330,E330),(L330-M330)*24/12.1*O330/1000,0),N330)</f>
        <v>0</v>
      </c>
      <c r="Q330" s="5" t="n">
        <f aca="false">IF(P330&gt;0,P330/O330*12.1/24*1000+M330,0)</f>
        <v>0</v>
      </c>
      <c r="R330" s="0" t="n">
        <f aca="false">IF(Q330&gt;0,TRUNC(O330),0)</f>
        <v>0</v>
      </c>
      <c r="S330" s="5" t="n">
        <f aca="false">(M330*(D330-R330)+(Q330*R330))/D330</f>
        <v>700</v>
      </c>
      <c r="T330" s="6" t="n">
        <f aca="false">(Q330-M330)*R330*24/12.1/1000</f>
        <v>-0</v>
      </c>
    </row>
    <row r="331" customFormat="false" ht="14.35" hidden="false" customHeight="false" outlineLevel="0" collapsed="false">
      <c r="A331" s="4" t="n">
        <v>17806</v>
      </c>
      <c r="B331" s="15" t="n">
        <f aca="false">IF(C331&lt;=9,YEAR(A331),YEAR(A331)+1)</f>
        <v>1948</v>
      </c>
      <c r="C331" s="15" t="n">
        <f aca="false">MONTH(A331)</f>
        <v>9</v>
      </c>
      <c r="D331" s="15" t="n">
        <f aca="false">DAY(A331)</f>
        <v>30</v>
      </c>
      <c r="E331" s="15" t="n">
        <f aca="false">VLOOKUP(B331,WYT!$A$2:$L$97,12)</f>
        <v>1</v>
      </c>
      <c r="F331" s="15" t="n">
        <f aca="false">IF(C331=$W$5,1,0)</f>
        <v>0</v>
      </c>
      <c r="G331" s="15" t="n">
        <f aca="false">IF(C331=10,0,IF(F331=1,1,G330))</f>
        <v>1</v>
      </c>
      <c r="H331" s="5" t="n">
        <f aca="false">VA_base_426_data!B331</f>
        <v>2434.69459956225</v>
      </c>
      <c r="I331" s="5" t="n">
        <f aca="false">IF(AND(E331=1,OR(C331=4,C331=5)),25*12.1/24/D331*1000,0)</f>
        <v>0</v>
      </c>
      <c r="J331" s="5" t="n">
        <f aca="false">VA_base_426_data!C331</f>
        <v>1000</v>
      </c>
      <c r="K331" s="5" t="n">
        <f aca="false">H331+I331-J331</f>
        <v>1434.69459956225</v>
      </c>
      <c r="L331" s="5" t="n">
        <f aca="false">MIN($W$7,J331+K331)</f>
        <v>2000</v>
      </c>
      <c r="M331" s="5" t="n">
        <f aca="false">VA_base_426_data!D331</f>
        <v>773.3333333</v>
      </c>
      <c r="N331" s="5" t="n">
        <f aca="false">IF(AND(C331=10,E331=1),$W$6,N330-P330)</f>
        <v>0</v>
      </c>
      <c r="O331" s="5" t="n">
        <f aca="false">IF(ABS(M331-L331)&gt;1,MIN(N331/((L331-M331)*24/12.1/1000),D331),D331)</f>
        <v>0</v>
      </c>
      <c r="P331" s="5" t="n">
        <f aca="false">MIN(IF(AND(G331,E331),(L331-M331)*24/12.1*O331/1000,0),N331)</f>
        <v>0</v>
      </c>
      <c r="Q331" s="5" t="n">
        <f aca="false">IF(P331&gt;0,P331/O331*12.1/24*1000+M331,0)</f>
        <v>0</v>
      </c>
      <c r="R331" s="0" t="n">
        <f aca="false">IF(Q331&gt;0,TRUNC(O331),0)</f>
        <v>0</v>
      </c>
      <c r="S331" s="5" t="n">
        <f aca="false">(M331*(D331-R331)+(Q331*R331))/D331</f>
        <v>773.3333333</v>
      </c>
      <c r="T331" s="6" t="n">
        <f aca="false">(Q331-M331)*R331*24/12.1/1000</f>
        <v>-0</v>
      </c>
    </row>
    <row r="332" customFormat="false" ht="14.35" hidden="false" customHeight="false" outlineLevel="0" collapsed="false">
      <c r="A332" s="4" t="n">
        <v>17837</v>
      </c>
      <c r="B332" s="15" t="n">
        <f aca="false">IF(C332&lt;=9,YEAR(A332),YEAR(A332)+1)</f>
        <v>1949</v>
      </c>
      <c r="C332" s="15" t="n">
        <f aca="false">MONTH(A332)</f>
        <v>10</v>
      </c>
      <c r="D332" s="15" t="n">
        <f aca="false">DAY(A332)</f>
        <v>31</v>
      </c>
      <c r="E332" s="15" t="n">
        <f aca="false">VLOOKUP(B332,WYT!$A$2:$L$97,12)</f>
        <v>1</v>
      </c>
      <c r="F332" s="15" t="n">
        <f aca="false">IF(C332=$W$5,1,0)</f>
        <v>0</v>
      </c>
      <c r="G332" s="15" t="n">
        <f aca="false">IF(C332=10,0,IF(F332=1,1,G331))</f>
        <v>0</v>
      </c>
      <c r="H332" s="5" t="n">
        <f aca="false">VA_base_426_data!B332</f>
        <v>1996.13118620797</v>
      </c>
      <c r="I332" s="5" t="n">
        <f aca="false">IF(AND(E332=1,OR(C332=4,C332=5)),25*12.1/24/D332*1000,0)</f>
        <v>0</v>
      </c>
      <c r="J332" s="5" t="n">
        <f aca="false">VA_base_426_data!C332</f>
        <v>1700</v>
      </c>
      <c r="K332" s="5" t="n">
        <f aca="false">H332+I332-J332</f>
        <v>296.131186207971</v>
      </c>
      <c r="L332" s="5" t="n">
        <f aca="false">MIN($W$7,J332+K332)</f>
        <v>1996.13118620797</v>
      </c>
      <c r="M332" s="5" t="n">
        <f aca="false">VA_base_426_data!D332</f>
        <v>800</v>
      </c>
      <c r="N332" s="5" t="n">
        <f aca="false">IF(AND(C332=10,E332=1),$W$6,N331-P331)</f>
        <v>43</v>
      </c>
      <c r="O332" s="5" t="n">
        <f aca="false">IF(ABS(M332-L332)&gt;1,MIN(N332/((L332-M332)*24/12.1/1000),D332),D332)</f>
        <v>18.1244055139093</v>
      </c>
      <c r="P332" s="5" t="n">
        <f aca="false">MIN(IF(AND(G332,E332),(L332-M332)*24/12.1*O332/1000,0),N332)</f>
        <v>0</v>
      </c>
      <c r="Q332" s="5" t="n">
        <f aca="false">IF(P332&gt;0,P332/O332*12.1/24*1000+M332,0)</f>
        <v>0</v>
      </c>
      <c r="R332" s="0" t="n">
        <f aca="false">IF(Q332&gt;0,TRUNC(O332),0)</f>
        <v>0</v>
      </c>
      <c r="S332" s="5" t="n">
        <f aca="false">(M332*(D332-R332)+(Q332*R332))/D332</f>
        <v>800</v>
      </c>
      <c r="T332" s="6" t="n">
        <f aca="false">(Q332-M332)*R332*24/12.1/1000</f>
        <v>-0</v>
      </c>
    </row>
    <row r="333" customFormat="false" ht="14.35" hidden="false" customHeight="false" outlineLevel="0" collapsed="false">
      <c r="A333" s="4" t="n">
        <v>17867</v>
      </c>
      <c r="B333" s="15" t="n">
        <f aca="false">IF(C333&lt;=9,YEAR(A333),YEAR(A333)+1)</f>
        <v>1949</v>
      </c>
      <c r="C333" s="15" t="n">
        <f aca="false">MONTH(A333)</f>
        <v>11</v>
      </c>
      <c r="D333" s="15" t="n">
        <f aca="false">DAY(A333)</f>
        <v>30</v>
      </c>
      <c r="E333" s="15" t="n">
        <f aca="false">VLOOKUP(B333,WYT!$A$2:$L$97,12)</f>
        <v>1</v>
      </c>
      <c r="F333" s="15" t="n">
        <f aca="false">IF(C333=$W$5,1,0)</f>
        <v>0</v>
      </c>
      <c r="G333" s="15" t="n">
        <f aca="false">IF(C333=10,0,IF(F333=1,1,G332))</f>
        <v>0</v>
      </c>
      <c r="H333" s="5" t="n">
        <f aca="false">VA_base_426_data!B333</f>
        <v>1700</v>
      </c>
      <c r="I333" s="5" t="n">
        <f aca="false">IF(AND(E333=1,OR(C333=4,C333=5)),25*12.1/24/D333*1000,0)</f>
        <v>0</v>
      </c>
      <c r="J333" s="5" t="n">
        <f aca="false">VA_base_426_data!C333</f>
        <v>1700</v>
      </c>
      <c r="K333" s="5" t="n">
        <f aca="false">H333+I333-J333</f>
        <v>0</v>
      </c>
      <c r="L333" s="5" t="n">
        <f aca="false">MIN($W$7,J333+K333)</f>
        <v>1700</v>
      </c>
      <c r="M333" s="5" t="n">
        <f aca="false">VA_base_426_data!D333</f>
        <v>800</v>
      </c>
      <c r="N333" s="5" t="n">
        <f aca="false">IF(AND(C333=10,E333=1),$W$6,N332-P332)</f>
        <v>43</v>
      </c>
      <c r="O333" s="5" t="n">
        <f aca="false">IF(ABS(M333-L333)&gt;1,MIN(N333/((L333-M333)*24/12.1/1000),D333),D333)</f>
        <v>24.087962962963</v>
      </c>
      <c r="P333" s="5" t="n">
        <f aca="false">MIN(IF(AND(G333,E333),(L333-M333)*24/12.1*O333/1000,0),N333)</f>
        <v>0</v>
      </c>
      <c r="Q333" s="5" t="n">
        <f aca="false">IF(P333&gt;0,P333/O333*12.1/24*1000+M333,0)</f>
        <v>0</v>
      </c>
      <c r="R333" s="0" t="n">
        <f aca="false">IF(Q333&gt;0,TRUNC(O333),0)</f>
        <v>0</v>
      </c>
      <c r="S333" s="5" t="n">
        <f aca="false">(M333*(D333-R333)+(Q333*R333))/D333</f>
        <v>800</v>
      </c>
      <c r="T333" s="6" t="n">
        <f aca="false">(Q333-M333)*R333*24/12.1/1000</f>
        <v>-0</v>
      </c>
    </row>
    <row r="334" customFormat="false" ht="14.35" hidden="false" customHeight="false" outlineLevel="0" collapsed="false">
      <c r="A334" s="4" t="n">
        <v>17898</v>
      </c>
      <c r="B334" s="15" t="n">
        <f aca="false">IF(C334&lt;=9,YEAR(A334),YEAR(A334)+1)</f>
        <v>1949</v>
      </c>
      <c r="C334" s="15" t="n">
        <f aca="false">MONTH(A334)</f>
        <v>12</v>
      </c>
      <c r="D334" s="15" t="n">
        <f aca="false">DAY(A334)</f>
        <v>31</v>
      </c>
      <c r="E334" s="15" t="n">
        <f aca="false">VLOOKUP(B334,WYT!$A$2:$L$97,12)</f>
        <v>1</v>
      </c>
      <c r="F334" s="15" t="n">
        <f aca="false">IF(C334=$W$5,1,0)</f>
        <v>0</v>
      </c>
      <c r="G334" s="15" t="n">
        <f aca="false">IF(C334=10,0,IF(F334=1,1,G333))</f>
        <v>0</v>
      </c>
      <c r="H334" s="5" t="n">
        <f aca="false">VA_base_426_data!B334</f>
        <v>1700</v>
      </c>
      <c r="I334" s="5" t="n">
        <f aca="false">IF(AND(E334=1,OR(C334=4,C334=5)),25*12.1/24/D334*1000,0)</f>
        <v>0</v>
      </c>
      <c r="J334" s="5" t="n">
        <f aca="false">VA_base_426_data!C334</f>
        <v>1700</v>
      </c>
      <c r="K334" s="5" t="n">
        <f aca="false">H334+I334-J334</f>
        <v>0</v>
      </c>
      <c r="L334" s="5" t="n">
        <f aca="false">MIN($W$7,J334+K334)</f>
        <v>1700</v>
      </c>
      <c r="M334" s="5" t="n">
        <f aca="false">VA_base_426_data!D334</f>
        <v>800</v>
      </c>
      <c r="N334" s="5" t="n">
        <f aca="false">IF(AND(C334=10,E334=1),$W$6,N333-P333)</f>
        <v>43</v>
      </c>
      <c r="O334" s="5" t="n">
        <f aca="false">IF(ABS(M334-L334)&gt;1,MIN(N334/((L334-M334)*24/12.1/1000),D334),D334)</f>
        <v>24.087962962963</v>
      </c>
      <c r="P334" s="5" t="n">
        <f aca="false">MIN(IF(AND(G334,E334),(L334-M334)*24/12.1*O334/1000,0),N334)</f>
        <v>0</v>
      </c>
      <c r="Q334" s="5" t="n">
        <f aca="false">IF(P334&gt;0,P334/O334*12.1/24*1000+M334,0)</f>
        <v>0</v>
      </c>
      <c r="R334" s="0" t="n">
        <f aca="false">IF(Q334&gt;0,TRUNC(O334),0)</f>
        <v>0</v>
      </c>
      <c r="S334" s="5" t="n">
        <f aca="false">(M334*(D334-R334)+(Q334*R334))/D334</f>
        <v>800</v>
      </c>
      <c r="T334" s="6" t="n">
        <f aca="false">(Q334-M334)*R334*24/12.1/1000</f>
        <v>-0</v>
      </c>
    </row>
    <row r="335" customFormat="false" ht="14.35" hidden="false" customHeight="false" outlineLevel="0" collapsed="false">
      <c r="A335" s="4" t="n">
        <v>17929</v>
      </c>
      <c r="B335" s="15" t="n">
        <f aca="false">IF(C335&lt;=9,YEAR(A335),YEAR(A335)+1)</f>
        <v>1949</v>
      </c>
      <c r="C335" s="15" t="n">
        <f aca="false">MONTH(A335)</f>
        <v>1</v>
      </c>
      <c r="D335" s="15" t="n">
        <f aca="false">DAY(A335)</f>
        <v>31</v>
      </c>
      <c r="E335" s="15" t="n">
        <f aca="false">VLOOKUP(B335,WYT!$A$2:$L$97,12)</f>
        <v>1</v>
      </c>
      <c r="F335" s="15" t="n">
        <f aca="false">IF(C335=$W$5,1,0)</f>
        <v>0</v>
      </c>
      <c r="G335" s="15" t="n">
        <f aca="false">IF(C335=10,0,IF(F335=1,1,G334))</f>
        <v>0</v>
      </c>
      <c r="H335" s="5" t="n">
        <f aca="false">VA_base_426_data!B335</f>
        <v>1700</v>
      </c>
      <c r="I335" s="5" t="n">
        <f aca="false">IF(AND(E335=1,OR(C335=4,C335=5)),25*12.1/24/D335*1000,0)</f>
        <v>0</v>
      </c>
      <c r="J335" s="5" t="n">
        <f aca="false">VA_base_426_data!C335</f>
        <v>1700</v>
      </c>
      <c r="K335" s="5" t="n">
        <f aca="false">H335+I335-J335</f>
        <v>0</v>
      </c>
      <c r="L335" s="5" t="n">
        <f aca="false">MIN($W$7,J335+K335)</f>
        <v>1700</v>
      </c>
      <c r="M335" s="5" t="n">
        <f aca="false">VA_base_426_data!D335</f>
        <v>800</v>
      </c>
      <c r="N335" s="5" t="n">
        <f aca="false">IF(AND(C335=10,E335=1),$W$6,N334-P334)</f>
        <v>43</v>
      </c>
      <c r="O335" s="5" t="n">
        <f aca="false">IF(ABS(M335-L335)&gt;1,MIN(N335/((L335-M335)*24/12.1/1000),D335),D335)</f>
        <v>24.087962962963</v>
      </c>
      <c r="P335" s="5" t="n">
        <f aca="false">MIN(IF(AND(G335,E335),(L335-M335)*24/12.1*O335/1000,0),N335)</f>
        <v>0</v>
      </c>
      <c r="Q335" s="5" t="n">
        <f aca="false">IF(P335&gt;0,P335/O335*12.1/24*1000+M335,0)</f>
        <v>0</v>
      </c>
      <c r="R335" s="0" t="n">
        <f aca="false">IF(Q335&gt;0,TRUNC(O335),0)</f>
        <v>0</v>
      </c>
      <c r="S335" s="5" t="n">
        <f aca="false">(M335*(D335-R335)+(Q335*R335))/D335</f>
        <v>800</v>
      </c>
      <c r="T335" s="6" t="n">
        <f aca="false">(Q335-M335)*R335*24/12.1/1000</f>
        <v>-0</v>
      </c>
    </row>
    <row r="336" customFormat="false" ht="14.35" hidden="false" customHeight="false" outlineLevel="0" collapsed="false">
      <c r="A336" s="4" t="n">
        <v>17957</v>
      </c>
      <c r="B336" s="15" t="n">
        <f aca="false">IF(C336&lt;=9,YEAR(A336),YEAR(A336)+1)</f>
        <v>1949</v>
      </c>
      <c r="C336" s="15" t="n">
        <f aca="false">MONTH(A336)</f>
        <v>2</v>
      </c>
      <c r="D336" s="15" t="n">
        <f aca="false">DAY(A336)</f>
        <v>28</v>
      </c>
      <c r="E336" s="15" t="n">
        <f aca="false">VLOOKUP(B336,WYT!$A$2:$L$97,12)</f>
        <v>1</v>
      </c>
      <c r="F336" s="15" t="n">
        <f aca="false">IF(C336=$W$5,1,0)</f>
        <v>1</v>
      </c>
      <c r="G336" s="15" t="n">
        <f aca="false">IF(C336=10,0,IF(F336=1,1,G335))</f>
        <v>1</v>
      </c>
      <c r="H336" s="5" t="n">
        <f aca="false">VA_base_426_data!B336</f>
        <v>1700</v>
      </c>
      <c r="I336" s="5" t="n">
        <f aca="false">IF(AND(E336=1,OR(C336=4,C336=5)),25*12.1/24/D336*1000,0)</f>
        <v>0</v>
      </c>
      <c r="J336" s="5" t="n">
        <f aca="false">VA_base_426_data!C336</f>
        <v>1700</v>
      </c>
      <c r="K336" s="5" t="n">
        <f aca="false">H336+I336-J336</f>
        <v>0</v>
      </c>
      <c r="L336" s="5" t="n">
        <f aca="false">MIN($W$7,J336+K336)</f>
        <v>1700</v>
      </c>
      <c r="M336" s="5" t="n">
        <f aca="false">VA_base_426_data!D336</f>
        <v>800</v>
      </c>
      <c r="N336" s="5" t="n">
        <f aca="false">IF(AND(C336=10,E336=1),$W$6,N335-P335)</f>
        <v>43</v>
      </c>
      <c r="O336" s="5" t="n">
        <f aca="false">IF(ABS(M336-L336)&gt;1,MIN(N336/((L336-M336)*24/12.1/1000),D336),D336)</f>
        <v>24.087962962963</v>
      </c>
      <c r="P336" s="5" t="n">
        <f aca="false">MIN(IF(AND(G336,E336),(L336-M336)*24/12.1*O336/1000,0),N336)</f>
        <v>43</v>
      </c>
      <c r="Q336" s="5" t="n">
        <f aca="false">IF(P336&gt;0,P336/O336*12.1/24*1000+M336,0)</f>
        <v>1700</v>
      </c>
      <c r="R336" s="0" t="n">
        <f aca="false">IF(Q336&gt;0,TRUNC(O336),0)</f>
        <v>24</v>
      </c>
      <c r="S336" s="5" t="n">
        <f aca="false">(M336*(D336-R336)+(Q336*R336))/D336</f>
        <v>1571.42857142857</v>
      </c>
      <c r="T336" s="6" t="n">
        <f aca="false">(Q336-M336)*R336*24/12.1/1000</f>
        <v>42.8429752066116</v>
      </c>
    </row>
    <row r="337" customFormat="false" ht="14.35" hidden="false" customHeight="false" outlineLevel="0" collapsed="false">
      <c r="A337" s="4" t="n">
        <v>17988</v>
      </c>
      <c r="B337" s="15" t="n">
        <f aca="false">IF(C337&lt;=9,YEAR(A337),YEAR(A337)+1)</f>
        <v>1949</v>
      </c>
      <c r="C337" s="15" t="n">
        <f aca="false">MONTH(A337)</f>
        <v>3</v>
      </c>
      <c r="D337" s="15" t="n">
        <f aca="false">DAY(A337)</f>
        <v>31</v>
      </c>
      <c r="E337" s="15" t="n">
        <f aca="false">VLOOKUP(B337,WYT!$A$2:$L$97,12)</f>
        <v>1</v>
      </c>
      <c r="F337" s="15" t="n">
        <f aca="false">IF(C337=$W$5,1,0)</f>
        <v>0</v>
      </c>
      <c r="G337" s="15" t="n">
        <f aca="false">IF(C337=10,0,IF(F337=1,1,G336))</f>
        <v>1</v>
      </c>
      <c r="H337" s="5" t="n">
        <f aca="false">VA_base_426_data!B337</f>
        <v>1700</v>
      </c>
      <c r="I337" s="5" t="n">
        <f aca="false">IF(AND(E337=1,OR(C337=4,C337=5)),25*12.1/24/D337*1000,0)</f>
        <v>0</v>
      </c>
      <c r="J337" s="5" t="n">
        <f aca="false">VA_base_426_data!C337</f>
        <v>1700</v>
      </c>
      <c r="K337" s="5" t="n">
        <f aca="false">H337+I337-J337</f>
        <v>0</v>
      </c>
      <c r="L337" s="5" t="n">
        <f aca="false">MIN($W$7,J337+K337)</f>
        <v>1700</v>
      </c>
      <c r="M337" s="5" t="n">
        <f aca="false">VA_base_426_data!D337</f>
        <v>800</v>
      </c>
      <c r="N337" s="5" t="n">
        <f aca="false">IF(AND(C337=10,E337=1),$W$6,N336-P336)</f>
        <v>0</v>
      </c>
      <c r="O337" s="5" t="n">
        <f aca="false">IF(ABS(M337-L337)&gt;1,MIN(N337/((L337-M337)*24/12.1/1000),D337),D337)</f>
        <v>0</v>
      </c>
      <c r="P337" s="5" t="n">
        <f aca="false">MIN(IF(AND(G337,E337),(L337-M337)*24/12.1*O337/1000,0),N337)</f>
        <v>0</v>
      </c>
      <c r="Q337" s="5" t="n">
        <f aca="false">IF(P337&gt;0,P337/O337*12.1/24*1000+M337,0)</f>
        <v>0</v>
      </c>
      <c r="R337" s="0" t="n">
        <f aca="false">IF(Q337&gt;0,TRUNC(O337),0)</f>
        <v>0</v>
      </c>
      <c r="S337" s="5" t="n">
        <f aca="false">(M337*(D337-R337)+(Q337*R337))/D337</f>
        <v>800</v>
      </c>
      <c r="T337" s="6" t="n">
        <f aca="false">(Q337-M337)*R337*24/12.1/1000</f>
        <v>-0</v>
      </c>
    </row>
    <row r="338" customFormat="false" ht="14.35" hidden="false" customHeight="false" outlineLevel="0" collapsed="false">
      <c r="A338" s="4" t="n">
        <v>18018</v>
      </c>
      <c r="B338" s="15" t="n">
        <f aca="false">IF(C338&lt;=9,YEAR(A338),YEAR(A338)+1)</f>
        <v>1949</v>
      </c>
      <c r="C338" s="15" t="n">
        <f aca="false">MONTH(A338)</f>
        <v>4</v>
      </c>
      <c r="D338" s="15" t="n">
        <f aca="false">DAY(A338)</f>
        <v>30</v>
      </c>
      <c r="E338" s="15" t="n">
        <f aca="false">VLOOKUP(B338,WYT!$A$2:$L$97,12)</f>
        <v>1</v>
      </c>
      <c r="F338" s="15" t="n">
        <f aca="false">IF(C338=$W$5,1,0)</f>
        <v>0</v>
      </c>
      <c r="G338" s="15" t="n">
        <f aca="false">IF(C338=10,0,IF(F338=1,1,G337))</f>
        <v>1</v>
      </c>
      <c r="H338" s="5" t="n">
        <f aca="false">VA_base_426_data!B338</f>
        <v>1161.3008436976</v>
      </c>
      <c r="I338" s="5" t="n">
        <f aca="false">IF(AND(E338=1,OR(C338=4,C338=5)),25*12.1/24/D338*1000,0)</f>
        <v>420.138888888889</v>
      </c>
      <c r="J338" s="5" t="n">
        <f aca="false">VA_base_426_data!C338</f>
        <v>750</v>
      </c>
      <c r="K338" s="5" t="n">
        <f aca="false">H338+I338-J338</f>
        <v>831.439732586485</v>
      </c>
      <c r="L338" s="5" t="n">
        <f aca="false">MIN($W$7,J338+K338)</f>
        <v>1581.43973258648</v>
      </c>
      <c r="M338" s="5" t="n">
        <f aca="false">VA_base_426_data!D338</f>
        <v>700</v>
      </c>
      <c r="N338" s="5" t="n">
        <f aca="false">IF(AND(C338=10,E338=1),$W$6,N337-P337)</f>
        <v>0</v>
      </c>
      <c r="O338" s="5" t="n">
        <f aca="false">IF(ABS(M338-L338)&gt;1,MIN(N338/((L338-M338)*24/12.1/1000),D338),D338)</f>
        <v>0</v>
      </c>
      <c r="P338" s="5" t="n">
        <f aca="false">MIN(IF(AND(G338,E338),(L338-M338)*24/12.1*O338/1000,0),N338)</f>
        <v>0</v>
      </c>
      <c r="Q338" s="5" t="n">
        <f aca="false">IF(P338&gt;0,P338/O338*12.1/24*1000+M338,0)</f>
        <v>0</v>
      </c>
      <c r="R338" s="0" t="n">
        <f aca="false">IF(Q338&gt;0,TRUNC(O338),0)</f>
        <v>0</v>
      </c>
      <c r="S338" s="5" t="n">
        <f aca="false">(M338*(D338-R338)+(Q338*R338))/D338</f>
        <v>700</v>
      </c>
      <c r="T338" s="6" t="n">
        <f aca="false">(Q338-M338)*R338*24/12.1/1000</f>
        <v>-0</v>
      </c>
    </row>
    <row r="339" customFormat="false" ht="14.35" hidden="false" customHeight="false" outlineLevel="0" collapsed="false">
      <c r="A339" s="4" t="n">
        <v>18049</v>
      </c>
      <c r="B339" s="15" t="n">
        <f aca="false">IF(C339&lt;=9,YEAR(A339),YEAR(A339)+1)</f>
        <v>1949</v>
      </c>
      <c r="C339" s="15" t="n">
        <f aca="false">MONTH(A339)</f>
        <v>5</v>
      </c>
      <c r="D339" s="15" t="n">
        <f aca="false">DAY(A339)</f>
        <v>31</v>
      </c>
      <c r="E339" s="15" t="n">
        <f aca="false">VLOOKUP(B339,WYT!$A$2:$L$97,12)</f>
        <v>1</v>
      </c>
      <c r="F339" s="15" t="n">
        <f aca="false">IF(C339=$W$5,1,0)</f>
        <v>0</v>
      </c>
      <c r="G339" s="15" t="n">
        <f aca="false">IF(C339=10,0,IF(F339=1,1,G338))</f>
        <v>1</v>
      </c>
      <c r="H339" s="5" t="n">
        <f aca="false">VA_base_426_data!B339</f>
        <v>750</v>
      </c>
      <c r="I339" s="5" t="n">
        <f aca="false">IF(AND(E339=1,OR(C339=4,C339=5)),25*12.1/24/D339*1000,0)</f>
        <v>406.586021505376</v>
      </c>
      <c r="J339" s="5" t="n">
        <f aca="false">VA_base_426_data!C339</f>
        <v>750</v>
      </c>
      <c r="K339" s="5" t="n">
        <f aca="false">H339+I339-J339</f>
        <v>406.586021505376</v>
      </c>
      <c r="L339" s="5" t="n">
        <f aca="false">MIN($W$7,J339+K339)</f>
        <v>1156.58602150538</v>
      </c>
      <c r="M339" s="5" t="n">
        <f aca="false">VA_base_426_data!D339</f>
        <v>700</v>
      </c>
      <c r="N339" s="5" t="n">
        <f aca="false">IF(AND(C339=10,E339=1),$W$6,N338-P338)</f>
        <v>0</v>
      </c>
      <c r="O339" s="5" t="n">
        <f aca="false">IF(ABS(M339-L339)&gt;1,MIN(N339/((L339-M339)*24/12.1/1000),D339),D339)</f>
        <v>0</v>
      </c>
      <c r="P339" s="5" t="n">
        <f aca="false">MIN(IF(AND(G339,E339),(L339-M339)*24/12.1*O339/1000,0),N339)</f>
        <v>0</v>
      </c>
      <c r="Q339" s="5" t="n">
        <f aca="false">IF(P339&gt;0,P339/O339*12.1/24*1000+M339,0)</f>
        <v>0</v>
      </c>
      <c r="R339" s="0" t="n">
        <f aca="false">IF(Q339&gt;0,TRUNC(O339),0)</f>
        <v>0</v>
      </c>
      <c r="S339" s="5" t="n">
        <f aca="false">(M339*(D339-R339)+(Q339*R339))/D339</f>
        <v>700</v>
      </c>
      <c r="T339" s="6" t="n">
        <f aca="false">(Q339-M339)*R339*24/12.1/1000</f>
        <v>-0</v>
      </c>
    </row>
    <row r="340" customFormat="false" ht="14.35" hidden="false" customHeight="false" outlineLevel="0" collapsed="false">
      <c r="A340" s="4" t="n">
        <v>18079</v>
      </c>
      <c r="B340" s="15" t="n">
        <f aca="false">IF(C340&lt;=9,YEAR(A340),YEAR(A340)+1)</f>
        <v>1949</v>
      </c>
      <c r="C340" s="15" t="n">
        <f aca="false">MONTH(A340)</f>
        <v>6</v>
      </c>
      <c r="D340" s="15" t="n">
        <f aca="false">DAY(A340)</f>
        <v>30</v>
      </c>
      <c r="E340" s="15" t="n">
        <f aca="false">VLOOKUP(B340,WYT!$A$2:$L$97,12)</f>
        <v>1</v>
      </c>
      <c r="F340" s="15" t="n">
        <f aca="false">IF(C340=$W$5,1,0)</f>
        <v>0</v>
      </c>
      <c r="G340" s="15" t="n">
        <f aca="false">IF(C340=10,0,IF(F340=1,1,G339))</f>
        <v>1</v>
      </c>
      <c r="H340" s="5" t="n">
        <f aca="false">VA_base_426_data!B340</f>
        <v>4330.08589476217</v>
      </c>
      <c r="I340" s="5" t="n">
        <f aca="false">IF(AND(E340=1,OR(C340=4,C340=5)),25*12.1/24/D340*1000,0)</f>
        <v>0</v>
      </c>
      <c r="J340" s="5" t="n">
        <f aca="false">VA_base_426_data!C340</f>
        <v>750</v>
      </c>
      <c r="K340" s="5" t="n">
        <f aca="false">H340+I340-J340</f>
        <v>3580.08589476217</v>
      </c>
      <c r="L340" s="5" t="n">
        <f aca="false">MIN($W$7,J340+K340)</f>
        <v>2000</v>
      </c>
      <c r="M340" s="5" t="n">
        <f aca="false">VA_base_426_data!D340</f>
        <v>700</v>
      </c>
      <c r="N340" s="5" t="n">
        <f aca="false">IF(AND(C340=10,E340=1),$W$6,N339-P339)</f>
        <v>0</v>
      </c>
      <c r="O340" s="5" t="n">
        <f aca="false">IF(ABS(M340-L340)&gt;1,MIN(N340/((L340-M340)*24/12.1/1000),D340),D340)</f>
        <v>0</v>
      </c>
      <c r="P340" s="5" t="n">
        <f aca="false">MIN(IF(AND(G340,E340),(L340-M340)*24/12.1*O340/1000,0),N340)</f>
        <v>0</v>
      </c>
      <c r="Q340" s="5" t="n">
        <f aca="false">IF(P340&gt;0,P340/O340*12.1/24*1000+M340,0)</f>
        <v>0</v>
      </c>
      <c r="R340" s="0" t="n">
        <f aca="false">IF(Q340&gt;0,TRUNC(O340),0)</f>
        <v>0</v>
      </c>
      <c r="S340" s="5" t="n">
        <f aca="false">(M340*(D340-R340)+(Q340*R340))/D340</f>
        <v>700</v>
      </c>
      <c r="T340" s="6" t="n">
        <f aca="false">(Q340-M340)*R340*24/12.1/1000</f>
        <v>-0</v>
      </c>
    </row>
    <row r="341" customFormat="false" ht="14.35" hidden="false" customHeight="false" outlineLevel="0" collapsed="false">
      <c r="A341" s="4" t="n">
        <v>18110</v>
      </c>
      <c r="B341" s="15" t="n">
        <f aca="false">IF(C341&lt;=9,YEAR(A341),YEAR(A341)+1)</f>
        <v>1949</v>
      </c>
      <c r="C341" s="15" t="n">
        <f aca="false">MONTH(A341)</f>
        <v>7</v>
      </c>
      <c r="D341" s="15" t="n">
        <f aca="false">DAY(A341)</f>
        <v>31</v>
      </c>
      <c r="E341" s="15" t="n">
        <f aca="false">VLOOKUP(B341,WYT!$A$2:$L$97,12)</f>
        <v>1</v>
      </c>
      <c r="F341" s="15" t="n">
        <f aca="false">IF(C341=$W$5,1,0)</f>
        <v>0</v>
      </c>
      <c r="G341" s="15" t="n">
        <f aca="false">IF(C341=10,0,IF(F341=1,1,G340))</f>
        <v>1</v>
      </c>
      <c r="H341" s="5" t="n">
        <f aca="false">VA_base_426_data!B341</f>
        <v>6630.10072227798</v>
      </c>
      <c r="I341" s="5" t="n">
        <f aca="false">IF(AND(E341=1,OR(C341=4,C341=5)),25*12.1/24/D341*1000,0)</f>
        <v>0</v>
      </c>
      <c r="J341" s="5" t="n">
        <f aca="false">VA_base_426_data!C341</f>
        <v>750</v>
      </c>
      <c r="K341" s="5" t="n">
        <f aca="false">H341+I341-J341</f>
        <v>5880.10072227798</v>
      </c>
      <c r="L341" s="5" t="n">
        <f aca="false">MIN($W$7,J341+K341)</f>
        <v>2000</v>
      </c>
      <c r="M341" s="5" t="n">
        <f aca="false">VA_base_426_data!D341</f>
        <v>700</v>
      </c>
      <c r="N341" s="5" t="n">
        <f aca="false">IF(AND(C341=10,E341=1),$W$6,N340-P340)</f>
        <v>0</v>
      </c>
      <c r="O341" s="5" t="n">
        <f aca="false">IF(ABS(M341-L341)&gt;1,MIN(N341/((L341-M341)*24/12.1/1000),D341),D341)</f>
        <v>0</v>
      </c>
      <c r="P341" s="5" t="n">
        <f aca="false">MIN(IF(AND(G341,E341),(L341-M341)*24/12.1*O341/1000,0),N341)</f>
        <v>0</v>
      </c>
      <c r="Q341" s="5" t="n">
        <f aca="false">IF(P341&gt;0,P341/O341*12.1/24*1000+M341,0)</f>
        <v>0</v>
      </c>
      <c r="R341" s="0" t="n">
        <f aca="false">IF(Q341&gt;0,TRUNC(O341),0)</f>
        <v>0</v>
      </c>
      <c r="S341" s="5" t="n">
        <f aca="false">(M341*(D341-R341)+(Q341*R341))/D341</f>
        <v>700</v>
      </c>
      <c r="T341" s="6" t="n">
        <f aca="false">(Q341-M341)*R341*24/12.1/1000</f>
        <v>-0</v>
      </c>
    </row>
    <row r="342" customFormat="false" ht="14.35" hidden="false" customHeight="false" outlineLevel="0" collapsed="false">
      <c r="A342" s="4" t="n">
        <v>18141</v>
      </c>
      <c r="B342" s="15" t="n">
        <f aca="false">IF(C342&lt;=9,YEAR(A342),YEAR(A342)+1)</f>
        <v>1949</v>
      </c>
      <c r="C342" s="15" t="n">
        <f aca="false">MONTH(A342)</f>
        <v>8</v>
      </c>
      <c r="D342" s="15" t="n">
        <f aca="false">DAY(A342)</f>
        <v>31</v>
      </c>
      <c r="E342" s="15" t="n">
        <f aca="false">VLOOKUP(B342,WYT!$A$2:$L$97,12)</f>
        <v>1</v>
      </c>
      <c r="F342" s="15" t="n">
        <f aca="false">IF(C342=$W$5,1,0)</f>
        <v>0</v>
      </c>
      <c r="G342" s="15" t="n">
        <f aca="false">IF(C342=10,0,IF(F342=1,1,G341))</f>
        <v>1</v>
      </c>
      <c r="H342" s="5" t="n">
        <f aca="false">VA_base_426_data!B342</f>
        <v>1676.83563250141</v>
      </c>
      <c r="I342" s="5" t="n">
        <f aca="false">IF(AND(E342=1,OR(C342=4,C342=5)),25*12.1/24/D342*1000,0)</f>
        <v>0</v>
      </c>
      <c r="J342" s="5" t="n">
        <f aca="false">VA_base_426_data!C342</f>
        <v>750</v>
      </c>
      <c r="K342" s="5" t="n">
        <f aca="false">H342+I342-J342</f>
        <v>926.835632501409</v>
      </c>
      <c r="L342" s="5" t="n">
        <f aca="false">MIN($W$7,J342+K342)</f>
        <v>1676.83563250141</v>
      </c>
      <c r="M342" s="5" t="n">
        <f aca="false">VA_base_426_data!D342</f>
        <v>700</v>
      </c>
      <c r="N342" s="5" t="n">
        <f aca="false">IF(AND(C342=10,E342=1),$W$6,N341-P341)</f>
        <v>0</v>
      </c>
      <c r="O342" s="5" t="n">
        <f aca="false">IF(ABS(M342-L342)&gt;1,MIN(N342/((L342-M342)*24/12.1/1000),D342),D342)</f>
        <v>0</v>
      </c>
      <c r="P342" s="5" t="n">
        <f aca="false">MIN(IF(AND(G342,E342),(L342-M342)*24/12.1*O342/1000,0),N342)</f>
        <v>0</v>
      </c>
      <c r="Q342" s="5" t="n">
        <f aca="false">IF(P342&gt;0,P342/O342*12.1/24*1000+M342,0)</f>
        <v>0</v>
      </c>
      <c r="R342" s="0" t="n">
        <f aca="false">IF(Q342&gt;0,TRUNC(O342),0)</f>
        <v>0</v>
      </c>
      <c r="S342" s="5" t="n">
        <f aca="false">(M342*(D342-R342)+(Q342*R342))/D342</f>
        <v>700</v>
      </c>
      <c r="T342" s="6" t="n">
        <f aca="false">(Q342-M342)*R342*24/12.1/1000</f>
        <v>-0</v>
      </c>
    </row>
    <row r="343" customFormat="false" ht="14.35" hidden="false" customHeight="false" outlineLevel="0" collapsed="false">
      <c r="A343" s="4" t="n">
        <v>18171</v>
      </c>
      <c r="B343" s="15" t="n">
        <f aca="false">IF(C343&lt;=9,YEAR(A343),YEAR(A343)+1)</f>
        <v>1949</v>
      </c>
      <c r="C343" s="15" t="n">
        <f aca="false">MONTH(A343)</f>
        <v>9</v>
      </c>
      <c r="D343" s="15" t="n">
        <f aca="false">DAY(A343)</f>
        <v>30</v>
      </c>
      <c r="E343" s="15" t="n">
        <f aca="false">VLOOKUP(B343,WYT!$A$2:$L$97,12)</f>
        <v>1</v>
      </c>
      <c r="F343" s="15" t="n">
        <f aca="false">IF(C343=$W$5,1,0)</f>
        <v>0</v>
      </c>
      <c r="G343" s="15" t="n">
        <f aca="false">IF(C343=10,0,IF(F343=1,1,G342))</f>
        <v>1</v>
      </c>
      <c r="H343" s="5" t="n">
        <f aca="false">VA_base_426_data!B343</f>
        <v>1014.99360411153</v>
      </c>
      <c r="I343" s="5" t="n">
        <f aca="false">IF(AND(E343=1,OR(C343=4,C343=5)),25*12.1/24/D343*1000,0)</f>
        <v>0</v>
      </c>
      <c r="J343" s="5" t="n">
        <f aca="false">VA_base_426_data!C343</f>
        <v>750</v>
      </c>
      <c r="K343" s="5" t="n">
        <f aca="false">H343+I343-J343</f>
        <v>264.993604111529</v>
      </c>
      <c r="L343" s="5" t="n">
        <f aca="false">MIN($W$7,J343+K343)</f>
        <v>1014.99360411153</v>
      </c>
      <c r="M343" s="5" t="n">
        <f aca="false">VA_base_426_data!D343</f>
        <v>773.3333333</v>
      </c>
      <c r="N343" s="5" t="n">
        <f aca="false">IF(AND(C343=10,E343=1),$W$6,N342-P342)</f>
        <v>0</v>
      </c>
      <c r="O343" s="5" t="n">
        <f aca="false">IF(ABS(M343-L343)&gt;1,MIN(N343/((L343-M343)*24/12.1/1000),D343),D343)</f>
        <v>0</v>
      </c>
      <c r="P343" s="5" t="n">
        <f aca="false">MIN(IF(AND(G343,E343),(L343-M343)*24/12.1*O343/1000,0),N343)</f>
        <v>0</v>
      </c>
      <c r="Q343" s="5" t="n">
        <f aca="false">IF(P343&gt;0,P343/O343*12.1/24*1000+M343,0)</f>
        <v>0</v>
      </c>
      <c r="R343" s="0" t="n">
        <f aca="false">IF(Q343&gt;0,TRUNC(O343),0)</f>
        <v>0</v>
      </c>
      <c r="S343" s="5" t="n">
        <f aca="false">(M343*(D343-R343)+(Q343*R343))/D343</f>
        <v>773.3333333</v>
      </c>
      <c r="T343" s="6" t="n">
        <f aca="false">(Q343-M343)*R343*24/12.1/1000</f>
        <v>-0</v>
      </c>
    </row>
    <row r="344" customFormat="false" ht="14.35" hidden="false" customHeight="false" outlineLevel="0" collapsed="false">
      <c r="A344" s="4" t="n">
        <v>18202</v>
      </c>
      <c r="B344" s="15" t="n">
        <f aca="false">IF(C344&lt;=9,YEAR(A344),YEAR(A344)+1)</f>
        <v>1950</v>
      </c>
      <c r="C344" s="15" t="n">
        <f aca="false">MONTH(A344)</f>
        <v>10</v>
      </c>
      <c r="D344" s="15" t="n">
        <f aca="false">DAY(A344)</f>
        <v>31</v>
      </c>
      <c r="E344" s="15" t="n">
        <f aca="false">VLOOKUP(B344,WYT!$A$2:$L$97,12)</f>
        <v>1</v>
      </c>
      <c r="F344" s="15" t="n">
        <f aca="false">IF(C344=$W$5,1,0)</f>
        <v>0</v>
      </c>
      <c r="G344" s="15" t="n">
        <f aca="false">IF(C344=10,0,IF(F344=1,1,G343))</f>
        <v>0</v>
      </c>
      <c r="H344" s="5" t="n">
        <f aca="false">VA_base_426_data!B344</f>
        <v>900</v>
      </c>
      <c r="I344" s="5" t="n">
        <f aca="false">IF(AND(E344=1,OR(C344=4,C344=5)),25*12.1/24/D344*1000,0)</f>
        <v>0</v>
      </c>
      <c r="J344" s="5" t="n">
        <f aca="false">VA_base_426_data!C344</f>
        <v>900</v>
      </c>
      <c r="K344" s="5" t="n">
        <f aca="false">H344+I344-J344</f>
        <v>0</v>
      </c>
      <c r="L344" s="5" t="n">
        <f aca="false">MIN($W$7,J344+K344)</f>
        <v>900</v>
      </c>
      <c r="M344" s="5" t="n">
        <f aca="false">VA_base_426_data!D344</f>
        <v>800</v>
      </c>
      <c r="N344" s="5" t="n">
        <f aca="false">IF(AND(C344=10,E344=1),$W$6,N343-P343)</f>
        <v>43</v>
      </c>
      <c r="O344" s="5" t="n">
        <f aca="false">IF(ABS(M344-L344)&gt;1,MIN(N344/((L344-M344)*24/12.1/1000),D344),D344)</f>
        <v>31</v>
      </c>
      <c r="P344" s="5" t="n">
        <f aca="false">MIN(IF(AND(G344,E344),(L344-M344)*24/12.1*O344/1000,0),N344)</f>
        <v>0</v>
      </c>
      <c r="Q344" s="5" t="n">
        <f aca="false">IF(P344&gt;0,P344/O344*12.1/24*1000+M344,0)</f>
        <v>0</v>
      </c>
      <c r="R344" s="0" t="n">
        <f aca="false">IF(Q344&gt;0,TRUNC(O344),0)</f>
        <v>0</v>
      </c>
      <c r="S344" s="5" t="n">
        <f aca="false">(M344*(D344-R344)+(Q344*R344))/D344</f>
        <v>800</v>
      </c>
      <c r="T344" s="6" t="n">
        <f aca="false">(Q344-M344)*R344*24/12.1/1000</f>
        <v>-0</v>
      </c>
    </row>
    <row r="345" customFormat="false" ht="14.35" hidden="false" customHeight="false" outlineLevel="0" collapsed="false">
      <c r="A345" s="4" t="n">
        <v>18232</v>
      </c>
      <c r="B345" s="15" t="n">
        <f aca="false">IF(C345&lt;=9,YEAR(A345),YEAR(A345)+1)</f>
        <v>1950</v>
      </c>
      <c r="C345" s="15" t="n">
        <f aca="false">MONTH(A345)</f>
        <v>11</v>
      </c>
      <c r="D345" s="15" t="n">
        <f aca="false">DAY(A345)</f>
        <v>30</v>
      </c>
      <c r="E345" s="15" t="n">
        <f aca="false">VLOOKUP(B345,WYT!$A$2:$L$97,12)</f>
        <v>1</v>
      </c>
      <c r="F345" s="15" t="n">
        <f aca="false">IF(C345=$W$5,1,0)</f>
        <v>0</v>
      </c>
      <c r="G345" s="15" t="n">
        <f aca="false">IF(C345=10,0,IF(F345=1,1,G344))</f>
        <v>0</v>
      </c>
      <c r="H345" s="5" t="n">
        <f aca="false">VA_base_426_data!B345</f>
        <v>900</v>
      </c>
      <c r="I345" s="5" t="n">
        <f aca="false">IF(AND(E345=1,OR(C345=4,C345=5)),25*12.1/24/D345*1000,0)</f>
        <v>0</v>
      </c>
      <c r="J345" s="5" t="n">
        <f aca="false">VA_base_426_data!C345</f>
        <v>900</v>
      </c>
      <c r="K345" s="5" t="n">
        <f aca="false">H345+I345-J345</f>
        <v>0</v>
      </c>
      <c r="L345" s="5" t="n">
        <f aca="false">MIN($W$7,J345+K345)</f>
        <v>900</v>
      </c>
      <c r="M345" s="5" t="n">
        <f aca="false">VA_base_426_data!D345</f>
        <v>800</v>
      </c>
      <c r="N345" s="5" t="n">
        <f aca="false">IF(AND(C345=10,E345=1),$W$6,N344-P344)</f>
        <v>43</v>
      </c>
      <c r="O345" s="5" t="n">
        <f aca="false">IF(ABS(M345-L345)&gt;1,MIN(N345/((L345-M345)*24/12.1/1000),D345),D345)</f>
        <v>30</v>
      </c>
      <c r="P345" s="5" t="n">
        <f aca="false">MIN(IF(AND(G345,E345),(L345-M345)*24/12.1*O345/1000,0),N345)</f>
        <v>0</v>
      </c>
      <c r="Q345" s="5" t="n">
        <f aca="false">IF(P345&gt;0,P345/O345*12.1/24*1000+M345,0)</f>
        <v>0</v>
      </c>
      <c r="R345" s="0" t="n">
        <f aca="false">IF(Q345&gt;0,TRUNC(O345),0)</f>
        <v>0</v>
      </c>
      <c r="S345" s="5" t="n">
        <f aca="false">(M345*(D345-R345)+(Q345*R345))/D345</f>
        <v>800</v>
      </c>
      <c r="T345" s="6" t="n">
        <f aca="false">(Q345-M345)*R345*24/12.1/1000</f>
        <v>-0</v>
      </c>
    </row>
    <row r="346" customFormat="false" ht="14.35" hidden="false" customHeight="false" outlineLevel="0" collapsed="false">
      <c r="A346" s="4" t="n">
        <v>18263</v>
      </c>
      <c r="B346" s="15" t="n">
        <f aca="false">IF(C346&lt;=9,YEAR(A346),YEAR(A346)+1)</f>
        <v>1950</v>
      </c>
      <c r="C346" s="15" t="n">
        <f aca="false">MONTH(A346)</f>
        <v>12</v>
      </c>
      <c r="D346" s="15" t="n">
        <f aca="false">DAY(A346)</f>
        <v>31</v>
      </c>
      <c r="E346" s="15" t="n">
        <f aca="false">VLOOKUP(B346,WYT!$A$2:$L$97,12)</f>
        <v>1</v>
      </c>
      <c r="F346" s="15" t="n">
        <f aca="false">IF(C346=$W$5,1,0)</f>
        <v>0</v>
      </c>
      <c r="G346" s="15" t="n">
        <f aca="false">IF(C346=10,0,IF(F346=1,1,G345))</f>
        <v>0</v>
      </c>
      <c r="H346" s="5" t="n">
        <f aca="false">VA_base_426_data!B346</f>
        <v>900</v>
      </c>
      <c r="I346" s="5" t="n">
        <f aca="false">IF(AND(E346=1,OR(C346=4,C346=5)),25*12.1/24/D346*1000,0)</f>
        <v>0</v>
      </c>
      <c r="J346" s="5" t="n">
        <f aca="false">VA_base_426_data!C346</f>
        <v>900</v>
      </c>
      <c r="K346" s="5" t="n">
        <f aca="false">H346+I346-J346</f>
        <v>0</v>
      </c>
      <c r="L346" s="5" t="n">
        <f aca="false">MIN($W$7,J346+K346)</f>
        <v>900</v>
      </c>
      <c r="M346" s="5" t="n">
        <f aca="false">VA_base_426_data!D346</f>
        <v>800</v>
      </c>
      <c r="N346" s="5" t="n">
        <f aca="false">IF(AND(C346=10,E346=1),$W$6,N345-P345)</f>
        <v>43</v>
      </c>
      <c r="O346" s="5" t="n">
        <f aca="false">IF(ABS(M346-L346)&gt;1,MIN(N346/((L346-M346)*24/12.1/1000),D346),D346)</f>
        <v>31</v>
      </c>
      <c r="P346" s="5" t="n">
        <f aca="false">MIN(IF(AND(G346,E346),(L346-M346)*24/12.1*O346/1000,0),N346)</f>
        <v>0</v>
      </c>
      <c r="Q346" s="5" t="n">
        <f aca="false">IF(P346&gt;0,P346/O346*12.1/24*1000+M346,0)</f>
        <v>0</v>
      </c>
      <c r="R346" s="0" t="n">
        <f aca="false">IF(Q346&gt;0,TRUNC(O346),0)</f>
        <v>0</v>
      </c>
      <c r="S346" s="5" t="n">
        <f aca="false">(M346*(D346-R346)+(Q346*R346))/D346</f>
        <v>800</v>
      </c>
      <c r="T346" s="6" t="n">
        <f aca="false">(Q346-M346)*R346*24/12.1/1000</f>
        <v>-0</v>
      </c>
    </row>
    <row r="347" customFormat="false" ht="14.35" hidden="false" customHeight="false" outlineLevel="0" collapsed="false">
      <c r="A347" s="4" t="n">
        <v>18294</v>
      </c>
      <c r="B347" s="15" t="n">
        <f aca="false">IF(C347&lt;=9,YEAR(A347),YEAR(A347)+1)</f>
        <v>1950</v>
      </c>
      <c r="C347" s="15" t="n">
        <f aca="false">MONTH(A347)</f>
        <v>1</v>
      </c>
      <c r="D347" s="15" t="n">
        <f aca="false">DAY(A347)</f>
        <v>31</v>
      </c>
      <c r="E347" s="15" t="n">
        <f aca="false">VLOOKUP(B347,WYT!$A$2:$L$97,12)</f>
        <v>1</v>
      </c>
      <c r="F347" s="15" t="n">
        <f aca="false">IF(C347=$W$5,1,0)</f>
        <v>0</v>
      </c>
      <c r="G347" s="15" t="n">
        <f aca="false">IF(C347=10,0,IF(F347=1,1,G346))</f>
        <v>0</v>
      </c>
      <c r="H347" s="5" t="n">
        <f aca="false">VA_base_426_data!B347</f>
        <v>900</v>
      </c>
      <c r="I347" s="5" t="n">
        <f aca="false">IF(AND(E347=1,OR(C347=4,C347=5)),25*12.1/24/D347*1000,0)</f>
        <v>0</v>
      </c>
      <c r="J347" s="5" t="n">
        <f aca="false">VA_base_426_data!C347</f>
        <v>900</v>
      </c>
      <c r="K347" s="5" t="n">
        <f aca="false">H347+I347-J347</f>
        <v>0</v>
      </c>
      <c r="L347" s="5" t="n">
        <f aca="false">MIN($W$7,J347+K347)</f>
        <v>900</v>
      </c>
      <c r="M347" s="5" t="n">
        <f aca="false">VA_base_426_data!D347</f>
        <v>800</v>
      </c>
      <c r="N347" s="5" t="n">
        <f aca="false">IF(AND(C347=10,E347=1),$W$6,N346-P346)</f>
        <v>43</v>
      </c>
      <c r="O347" s="5" t="n">
        <f aca="false">IF(ABS(M347-L347)&gt;1,MIN(N347/((L347-M347)*24/12.1/1000),D347),D347)</f>
        <v>31</v>
      </c>
      <c r="P347" s="5" t="n">
        <f aca="false">MIN(IF(AND(G347,E347),(L347-M347)*24/12.1*O347/1000,0),N347)</f>
        <v>0</v>
      </c>
      <c r="Q347" s="5" t="n">
        <f aca="false">IF(P347&gt;0,P347/O347*12.1/24*1000+M347,0)</f>
        <v>0</v>
      </c>
      <c r="R347" s="0" t="n">
        <f aca="false">IF(Q347&gt;0,TRUNC(O347),0)</f>
        <v>0</v>
      </c>
      <c r="S347" s="5" t="n">
        <f aca="false">(M347*(D347-R347)+(Q347*R347))/D347</f>
        <v>800</v>
      </c>
      <c r="T347" s="6" t="n">
        <f aca="false">(Q347-M347)*R347*24/12.1/1000</f>
        <v>-0</v>
      </c>
    </row>
    <row r="348" customFormat="false" ht="14.35" hidden="false" customHeight="false" outlineLevel="0" collapsed="false">
      <c r="A348" s="4" t="n">
        <v>18322</v>
      </c>
      <c r="B348" s="15" t="n">
        <f aca="false">IF(C348&lt;=9,YEAR(A348),YEAR(A348)+1)</f>
        <v>1950</v>
      </c>
      <c r="C348" s="15" t="n">
        <f aca="false">MONTH(A348)</f>
        <v>2</v>
      </c>
      <c r="D348" s="15" t="n">
        <f aca="false">DAY(A348)</f>
        <v>28</v>
      </c>
      <c r="E348" s="15" t="n">
        <f aca="false">VLOOKUP(B348,WYT!$A$2:$L$97,12)</f>
        <v>1</v>
      </c>
      <c r="F348" s="15" t="n">
        <f aca="false">IF(C348=$W$5,1,0)</f>
        <v>1</v>
      </c>
      <c r="G348" s="15" t="n">
        <f aca="false">IF(C348=10,0,IF(F348=1,1,G347))</f>
        <v>1</v>
      </c>
      <c r="H348" s="5" t="n">
        <f aca="false">VA_base_426_data!B348</f>
        <v>900.000000000001</v>
      </c>
      <c r="I348" s="5" t="n">
        <f aca="false">IF(AND(E348=1,OR(C348=4,C348=5)),25*12.1/24/D348*1000,0)</f>
        <v>0</v>
      </c>
      <c r="J348" s="5" t="n">
        <f aca="false">VA_base_426_data!C348</f>
        <v>900</v>
      </c>
      <c r="K348" s="5" t="n">
        <f aca="false">H348+I348-J348</f>
        <v>0</v>
      </c>
      <c r="L348" s="5" t="n">
        <f aca="false">MIN($W$7,J348+K348)</f>
        <v>900</v>
      </c>
      <c r="M348" s="5" t="n">
        <f aca="false">VA_base_426_data!D348</f>
        <v>800</v>
      </c>
      <c r="N348" s="5" t="n">
        <f aca="false">IF(AND(C348=10,E348=1),$W$6,N347-P347)</f>
        <v>43</v>
      </c>
      <c r="O348" s="5" t="n">
        <f aca="false">IF(ABS(M348-L348)&gt;1,MIN(N348/((L348-M348)*24/12.1/1000),D348),D348)</f>
        <v>28</v>
      </c>
      <c r="P348" s="5" t="n">
        <f aca="false">MIN(IF(AND(G348,E348),(L348-M348)*24/12.1*O348/1000,0),N348)</f>
        <v>5.55371900826446</v>
      </c>
      <c r="Q348" s="5" t="n">
        <f aca="false">IF(P348&gt;0,P348/O348*12.1/24*1000+M348,0)</f>
        <v>900</v>
      </c>
      <c r="R348" s="0" t="n">
        <f aca="false">IF(Q348&gt;0,TRUNC(O348),0)</f>
        <v>28</v>
      </c>
      <c r="S348" s="5" t="n">
        <f aca="false">(M348*(D348-R348)+(Q348*R348))/D348</f>
        <v>900</v>
      </c>
      <c r="T348" s="6" t="n">
        <f aca="false">(Q348-M348)*R348*24/12.1/1000</f>
        <v>5.55371900826446</v>
      </c>
    </row>
    <row r="349" customFormat="false" ht="14.35" hidden="false" customHeight="false" outlineLevel="0" collapsed="false">
      <c r="A349" s="4" t="n">
        <v>18353</v>
      </c>
      <c r="B349" s="15" t="n">
        <f aca="false">IF(C349&lt;=9,YEAR(A349),YEAR(A349)+1)</f>
        <v>1950</v>
      </c>
      <c r="C349" s="15" t="n">
        <f aca="false">MONTH(A349)</f>
        <v>3</v>
      </c>
      <c r="D349" s="15" t="n">
        <f aca="false">DAY(A349)</f>
        <v>31</v>
      </c>
      <c r="E349" s="15" t="n">
        <f aca="false">VLOOKUP(B349,WYT!$A$2:$L$97,12)</f>
        <v>1</v>
      </c>
      <c r="F349" s="15" t="n">
        <f aca="false">IF(C349=$W$5,1,0)</f>
        <v>0</v>
      </c>
      <c r="G349" s="15" t="n">
        <f aca="false">IF(C349=10,0,IF(F349=1,1,G348))</f>
        <v>1</v>
      </c>
      <c r="H349" s="5" t="n">
        <f aca="false">VA_base_426_data!B349</f>
        <v>800</v>
      </c>
      <c r="I349" s="5" t="n">
        <f aca="false">IF(AND(E349=1,OR(C349=4,C349=5)),25*12.1/24/D349*1000,0)</f>
        <v>0</v>
      </c>
      <c r="J349" s="5" t="n">
        <f aca="false">VA_base_426_data!C349</f>
        <v>750</v>
      </c>
      <c r="K349" s="5" t="n">
        <f aca="false">H349+I349-J349</f>
        <v>50</v>
      </c>
      <c r="L349" s="5" t="n">
        <f aca="false">MIN($W$7,J349+K349)</f>
        <v>800</v>
      </c>
      <c r="M349" s="5" t="n">
        <f aca="false">VA_base_426_data!D349</f>
        <v>800</v>
      </c>
      <c r="N349" s="5" t="n">
        <f aca="false">IF(AND(C349=10,E349=1),$W$6,N348-P348)</f>
        <v>37.4462809917355</v>
      </c>
      <c r="O349" s="5" t="n">
        <f aca="false">IF(ABS(M349-L349)&gt;1,MIN(N349/((L349-M349)*24/12.1/1000),D349),D349)</f>
        <v>31</v>
      </c>
      <c r="P349" s="5" t="n">
        <f aca="false">MIN(IF(AND(G349,E349),(L349-M349)*24/12.1*O349/1000,0),N349)</f>
        <v>0</v>
      </c>
      <c r="Q349" s="5" t="n">
        <f aca="false">IF(P349&gt;0,P349/O349*12.1/24*1000+M349,0)</f>
        <v>0</v>
      </c>
      <c r="R349" s="0" t="n">
        <f aca="false">IF(Q349&gt;0,TRUNC(O349),0)</f>
        <v>0</v>
      </c>
      <c r="S349" s="5" t="n">
        <f aca="false">(M349*(D349-R349)+(Q349*R349))/D349</f>
        <v>800</v>
      </c>
      <c r="T349" s="6" t="n">
        <f aca="false">(Q349-M349)*R349*24/12.1/1000</f>
        <v>-0</v>
      </c>
    </row>
    <row r="350" customFormat="false" ht="14.35" hidden="false" customHeight="false" outlineLevel="0" collapsed="false">
      <c r="A350" s="4" t="n">
        <v>18383</v>
      </c>
      <c r="B350" s="15" t="n">
        <f aca="false">IF(C350&lt;=9,YEAR(A350),YEAR(A350)+1)</f>
        <v>1950</v>
      </c>
      <c r="C350" s="15" t="n">
        <f aca="false">MONTH(A350)</f>
        <v>4</v>
      </c>
      <c r="D350" s="15" t="n">
        <f aca="false">DAY(A350)</f>
        <v>30</v>
      </c>
      <c r="E350" s="15" t="n">
        <f aca="false">VLOOKUP(B350,WYT!$A$2:$L$97,12)</f>
        <v>1</v>
      </c>
      <c r="F350" s="15" t="n">
        <f aca="false">IF(C350=$W$5,1,0)</f>
        <v>0</v>
      </c>
      <c r="G350" s="15" t="n">
        <f aca="false">IF(C350=10,0,IF(F350=1,1,G349))</f>
        <v>1</v>
      </c>
      <c r="H350" s="5" t="n">
        <f aca="false">VA_base_426_data!B350</f>
        <v>1000</v>
      </c>
      <c r="I350" s="5" t="n">
        <f aca="false">IF(AND(E350=1,OR(C350=4,C350=5)),25*12.1/24/D350*1000,0)</f>
        <v>420.138888888889</v>
      </c>
      <c r="J350" s="5" t="n">
        <f aca="false">VA_base_426_data!C350</f>
        <v>1000</v>
      </c>
      <c r="K350" s="5" t="n">
        <f aca="false">H350+I350-J350</f>
        <v>420.138888888889</v>
      </c>
      <c r="L350" s="5" t="n">
        <f aca="false">MIN($W$7,J350+K350)</f>
        <v>1420.13888888889</v>
      </c>
      <c r="M350" s="5" t="n">
        <f aca="false">VA_base_426_data!D350</f>
        <v>700</v>
      </c>
      <c r="N350" s="5" t="n">
        <f aca="false">IF(AND(C350=10,E350=1),$W$6,N349-P349)</f>
        <v>37.4462809917355</v>
      </c>
      <c r="O350" s="5" t="n">
        <f aca="false">IF(ABS(M350-L350)&gt;1,MIN(N350/((L350-M350)*24/12.1/1000),D350),D350)</f>
        <v>26.2160077145612</v>
      </c>
      <c r="P350" s="5" t="n">
        <f aca="false">MIN(IF(AND(G350,E350),(L350-M350)*24/12.1*O350/1000,0),N350)</f>
        <v>37.4462809917355</v>
      </c>
      <c r="Q350" s="5" t="n">
        <f aca="false">IF(P350&gt;0,P350/O350*12.1/24*1000+M350,0)</f>
        <v>1420.13888888889</v>
      </c>
      <c r="R350" s="0" t="n">
        <f aca="false">IF(Q350&gt;0,TRUNC(O350),0)</f>
        <v>26</v>
      </c>
      <c r="S350" s="5" t="n">
        <f aca="false">(M350*(D350-R350)+(Q350*R350))/D350</f>
        <v>1324.12037037037</v>
      </c>
      <c r="T350" s="6" t="n">
        <f aca="false">(Q350-M350)*R350*24/12.1/1000</f>
        <v>37.137741046832</v>
      </c>
    </row>
    <row r="351" customFormat="false" ht="14.35" hidden="false" customHeight="false" outlineLevel="0" collapsed="false">
      <c r="A351" s="4" t="n">
        <v>18414</v>
      </c>
      <c r="B351" s="15" t="n">
        <f aca="false">IF(C351&lt;=9,YEAR(A351),YEAR(A351)+1)</f>
        <v>1950</v>
      </c>
      <c r="C351" s="15" t="n">
        <f aca="false">MONTH(A351)</f>
        <v>5</v>
      </c>
      <c r="D351" s="15" t="n">
        <f aca="false">DAY(A351)</f>
        <v>31</v>
      </c>
      <c r="E351" s="15" t="n">
        <f aca="false">VLOOKUP(B351,WYT!$A$2:$L$97,12)</f>
        <v>1</v>
      </c>
      <c r="F351" s="15" t="n">
        <f aca="false">IF(C351=$W$5,1,0)</f>
        <v>0</v>
      </c>
      <c r="G351" s="15" t="n">
        <f aca="false">IF(C351=10,0,IF(F351=1,1,G350))</f>
        <v>1</v>
      </c>
      <c r="H351" s="5" t="n">
        <f aca="false">VA_base_426_data!B351</f>
        <v>1000</v>
      </c>
      <c r="I351" s="5" t="n">
        <f aca="false">IF(AND(E351=1,OR(C351=4,C351=5)),25*12.1/24/D351*1000,0)</f>
        <v>406.586021505376</v>
      </c>
      <c r="J351" s="5" t="n">
        <f aca="false">VA_base_426_data!C351</f>
        <v>1000</v>
      </c>
      <c r="K351" s="5" t="n">
        <f aca="false">H351+I351-J351</f>
        <v>406.586021505376</v>
      </c>
      <c r="L351" s="5" t="n">
        <f aca="false">MIN($W$7,J351+K351)</f>
        <v>1406.58602150538</v>
      </c>
      <c r="M351" s="5" t="n">
        <f aca="false">VA_base_426_data!D351</f>
        <v>700</v>
      </c>
      <c r="N351" s="5" t="n">
        <f aca="false">IF(AND(C351=10,E351=1),$W$6,N350-P350)</f>
        <v>0</v>
      </c>
      <c r="O351" s="5" t="n">
        <f aca="false">IF(ABS(M351-L351)&gt;1,MIN(N351/((L351-M351)*24/12.1/1000),D351),D351)</f>
        <v>0</v>
      </c>
      <c r="P351" s="5" t="n">
        <f aca="false">MIN(IF(AND(G351,E351),(L351-M351)*24/12.1*O351/1000,0),N351)</f>
        <v>0</v>
      </c>
      <c r="Q351" s="5" t="n">
        <f aca="false">IF(P351&gt;0,P351/O351*12.1/24*1000+M351,0)</f>
        <v>0</v>
      </c>
      <c r="R351" s="0" t="n">
        <f aca="false">IF(Q351&gt;0,TRUNC(O351),0)</f>
        <v>0</v>
      </c>
      <c r="S351" s="5" t="n">
        <f aca="false">(M351*(D351-R351)+(Q351*R351))/D351</f>
        <v>700</v>
      </c>
      <c r="T351" s="6" t="n">
        <f aca="false">(Q351-M351)*R351*24/12.1/1000</f>
        <v>-0</v>
      </c>
    </row>
    <row r="352" customFormat="false" ht="14.35" hidden="false" customHeight="false" outlineLevel="0" collapsed="false">
      <c r="A352" s="4" t="n">
        <v>18444</v>
      </c>
      <c r="B352" s="15" t="n">
        <f aca="false">IF(C352&lt;=9,YEAR(A352),YEAR(A352)+1)</f>
        <v>1950</v>
      </c>
      <c r="C352" s="15" t="n">
        <f aca="false">MONTH(A352)</f>
        <v>6</v>
      </c>
      <c r="D352" s="15" t="n">
        <f aca="false">DAY(A352)</f>
        <v>30</v>
      </c>
      <c r="E352" s="15" t="n">
        <f aca="false">VLOOKUP(B352,WYT!$A$2:$L$97,12)</f>
        <v>1</v>
      </c>
      <c r="F352" s="15" t="n">
        <f aca="false">IF(C352=$W$5,1,0)</f>
        <v>0</v>
      </c>
      <c r="G352" s="15" t="n">
        <f aca="false">IF(C352=10,0,IF(F352=1,1,G351))</f>
        <v>1</v>
      </c>
      <c r="H352" s="5" t="n">
        <f aca="false">VA_base_426_data!B352</f>
        <v>1000</v>
      </c>
      <c r="I352" s="5" t="n">
        <f aca="false">IF(AND(E352=1,OR(C352=4,C352=5)),25*12.1/24/D352*1000,0)</f>
        <v>0</v>
      </c>
      <c r="J352" s="5" t="n">
        <f aca="false">VA_base_426_data!C352</f>
        <v>1000</v>
      </c>
      <c r="K352" s="5" t="n">
        <f aca="false">H352+I352-J352</f>
        <v>0</v>
      </c>
      <c r="L352" s="5" t="n">
        <f aca="false">MIN($W$7,J352+K352)</f>
        <v>1000</v>
      </c>
      <c r="M352" s="5" t="n">
        <f aca="false">VA_base_426_data!D352</f>
        <v>700</v>
      </c>
      <c r="N352" s="5" t="n">
        <f aca="false">IF(AND(C352=10,E352=1),$W$6,N351-P351)</f>
        <v>0</v>
      </c>
      <c r="O352" s="5" t="n">
        <f aca="false">IF(ABS(M352-L352)&gt;1,MIN(N352/((L352-M352)*24/12.1/1000),D352),D352)</f>
        <v>0</v>
      </c>
      <c r="P352" s="5" t="n">
        <f aca="false">MIN(IF(AND(G352,E352),(L352-M352)*24/12.1*O352/1000,0),N352)</f>
        <v>0</v>
      </c>
      <c r="Q352" s="5" t="n">
        <f aca="false">IF(P352&gt;0,P352/O352*12.1/24*1000+M352,0)</f>
        <v>0</v>
      </c>
      <c r="R352" s="0" t="n">
        <f aca="false">IF(Q352&gt;0,TRUNC(O352),0)</f>
        <v>0</v>
      </c>
      <c r="S352" s="5" t="n">
        <f aca="false">(M352*(D352-R352)+(Q352*R352))/D352</f>
        <v>700</v>
      </c>
      <c r="T352" s="6" t="n">
        <f aca="false">(Q352-M352)*R352*24/12.1/1000</f>
        <v>-0</v>
      </c>
    </row>
    <row r="353" customFormat="false" ht="14.35" hidden="false" customHeight="false" outlineLevel="0" collapsed="false">
      <c r="A353" s="4" t="n">
        <v>18475</v>
      </c>
      <c r="B353" s="15" t="n">
        <f aca="false">IF(C353&lt;=9,YEAR(A353),YEAR(A353)+1)</f>
        <v>1950</v>
      </c>
      <c r="C353" s="15" t="n">
        <f aca="false">MONTH(A353)</f>
        <v>7</v>
      </c>
      <c r="D353" s="15" t="n">
        <f aca="false">DAY(A353)</f>
        <v>31</v>
      </c>
      <c r="E353" s="15" t="n">
        <f aca="false">VLOOKUP(B353,WYT!$A$2:$L$97,12)</f>
        <v>1</v>
      </c>
      <c r="F353" s="15" t="n">
        <f aca="false">IF(C353=$W$5,1,0)</f>
        <v>0</v>
      </c>
      <c r="G353" s="15" t="n">
        <f aca="false">IF(C353=10,0,IF(F353=1,1,G352))</f>
        <v>1</v>
      </c>
      <c r="H353" s="5" t="n">
        <f aca="false">VA_base_426_data!B353</f>
        <v>9180.7265483159</v>
      </c>
      <c r="I353" s="5" t="n">
        <f aca="false">IF(AND(E353=1,OR(C353=4,C353=5)),25*12.1/24/D353*1000,0)</f>
        <v>0</v>
      </c>
      <c r="J353" s="5" t="n">
        <f aca="false">VA_base_426_data!C353</f>
        <v>1000</v>
      </c>
      <c r="K353" s="5" t="n">
        <f aca="false">H353+I353-J353</f>
        <v>8180.7265483159</v>
      </c>
      <c r="L353" s="5" t="n">
        <f aca="false">MIN($W$7,J353+K353)</f>
        <v>2000</v>
      </c>
      <c r="M353" s="5" t="n">
        <f aca="false">VA_base_426_data!D353</f>
        <v>700</v>
      </c>
      <c r="N353" s="5" t="n">
        <f aca="false">IF(AND(C353=10,E353=1),$W$6,N352-P352)</f>
        <v>0</v>
      </c>
      <c r="O353" s="5" t="n">
        <f aca="false">IF(ABS(M353-L353)&gt;1,MIN(N353/((L353-M353)*24/12.1/1000),D353),D353)</f>
        <v>0</v>
      </c>
      <c r="P353" s="5" t="n">
        <f aca="false">MIN(IF(AND(G353,E353),(L353-M353)*24/12.1*O353/1000,0),N353)</f>
        <v>0</v>
      </c>
      <c r="Q353" s="5" t="n">
        <f aca="false">IF(P353&gt;0,P353/O353*12.1/24*1000+M353,0)</f>
        <v>0</v>
      </c>
      <c r="R353" s="0" t="n">
        <f aca="false">IF(Q353&gt;0,TRUNC(O353),0)</f>
        <v>0</v>
      </c>
      <c r="S353" s="5" t="n">
        <f aca="false">(M353*(D353-R353)+(Q353*R353))/D353</f>
        <v>700</v>
      </c>
      <c r="T353" s="6" t="n">
        <f aca="false">(Q353-M353)*R353*24/12.1/1000</f>
        <v>-0</v>
      </c>
    </row>
    <row r="354" customFormat="false" ht="14.35" hidden="false" customHeight="false" outlineLevel="0" collapsed="false">
      <c r="A354" s="4" t="n">
        <v>18506</v>
      </c>
      <c r="B354" s="15" t="n">
        <f aca="false">IF(C354&lt;=9,YEAR(A354),YEAR(A354)+1)</f>
        <v>1950</v>
      </c>
      <c r="C354" s="15" t="n">
        <f aca="false">MONTH(A354)</f>
        <v>8</v>
      </c>
      <c r="D354" s="15" t="n">
        <f aca="false">DAY(A354)</f>
        <v>31</v>
      </c>
      <c r="E354" s="15" t="n">
        <f aca="false">VLOOKUP(B354,WYT!$A$2:$L$97,12)</f>
        <v>1</v>
      </c>
      <c r="F354" s="15" t="n">
        <f aca="false">IF(C354=$W$5,1,0)</f>
        <v>0</v>
      </c>
      <c r="G354" s="15" t="n">
        <f aca="false">IF(C354=10,0,IF(F354=1,1,G353))</f>
        <v>1</v>
      </c>
      <c r="H354" s="5" t="n">
        <f aca="false">VA_base_426_data!B354</f>
        <v>8143.72332417897</v>
      </c>
      <c r="I354" s="5" t="n">
        <f aca="false">IF(AND(E354=1,OR(C354=4,C354=5)),25*12.1/24/D354*1000,0)</f>
        <v>0</v>
      </c>
      <c r="J354" s="5" t="n">
        <f aca="false">VA_base_426_data!C354</f>
        <v>1000</v>
      </c>
      <c r="K354" s="5" t="n">
        <f aca="false">H354+I354-J354</f>
        <v>7143.72332417897</v>
      </c>
      <c r="L354" s="5" t="n">
        <f aca="false">MIN($W$7,J354+K354)</f>
        <v>2000</v>
      </c>
      <c r="M354" s="5" t="n">
        <f aca="false">VA_base_426_data!D354</f>
        <v>700</v>
      </c>
      <c r="N354" s="5" t="n">
        <f aca="false">IF(AND(C354=10,E354=1),$W$6,N353-P353)</f>
        <v>0</v>
      </c>
      <c r="O354" s="5" t="n">
        <f aca="false">IF(ABS(M354-L354)&gt;1,MIN(N354/((L354-M354)*24/12.1/1000),D354),D354)</f>
        <v>0</v>
      </c>
      <c r="P354" s="5" t="n">
        <f aca="false">MIN(IF(AND(G354,E354),(L354-M354)*24/12.1*O354/1000,0),N354)</f>
        <v>0</v>
      </c>
      <c r="Q354" s="5" t="n">
        <f aca="false">IF(P354&gt;0,P354/O354*12.1/24*1000+M354,0)</f>
        <v>0</v>
      </c>
      <c r="R354" s="0" t="n">
        <f aca="false">IF(Q354&gt;0,TRUNC(O354),0)</f>
        <v>0</v>
      </c>
      <c r="S354" s="5" t="n">
        <f aca="false">(M354*(D354-R354)+(Q354*R354))/D354</f>
        <v>700</v>
      </c>
      <c r="T354" s="6" t="n">
        <f aca="false">(Q354-M354)*R354*24/12.1/1000</f>
        <v>-0</v>
      </c>
    </row>
    <row r="355" customFormat="false" ht="14.35" hidden="false" customHeight="false" outlineLevel="0" collapsed="false">
      <c r="A355" s="4" t="n">
        <v>18536</v>
      </c>
      <c r="B355" s="15" t="n">
        <f aca="false">IF(C355&lt;=9,YEAR(A355),YEAR(A355)+1)</f>
        <v>1950</v>
      </c>
      <c r="C355" s="15" t="n">
        <f aca="false">MONTH(A355)</f>
        <v>9</v>
      </c>
      <c r="D355" s="15" t="n">
        <f aca="false">DAY(A355)</f>
        <v>30</v>
      </c>
      <c r="E355" s="15" t="n">
        <f aca="false">VLOOKUP(B355,WYT!$A$2:$L$97,12)</f>
        <v>1</v>
      </c>
      <c r="F355" s="15" t="n">
        <f aca="false">IF(C355=$W$5,1,0)</f>
        <v>0</v>
      </c>
      <c r="G355" s="15" t="n">
        <f aca="false">IF(C355=10,0,IF(F355=1,1,G354))</f>
        <v>1</v>
      </c>
      <c r="H355" s="5" t="n">
        <f aca="false">VA_base_426_data!B355</f>
        <v>5241.62684926228</v>
      </c>
      <c r="I355" s="5" t="n">
        <f aca="false">IF(AND(E355=1,OR(C355=4,C355=5)),25*12.1/24/D355*1000,0)</f>
        <v>0</v>
      </c>
      <c r="J355" s="5" t="n">
        <f aca="false">VA_base_426_data!C355</f>
        <v>1000</v>
      </c>
      <c r="K355" s="5" t="n">
        <f aca="false">H355+I355-J355</f>
        <v>4241.62684926228</v>
      </c>
      <c r="L355" s="5" t="n">
        <f aca="false">MIN($W$7,J355+K355)</f>
        <v>2000</v>
      </c>
      <c r="M355" s="5" t="n">
        <f aca="false">VA_base_426_data!D355</f>
        <v>773.3333333</v>
      </c>
      <c r="N355" s="5" t="n">
        <f aca="false">IF(AND(C355=10,E355=1),$W$6,N354-P354)</f>
        <v>0</v>
      </c>
      <c r="O355" s="5" t="n">
        <f aca="false">IF(ABS(M355-L355)&gt;1,MIN(N355/((L355-M355)*24/12.1/1000),D355),D355)</f>
        <v>0</v>
      </c>
      <c r="P355" s="5" t="n">
        <f aca="false">MIN(IF(AND(G355,E355),(L355-M355)*24/12.1*O355/1000,0),N355)</f>
        <v>0</v>
      </c>
      <c r="Q355" s="5" t="n">
        <f aca="false">IF(P355&gt;0,P355/O355*12.1/24*1000+M355,0)</f>
        <v>0</v>
      </c>
      <c r="R355" s="0" t="n">
        <f aca="false">IF(Q355&gt;0,TRUNC(O355),0)</f>
        <v>0</v>
      </c>
      <c r="S355" s="5" t="n">
        <f aca="false">(M355*(D355-R355)+(Q355*R355))/D355</f>
        <v>773.3333333</v>
      </c>
      <c r="T355" s="6" t="n">
        <f aca="false">(Q355-M355)*R355*24/12.1/1000</f>
        <v>-0</v>
      </c>
    </row>
    <row r="356" customFormat="false" ht="14.35" hidden="false" customHeight="false" outlineLevel="0" collapsed="false">
      <c r="A356" s="4" t="n">
        <v>18567</v>
      </c>
      <c r="B356" s="15" t="n">
        <f aca="false">IF(C356&lt;=9,YEAR(A356),YEAR(A356)+1)</f>
        <v>1951</v>
      </c>
      <c r="C356" s="15" t="n">
        <f aca="false">MONTH(A356)</f>
        <v>10</v>
      </c>
      <c r="D356" s="15" t="n">
        <f aca="false">DAY(A356)</f>
        <v>31</v>
      </c>
      <c r="E356" s="15" t="n">
        <f aca="false">VLOOKUP(B356,WYT!$A$2:$L$97,12)</f>
        <v>1</v>
      </c>
      <c r="F356" s="15" t="n">
        <f aca="false">IF(C356=$W$5,1,0)</f>
        <v>0</v>
      </c>
      <c r="G356" s="15" t="n">
        <f aca="false">IF(C356=10,0,IF(F356=1,1,G355))</f>
        <v>0</v>
      </c>
      <c r="H356" s="5" t="n">
        <f aca="false">VA_base_426_data!B356</f>
        <v>2014.71345191655</v>
      </c>
      <c r="I356" s="5" t="n">
        <f aca="false">IF(AND(E356=1,OR(C356=4,C356=5)),25*12.1/24/D356*1000,0)</f>
        <v>0</v>
      </c>
      <c r="J356" s="5" t="n">
        <f aca="false">VA_base_426_data!C356</f>
        <v>1700</v>
      </c>
      <c r="K356" s="5" t="n">
        <f aca="false">H356+I356-J356</f>
        <v>314.713451916546</v>
      </c>
      <c r="L356" s="5" t="n">
        <f aca="false">MIN($W$7,J356+K356)</f>
        <v>2000</v>
      </c>
      <c r="M356" s="5" t="n">
        <f aca="false">VA_base_426_data!D356</f>
        <v>800</v>
      </c>
      <c r="N356" s="5" t="n">
        <f aca="false">IF(AND(C356=10,E356=1),$W$6,N355-P355)</f>
        <v>43</v>
      </c>
      <c r="O356" s="5" t="n">
        <f aca="false">IF(ABS(M356-L356)&gt;1,MIN(N356/((L356-M356)*24/12.1/1000),D356),D356)</f>
        <v>18.0659722222222</v>
      </c>
      <c r="P356" s="5" t="n">
        <f aca="false">MIN(IF(AND(G356,E356),(L356-M356)*24/12.1*O356/1000,0),N356)</f>
        <v>0</v>
      </c>
      <c r="Q356" s="5" t="n">
        <f aca="false">IF(P356&gt;0,P356/O356*12.1/24*1000+M356,0)</f>
        <v>0</v>
      </c>
      <c r="R356" s="0" t="n">
        <f aca="false">IF(Q356&gt;0,TRUNC(O356),0)</f>
        <v>0</v>
      </c>
      <c r="S356" s="5" t="n">
        <f aca="false">(M356*(D356-R356)+(Q356*R356))/D356</f>
        <v>800</v>
      </c>
      <c r="T356" s="6" t="n">
        <f aca="false">(Q356-M356)*R356*24/12.1/1000</f>
        <v>-0</v>
      </c>
    </row>
    <row r="357" customFormat="false" ht="14.35" hidden="false" customHeight="false" outlineLevel="0" collapsed="false">
      <c r="A357" s="4" t="n">
        <v>18597</v>
      </c>
      <c r="B357" s="15" t="n">
        <f aca="false">IF(C357&lt;=9,YEAR(A357),YEAR(A357)+1)</f>
        <v>1951</v>
      </c>
      <c r="C357" s="15" t="n">
        <f aca="false">MONTH(A357)</f>
        <v>11</v>
      </c>
      <c r="D357" s="15" t="n">
        <f aca="false">DAY(A357)</f>
        <v>30</v>
      </c>
      <c r="E357" s="15" t="n">
        <f aca="false">VLOOKUP(B357,WYT!$A$2:$L$97,12)</f>
        <v>1</v>
      </c>
      <c r="F357" s="15" t="n">
        <f aca="false">IF(C357=$W$5,1,0)</f>
        <v>0</v>
      </c>
      <c r="G357" s="15" t="n">
        <f aca="false">IF(C357=10,0,IF(F357=1,1,G356))</f>
        <v>0</v>
      </c>
      <c r="H357" s="5" t="n">
        <f aca="false">VA_base_426_data!B357</f>
        <v>1700</v>
      </c>
      <c r="I357" s="5" t="n">
        <f aca="false">IF(AND(E357=1,OR(C357=4,C357=5)),25*12.1/24/D357*1000,0)</f>
        <v>0</v>
      </c>
      <c r="J357" s="5" t="n">
        <f aca="false">VA_base_426_data!C357</f>
        <v>1700</v>
      </c>
      <c r="K357" s="5" t="n">
        <f aca="false">H357+I357-J357</f>
        <v>0</v>
      </c>
      <c r="L357" s="5" t="n">
        <f aca="false">MIN($W$7,J357+K357)</f>
        <v>1700</v>
      </c>
      <c r="M357" s="5" t="n">
        <f aca="false">VA_base_426_data!D357</f>
        <v>800</v>
      </c>
      <c r="N357" s="5" t="n">
        <f aca="false">IF(AND(C357=10,E357=1),$W$6,N356-P356)</f>
        <v>43</v>
      </c>
      <c r="O357" s="5" t="n">
        <f aca="false">IF(ABS(M357-L357)&gt;1,MIN(N357/((L357-M357)*24/12.1/1000),D357),D357)</f>
        <v>24.087962962963</v>
      </c>
      <c r="P357" s="5" t="n">
        <f aca="false">MIN(IF(AND(G357,E357),(L357-M357)*24/12.1*O357/1000,0),N357)</f>
        <v>0</v>
      </c>
      <c r="Q357" s="5" t="n">
        <f aca="false">IF(P357&gt;0,P357/O357*12.1/24*1000+M357,0)</f>
        <v>0</v>
      </c>
      <c r="R357" s="0" t="n">
        <f aca="false">IF(Q357&gt;0,TRUNC(O357),0)</f>
        <v>0</v>
      </c>
      <c r="S357" s="5" t="n">
        <f aca="false">(M357*(D357-R357)+(Q357*R357))/D357</f>
        <v>800</v>
      </c>
      <c r="T357" s="6" t="n">
        <f aca="false">(Q357-M357)*R357*24/12.1/1000</f>
        <v>-0</v>
      </c>
    </row>
    <row r="358" customFormat="false" ht="14.35" hidden="false" customHeight="false" outlineLevel="0" collapsed="false">
      <c r="A358" s="4" t="n">
        <v>18628</v>
      </c>
      <c r="B358" s="15" t="n">
        <f aca="false">IF(C358&lt;=9,YEAR(A358),YEAR(A358)+1)</f>
        <v>1951</v>
      </c>
      <c r="C358" s="15" t="n">
        <f aca="false">MONTH(A358)</f>
        <v>12</v>
      </c>
      <c r="D358" s="15" t="n">
        <f aca="false">DAY(A358)</f>
        <v>31</v>
      </c>
      <c r="E358" s="15" t="n">
        <f aca="false">VLOOKUP(B358,WYT!$A$2:$L$97,12)</f>
        <v>1</v>
      </c>
      <c r="F358" s="15" t="n">
        <f aca="false">IF(C358=$W$5,1,0)</f>
        <v>0</v>
      </c>
      <c r="G358" s="15" t="n">
        <f aca="false">IF(C358=10,0,IF(F358=1,1,G357))</f>
        <v>0</v>
      </c>
      <c r="H358" s="5" t="n">
        <f aca="false">VA_base_426_data!B358</f>
        <v>1700</v>
      </c>
      <c r="I358" s="5" t="n">
        <f aca="false">IF(AND(E358=1,OR(C358=4,C358=5)),25*12.1/24/D358*1000,0)</f>
        <v>0</v>
      </c>
      <c r="J358" s="5" t="n">
        <f aca="false">VA_base_426_data!C358</f>
        <v>1700</v>
      </c>
      <c r="K358" s="5" t="n">
        <f aca="false">H358+I358-J358</f>
        <v>0</v>
      </c>
      <c r="L358" s="5" t="n">
        <f aca="false">MIN($W$7,J358+K358)</f>
        <v>1700</v>
      </c>
      <c r="M358" s="5" t="n">
        <f aca="false">VA_base_426_data!D358</f>
        <v>800</v>
      </c>
      <c r="N358" s="5" t="n">
        <f aca="false">IF(AND(C358=10,E358=1),$W$6,N357-P357)</f>
        <v>43</v>
      </c>
      <c r="O358" s="5" t="n">
        <f aca="false">IF(ABS(M358-L358)&gt;1,MIN(N358/((L358-M358)*24/12.1/1000),D358),D358)</f>
        <v>24.087962962963</v>
      </c>
      <c r="P358" s="5" t="n">
        <f aca="false">MIN(IF(AND(G358,E358),(L358-M358)*24/12.1*O358/1000,0),N358)</f>
        <v>0</v>
      </c>
      <c r="Q358" s="5" t="n">
        <f aca="false">IF(P358&gt;0,P358/O358*12.1/24*1000+M358,0)</f>
        <v>0</v>
      </c>
      <c r="R358" s="0" t="n">
        <f aca="false">IF(Q358&gt;0,TRUNC(O358),0)</f>
        <v>0</v>
      </c>
      <c r="S358" s="5" t="n">
        <f aca="false">(M358*(D358-R358)+(Q358*R358))/D358</f>
        <v>800</v>
      </c>
      <c r="T358" s="6" t="n">
        <f aca="false">(Q358-M358)*R358*24/12.1/1000</f>
        <v>-0</v>
      </c>
    </row>
    <row r="359" customFormat="false" ht="14.35" hidden="false" customHeight="false" outlineLevel="0" collapsed="false">
      <c r="A359" s="4" t="n">
        <v>18659</v>
      </c>
      <c r="B359" s="15" t="n">
        <f aca="false">IF(C359&lt;=9,YEAR(A359),YEAR(A359)+1)</f>
        <v>1951</v>
      </c>
      <c r="C359" s="15" t="n">
        <f aca="false">MONTH(A359)</f>
        <v>1</v>
      </c>
      <c r="D359" s="15" t="n">
        <f aca="false">DAY(A359)</f>
        <v>31</v>
      </c>
      <c r="E359" s="15" t="n">
        <f aca="false">VLOOKUP(B359,WYT!$A$2:$L$97,12)</f>
        <v>1</v>
      </c>
      <c r="F359" s="15" t="n">
        <f aca="false">IF(C359=$W$5,1,0)</f>
        <v>0</v>
      </c>
      <c r="G359" s="15" t="n">
        <f aca="false">IF(C359=10,0,IF(F359=1,1,G358))</f>
        <v>0</v>
      </c>
      <c r="H359" s="5" t="n">
        <f aca="false">VA_base_426_data!B359</f>
        <v>11012.6883036011</v>
      </c>
      <c r="I359" s="5" t="n">
        <f aca="false">IF(AND(E359=1,OR(C359=4,C359=5)),25*12.1/24/D359*1000,0)</f>
        <v>0</v>
      </c>
      <c r="J359" s="5" t="n">
        <f aca="false">VA_base_426_data!C359</f>
        <v>1700</v>
      </c>
      <c r="K359" s="5" t="n">
        <f aca="false">H359+I359-J359</f>
        <v>9312.6883036011</v>
      </c>
      <c r="L359" s="5" t="n">
        <f aca="false">MIN($W$7,J359+K359)</f>
        <v>2000</v>
      </c>
      <c r="M359" s="5" t="n">
        <f aca="false">VA_base_426_data!D359</f>
        <v>800</v>
      </c>
      <c r="N359" s="5" t="n">
        <f aca="false">IF(AND(C359=10,E359=1),$W$6,N358-P358)</f>
        <v>43</v>
      </c>
      <c r="O359" s="5" t="n">
        <f aca="false">IF(ABS(M359-L359)&gt;1,MIN(N359/((L359-M359)*24/12.1/1000),D359),D359)</f>
        <v>18.0659722222222</v>
      </c>
      <c r="P359" s="5" t="n">
        <f aca="false">MIN(IF(AND(G359,E359),(L359-M359)*24/12.1*O359/1000,0),N359)</f>
        <v>0</v>
      </c>
      <c r="Q359" s="5" t="n">
        <f aca="false">IF(P359&gt;0,P359/O359*12.1/24*1000+M359,0)</f>
        <v>0</v>
      </c>
      <c r="R359" s="0" t="n">
        <f aca="false">IF(Q359&gt;0,TRUNC(O359),0)</f>
        <v>0</v>
      </c>
      <c r="S359" s="5" t="n">
        <f aca="false">(M359*(D359-R359)+(Q359*R359))/D359</f>
        <v>800</v>
      </c>
      <c r="T359" s="6" t="n">
        <f aca="false">(Q359-M359)*R359*24/12.1/1000</f>
        <v>-0</v>
      </c>
    </row>
    <row r="360" customFormat="false" ht="14.35" hidden="false" customHeight="false" outlineLevel="0" collapsed="false">
      <c r="A360" s="4" t="n">
        <v>18687</v>
      </c>
      <c r="B360" s="15" t="n">
        <f aca="false">IF(C360&lt;=9,YEAR(A360),YEAR(A360)+1)</f>
        <v>1951</v>
      </c>
      <c r="C360" s="15" t="n">
        <f aca="false">MONTH(A360)</f>
        <v>2</v>
      </c>
      <c r="D360" s="15" t="n">
        <f aca="false">DAY(A360)</f>
        <v>28</v>
      </c>
      <c r="E360" s="15" t="n">
        <f aca="false">VLOOKUP(B360,WYT!$A$2:$L$97,12)</f>
        <v>1</v>
      </c>
      <c r="F360" s="15" t="n">
        <f aca="false">IF(C360=$W$5,1,0)</f>
        <v>1</v>
      </c>
      <c r="G360" s="15" t="n">
        <f aca="false">IF(C360=10,0,IF(F360=1,1,G359))</f>
        <v>1</v>
      </c>
      <c r="H360" s="5" t="n">
        <f aca="false">VA_base_426_data!B360</f>
        <v>10840.0785178111</v>
      </c>
      <c r="I360" s="5" t="n">
        <f aca="false">IF(AND(E360=1,OR(C360=4,C360=5)),25*12.1/24/D360*1000,0)</f>
        <v>0</v>
      </c>
      <c r="J360" s="5" t="n">
        <f aca="false">VA_base_426_data!C360</f>
        <v>1700</v>
      </c>
      <c r="K360" s="5" t="n">
        <f aca="false">H360+I360-J360</f>
        <v>9140.07851781112</v>
      </c>
      <c r="L360" s="5" t="n">
        <f aca="false">MIN($W$7,J360+K360)</f>
        <v>2000</v>
      </c>
      <c r="M360" s="5" t="n">
        <f aca="false">VA_base_426_data!D360</f>
        <v>800</v>
      </c>
      <c r="N360" s="5" t="n">
        <f aca="false">IF(AND(C360=10,E360=1),$W$6,N359-P359)</f>
        <v>43</v>
      </c>
      <c r="O360" s="5" t="n">
        <f aca="false">IF(ABS(M360-L360)&gt;1,MIN(N360/((L360-M360)*24/12.1/1000),D360),D360)</f>
        <v>18.0659722222222</v>
      </c>
      <c r="P360" s="5" t="n">
        <f aca="false">MIN(IF(AND(G360,E360),(L360-M360)*24/12.1*O360/1000,0),N360)</f>
        <v>43</v>
      </c>
      <c r="Q360" s="5" t="n">
        <f aca="false">IF(P360&gt;0,P360/O360*12.1/24*1000+M360,0)</f>
        <v>2000</v>
      </c>
      <c r="R360" s="0" t="n">
        <f aca="false">IF(Q360&gt;0,TRUNC(O360),0)</f>
        <v>18</v>
      </c>
      <c r="S360" s="5" t="n">
        <f aca="false">(M360*(D360-R360)+(Q360*R360))/D360</f>
        <v>1571.42857142857</v>
      </c>
      <c r="T360" s="6" t="n">
        <f aca="false">(Q360-M360)*R360*24/12.1/1000</f>
        <v>42.8429752066116</v>
      </c>
    </row>
    <row r="361" customFormat="false" ht="14.35" hidden="false" customHeight="false" outlineLevel="0" collapsed="false">
      <c r="A361" s="4" t="n">
        <v>18718</v>
      </c>
      <c r="B361" s="15" t="n">
        <f aca="false">IF(C361&lt;=9,YEAR(A361),YEAR(A361)+1)</f>
        <v>1951</v>
      </c>
      <c r="C361" s="15" t="n">
        <f aca="false">MONTH(A361)</f>
        <v>3</v>
      </c>
      <c r="D361" s="15" t="n">
        <f aca="false">DAY(A361)</f>
        <v>31</v>
      </c>
      <c r="E361" s="15" t="n">
        <f aca="false">VLOOKUP(B361,WYT!$A$2:$L$97,12)</f>
        <v>1</v>
      </c>
      <c r="F361" s="15" t="n">
        <f aca="false">IF(C361=$W$5,1,0)</f>
        <v>0</v>
      </c>
      <c r="G361" s="15" t="n">
        <f aca="false">IF(C361=10,0,IF(F361=1,1,G360))</f>
        <v>1</v>
      </c>
      <c r="H361" s="5" t="n">
        <f aca="false">VA_base_426_data!B361</f>
        <v>4533.51088658117</v>
      </c>
      <c r="I361" s="5" t="n">
        <f aca="false">IF(AND(E361=1,OR(C361=4,C361=5)),25*12.1/24/D361*1000,0)</f>
        <v>0</v>
      </c>
      <c r="J361" s="5" t="n">
        <f aca="false">VA_base_426_data!C361</f>
        <v>1700</v>
      </c>
      <c r="K361" s="5" t="n">
        <f aca="false">H361+I361-J361</f>
        <v>2833.51088658117</v>
      </c>
      <c r="L361" s="5" t="n">
        <f aca="false">MIN($W$7,J361+K361)</f>
        <v>2000</v>
      </c>
      <c r="M361" s="5" t="n">
        <f aca="false">VA_base_426_data!D361</f>
        <v>800</v>
      </c>
      <c r="N361" s="5" t="n">
        <f aca="false">IF(AND(C361=10,E361=1),$W$6,N360-P360)</f>
        <v>0</v>
      </c>
      <c r="O361" s="5" t="n">
        <f aca="false">IF(ABS(M361-L361)&gt;1,MIN(N361/((L361-M361)*24/12.1/1000),D361),D361)</f>
        <v>0</v>
      </c>
      <c r="P361" s="5" t="n">
        <f aca="false">MIN(IF(AND(G361,E361),(L361-M361)*24/12.1*O361/1000,0),N361)</f>
        <v>0</v>
      </c>
      <c r="Q361" s="5" t="n">
        <f aca="false">IF(P361&gt;0,P361/O361*12.1/24*1000+M361,0)</f>
        <v>0</v>
      </c>
      <c r="R361" s="0" t="n">
        <f aca="false">IF(Q361&gt;0,TRUNC(O361),0)</f>
        <v>0</v>
      </c>
      <c r="S361" s="5" t="n">
        <f aca="false">(M361*(D361-R361)+(Q361*R361))/D361</f>
        <v>800</v>
      </c>
      <c r="T361" s="6" t="n">
        <f aca="false">(Q361-M361)*R361*24/12.1/1000</f>
        <v>-0</v>
      </c>
    </row>
    <row r="362" customFormat="false" ht="14.35" hidden="false" customHeight="false" outlineLevel="0" collapsed="false">
      <c r="A362" s="4" t="n">
        <v>18748</v>
      </c>
      <c r="B362" s="15" t="n">
        <f aca="false">IF(C362&lt;=9,YEAR(A362),YEAR(A362)+1)</f>
        <v>1951</v>
      </c>
      <c r="C362" s="15" t="n">
        <f aca="false">MONTH(A362)</f>
        <v>4</v>
      </c>
      <c r="D362" s="15" t="n">
        <f aca="false">DAY(A362)</f>
        <v>30</v>
      </c>
      <c r="E362" s="15" t="n">
        <f aca="false">VLOOKUP(B362,WYT!$A$2:$L$97,12)</f>
        <v>1</v>
      </c>
      <c r="F362" s="15" t="n">
        <f aca="false">IF(C362=$W$5,1,0)</f>
        <v>0</v>
      </c>
      <c r="G362" s="15" t="n">
        <f aca="false">IF(C362=10,0,IF(F362=1,1,G361))</f>
        <v>1</v>
      </c>
      <c r="H362" s="5" t="n">
        <f aca="false">VA_base_426_data!B362</f>
        <v>1000</v>
      </c>
      <c r="I362" s="5" t="n">
        <f aca="false">IF(AND(E362=1,OR(C362=4,C362=5)),25*12.1/24/D362*1000,0)</f>
        <v>420.138888888889</v>
      </c>
      <c r="J362" s="5" t="n">
        <f aca="false">VA_base_426_data!C362</f>
        <v>1000</v>
      </c>
      <c r="K362" s="5" t="n">
        <f aca="false">H362+I362-J362</f>
        <v>420.138888888889</v>
      </c>
      <c r="L362" s="5" t="n">
        <f aca="false">MIN($W$7,J362+K362)</f>
        <v>1420.13888888889</v>
      </c>
      <c r="M362" s="5" t="n">
        <f aca="false">VA_base_426_data!D362</f>
        <v>700</v>
      </c>
      <c r="N362" s="5" t="n">
        <f aca="false">IF(AND(C362=10,E362=1),$W$6,N361-P361)</f>
        <v>0</v>
      </c>
      <c r="O362" s="5" t="n">
        <f aca="false">IF(ABS(M362-L362)&gt;1,MIN(N362/((L362-M362)*24/12.1/1000),D362),D362)</f>
        <v>0</v>
      </c>
      <c r="P362" s="5" t="n">
        <f aca="false">MIN(IF(AND(G362,E362),(L362-M362)*24/12.1*O362/1000,0),N362)</f>
        <v>0</v>
      </c>
      <c r="Q362" s="5" t="n">
        <f aca="false">IF(P362&gt;0,P362/O362*12.1/24*1000+M362,0)</f>
        <v>0</v>
      </c>
      <c r="R362" s="0" t="n">
        <f aca="false">IF(Q362&gt;0,TRUNC(O362),0)</f>
        <v>0</v>
      </c>
      <c r="S362" s="5" t="n">
        <f aca="false">(M362*(D362-R362)+(Q362*R362))/D362</f>
        <v>700</v>
      </c>
      <c r="T362" s="6" t="n">
        <f aca="false">(Q362-M362)*R362*24/12.1/1000</f>
        <v>-0</v>
      </c>
    </row>
    <row r="363" customFormat="false" ht="14.35" hidden="false" customHeight="false" outlineLevel="0" collapsed="false">
      <c r="A363" s="4" t="n">
        <v>18779</v>
      </c>
      <c r="B363" s="15" t="n">
        <f aca="false">IF(C363&lt;=9,YEAR(A363),YEAR(A363)+1)</f>
        <v>1951</v>
      </c>
      <c r="C363" s="15" t="n">
        <f aca="false">MONTH(A363)</f>
        <v>5</v>
      </c>
      <c r="D363" s="15" t="n">
        <f aca="false">DAY(A363)</f>
        <v>31</v>
      </c>
      <c r="E363" s="15" t="n">
        <f aca="false">VLOOKUP(B363,WYT!$A$2:$L$97,12)</f>
        <v>1</v>
      </c>
      <c r="F363" s="15" t="n">
        <f aca="false">IF(C363=$W$5,1,0)</f>
        <v>0</v>
      </c>
      <c r="G363" s="15" t="n">
        <f aca="false">IF(C363=10,0,IF(F363=1,1,G362))</f>
        <v>1</v>
      </c>
      <c r="H363" s="5" t="n">
        <f aca="false">VA_base_426_data!B363</f>
        <v>1747.37271559702</v>
      </c>
      <c r="I363" s="5" t="n">
        <f aca="false">IF(AND(E363=1,OR(C363=4,C363=5)),25*12.1/24/D363*1000,0)</f>
        <v>406.586021505376</v>
      </c>
      <c r="J363" s="5" t="n">
        <f aca="false">VA_base_426_data!C363</f>
        <v>1000</v>
      </c>
      <c r="K363" s="5" t="n">
        <f aca="false">H363+I363-J363</f>
        <v>1153.9587371024</v>
      </c>
      <c r="L363" s="5" t="n">
        <f aca="false">MIN($W$7,J363+K363)</f>
        <v>2000</v>
      </c>
      <c r="M363" s="5" t="n">
        <f aca="false">VA_base_426_data!D363</f>
        <v>700</v>
      </c>
      <c r="N363" s="5" t="n">
        <f aca="false">IF(AND(C363=10,E363=1),$W$6,N362-P362)</f>
        <v>0</v>
      </c>
      <c r="O363" s="5" t="n">
        <f aca="false">IF(ABS(M363-L363)&gt;1,MIN(N363/((L363-M363)*24/12.1/1000),D363),D363)</f>
        <v>0</v>
      </c>
      <c r="P363" s="5" t="n">
        <f aca="false">MIN(IF(AND(G363,E363),(L363-M363)*24/12.1*O363/1000,0),N363)</f>
        <v>0</v>
      </c>
      <c r="Q363" s="5" t="n">
        <f aca="false">IF(P363&gt;0,P363/O363*12.1/24*1000+M363,0)</f>
        <v>0</v>
      </c>
      <c r="R363" s="0" t="n">
        <f aca="false">IF(Q363&gt;0,TRUNC(O363),0)</f>
        <v>0</v>
      </c>
      <c r="S363" s="5" t="n">
        <f aca="false">(M363*(D363-R363)+(Q363*R363))/D363</f>
        <v>700</v>
      </c>
      <c r="T363" s="6" t="n">
        <f aca="false">(Q363-M363)*R363*24/12.1/1000</f>
        <v>-0</v>
      </c>
    </row>
    <row r="364" customFormat="false" ht="14.35" hidden="false" customHeight="false" outlineLevel="0" collapsed="false">
      <c r="A364" s="4" t="n">
        <v>18809</v>
      </c>
      <c r="B364" s="15" t="n">
        <f aca="false">IF(C364&lt;=9,YEAR(A364),YEAR(A364)+1)</f>
        <v>1951</v>
      </c>
      <c r="C364" s="15" t="n">
        <f aca="false">MONTH(A364)</f>
        <v>6</v>
      </c>
      <c r="D364" s="15" t="n">
        <f aca="false">DAY(A364)</f>
        <v>30</v>
      </c>
      <c r="E364" s="15" t="n">
        <f aca="false">VLOOKUP(B364,WYT!$A$2:$L$97,12)</f>
        <v>1</v>
      </c>
      <c r="F364" s="15" t="n">
        <f aca="false">IF(C364=$W$5,1,0)</f>
        <v>0</v>
      </c>
      <c r="G364" s="15" t="n">
        <f aca="false">IF(C364=10,0,IF(F364=1,1,G363))</f>
        <v>1</v>
      </c>
      <c r="H364" s="5" t="n">
        <f aca="false">VA_base_426_data!B364</f>
        <v>3272.05901283357</v>
      </c>
      <c r="I364" s="5" t="n">
        <f aca="false">IF(AND(E364=1,OR(C364=4,C364=5)),25*12.1/24/D364*1000,0)</f>
        <v>0</v>
      </c>
      <c r="J364" s="5" t="n">
        <f aca="false">VA_base_426_data!C364</f>
        <v>1000</v>
      </c>
      <c r="K364" s="5" t="n">
        <f aca="false">H364+I364-J364</f>
        <v>2272.05901283357</v>
      </c>
      <c r="L364" s="5" t="n">
        <f aca="false">MIN($W$7,J364+K364)</f>
        <v>2000</v>
      </c>
      <c r="M364" s="5" t="n">
        <f aca="false">VA_base_426_data!D364</f>
        <v>700</v>
      </c>
      <c r="N364" s="5" t="n">
        <f aca="false">IF(AND(C364=10,E364=1),$W$6,N363-P363)</f>
        <v>0</v>
      </c>
      <c r="O364" s="5" t="n">
        <f aca="false">IF(ABS(M364-L364)&gt;1,MIN(N364/((L364-M364)*24/12.1/1000),D364),D364)</f>
        <v>0</v>
      </c>
      <c r="P364" s="5" t="n">
        <f aca="false">MIN(IF(AND(G364,E364),(L364-M364)*24/12.1*O364/1000,0),N364)</f>
        <v>0</v>
      </c>
      <c r="Q364" s="5" t="n">
        <f aca="false">IF(P364&gt;0,P364/O364*12.1/24*1000+M364,0)</f>
        <v>0</v>
      </c>
      <c r="R364" s="0" t="n">
        <f aca="false">IF(Q364&gt;0,TRUNC(O364),0)</f>
        <v>0</v>
      </c>
      <c r="S364" s="5" t="n">
        <f aca="false">(M364*(D364-R364)+(Q364*R364))/D364</f>
        <v>700</v>
      </c>
      <c r="T364" s="6" t="n">
        <f aca="false">(Q364-M364)*R364*24/12.1/1000</f>
        <v>-0</v>
      </c>
    </row>
    <row r="365" customFormat="false" ht="14.35" hidden="false" customHeight="false" outlineLevel="0" collapsed="false">
      <c r="A365" s="4" t="n">
        <v>18840</v>
      </c>
      <c r="B365" s="15" t="n">
        <f aca="false">IF(C365&lt;=9,YEAR(A365),YEAR(A365)+1)</f>
        <v>1951</v>
      </c>
      <c r="C365" s="15" t="n">
        <f aca="false">MONTH(A365)</f>
        <v>7</v>
      </c>
      <c r="D365" s="15" t="n">
        <f aca="false">DAY(A365)</f>
        <v>31</v>
      </c>
      <c r="E365" s="15" t="n">
        <f aca="false">VLOOKUP(B365,WYT!$A$2:$L$97,12)</f>
        <v>1</v>
      </c>
      <c r="F365" s="15" t="n">
        <f aca="false">IF(C365=$W$5,1,0)</f>
        <v>0</v>
      </c>
      <c r="G365" s="15" t="n">
        <f aca="false">IF(C365=10,0,IF(F365=1,1,G364))</f>
        <v>1</v>
      </c>
      <c r="H365" s="5" t="n">
        <f aca="false">VA_base_426_data!B365</f>
        <v>9133.66836373126</v>
      </c>
      <c r="I365" s="5" t="n">
        <f aca="false">IF(AND(E365=1,OR(C365=4,C365=5)),25*12.1/24/D365*1000,0)</f>
        <v>0</v>
      </c>
      <c r="J365" s="5" t="n">
        <f aca="false">VA_base_426_data!C365</f>
        <v>1000</v>
      </c>
      <c r="K365" s="5" t="n">
        <f aca="false">H365+I365-J365</f>
        <v>8133.66836373126</v>
      </c>
      <c r="L365" s="5" t="n">
        <f aca="false">MIN($W$7,J365+K365)</f>
        <v>2000</v>
      </c>
      <c r="M365" s="5" t="n">
        <f aca="false">VA_base_426_data!D365</f>
        <v>700</v>
      </c>
      <c r="N365" s="5" t="n">
        <f aca="false">IF(AND(C365=10,E365=1),$W$6,N364-P364)</f>
        <v>0</v>
      </c>
      <c r="O365" s="5" t="n">
        <f aca="false">IF(ABS(M365-L365)&gt;1,MIN(N365/((L365-M365)*24/12.1/1000),D365),D365)</f>
        <v>0</v>
      </c>
      <c r="P365" s="5" t="n">
        <f aca="false">MIN(IF(AND(G365,E365),(L365-M365)*24/12.1*O365/1000,0),N365)</f>
        <v>0</v>
      </c>
      <c r="Q365" s="5" t="n">
        <f aca="false">IF(P365&gt;0,P365/O365*12.1/24*1000+M365,0)</f>
        <v>0</v>
      </c>
      <c r="R365" s="0" t="n">
        <f aca="false">IF(Q365&gt;0,TRUNC(O365),0)</f>
        <v>0</v>
      </c>
      <c r="S365" s="5" t="n">
        <f aca="false">(M365*(D365-R365)+(Q365*R365))/D365</f>
        <v>700</v>
      </c>
      <c r="T365" s="6" t="n">
        <f aca="false">(Q365-M365)*R365*24/12.1/1000</f>
        <v>-0</v>
      </c>
    </row>
    <row r="366" customFormat="false" ht="14.35" hidden="false" customHeight="false" outlineLevel="0" collapsed="false">
      <c r="A366" s="4" t="n">
        <v>18871</v>
      </c>
      <c r="B366" s="15" t="n">
        <f aca="false">IF(C366&lt;=9,YEAR(A366),YEAR(A366)+1)</f>
        <v>1951</v>
      </c>
      <c r="C366" s="15" t="n">
        <f aca="false">MONTH(A366)</f>
        <v>8</v>
      </c>
      <c r="D366" s="15" t="n">
        <f aca="false">DAY(A366)</f>
        <v>31</v>
      </c>
      <c r="E366" s="15" t="n">
        <f aca="false">VLOOKUP(B366,WYT!$A$2:$L$97,12)</f>
        <v>1</v>
      </c>
      <c r="F366" s="15" t="n">
        <f aca="false">IF(C366=$W$5,1,0)</f>
        <v>0</v>
      </c>
      <c r="G366" s="15" t="n">
        <f aca="false">IF(C366=10,0,IF(F366=1,1,G365))</f>
        <v>1</v>
      </c>
      <c r="H366" s="5" t="n">
        <f aca="false">VA_base_426_data!B366</f>
        <v>8380.18496937349</v>
      </c>
      <c r="I366" s="5" t="n">
        <f aca="false">IF(AND(E366=1,OR(C366=4,C366=5)),25*12.1/24/D366*1000,0)</f>
        <v>0</v>
      </c>
      <c r="J366" s="5" t="n">
        <f aca="false">VA_base_426_data!C366</f>
        <v>1000</v>
      </c>
      <c r="K366" s="5" t="n">
        <f aca="false">H366+I366-J366</f>
        <v>7380.18496937349</v>
      </c>
      <c r="L366" s="5" t="n">
        <f aca="false">MIN($W$7,J366+K366)</f>
        <v>2000</v>
      </c>
      <c r="M366" s="5" t="n">
        <f aca="false">VA_base_426_data!D366</f>
        <v>700</v>
      </c>
      <c r="N366" s="5" t="n">
        <f aca="false">IF(AND(C366=10,E366=1),$W$6,N365-P365)</f>
        <v>0</v>
      </c>
      <c r="O366" s="5" t="n">
        <f aca="false">IF(ABS(M366-L366)&gt;1,MIN(N366/((L366-M366)*24/12.1/1000),D366),D366)</f>
        <v>0</v>
      </c>
      <c r="P366" s="5" t="n">
        <f aca="false">MIN(IF(AND(G366,E366),(L366-M366)*24/12.1*O366/1000,0),N366)</f>
        <v>0</v>
      </c>
      <c r="Q366" s="5" t="n">
        <f aca="false">IF(P366&gt;0,P366/O366*12.1/24*1000+M366,0)</f>
        <v>0</v>
      </c>
      <c r="R366" s="0" t="n">
        <f aca="false">IF(Q366&gt;0,TRUNC(O366),0)</f>
        <v>0</v>
      </c>
      <c r="S366" s="5" t="n">
        <f aca="false">(M366*(D366-R366)+(Q366*R366))/D366</f>
        <v>700</v>
      </c>
      <c r="T366" s="6" t="n">
        <f aca="false">(Q366-M366)*R366*24/12.1/1000</f>
        <v>-0</v>
      </c>
    </row>
    <row r="367" customFormat="false" ht="14.35" hidden="false" customHeight="false" outlineLevel="0" collapsed="false">
      <c r="A367" s="4" t="n">
        <v>18901</v>
      </c>
      <c r="B367" s="15" t="n">
        <f aca="false">IF(C367&lt;=9,YEAR(A367),YEAR(A367)+1)</f>
        <v>1951</v>
      </c>
      <c r="C367" s="15" t="n">
        <f aca="false">MONTH(A367)</f>
        <v>9</v>
      </c>
      <c r="D367" s="15" t="n">
        <f aca="false">DAY(A367)</f>
        <v>30</v>
      </c>
      <c r="E367" s="15" t="n">
        <f aca="false">VLOOKUP(B367,WYT!$A$2:$L$97,12)</f>
        <v>1</v>
      </c>
      <c r="F367" s="15" t="n">
        <f aca="false">IF(C367=$W$5,1,0)</f>
        <v>0</v>
      </c>
      <c r="G367" s="15" t="n">
        <f aca="false">IF(C367=10,0,IF(F367=1,1,G366))</f>
        <v>1</v>
      </c>
      <c r="H367" s="5" t="n">
        <f aca="false">VA_base_426_data!B367</f>
        <v>7917.91877181867</v>
      </c>
      <c r="I367" s="5" t="n">
        <f aca="false">IF(AND(E367=1,OR(C367=4,C367=5)),25*12.1/24/D367*1000,0)</f>
        <v>0</v>
      </c>
      <c r="J367" s="5" t="n">
        <f aca="false">VA_base_426_data!C367</f>
        <v>1000</v>
      </c>
      <c r="K367" s="5" t="n">
        <f aca="false">H367+I367-J367</f>
        <v>6917.91877181867</v>
      </c>
      <c r="L367" s="5" t="n">
        <f aca="false">MIN($W$7,J367+K367)</f>
        <v>2000</v>
      </c>
      <c r="M367" s="5" t="n">
        <f aca="false">VA_base_426_data!D367</f>
        <v>773.3333333</v>
      </c>
      <c r="N367" s="5" t="n">
        <f aca="false">IF(AND(C367=10,E367=1),$W$6,N366-P366)</f>
        <v>0</v>
      </c>
      <c r="O367" s="5" t="n">
        <f aca="false">IF(ABS(M367-L367)&gt;1,MIN(N367/((L367-M367)*24/12.1/1000),D367),D367)</f>
        <v>0</v>
      </c>
      <c r="P367" s="5" t="n">
        <f aca="false">MIN(IF(AND(G367,E367),(L367-M367)*24/12.1*O367/1000,0),N367)</f>
        <v>0</v>
      </c>
      <c r="Q367" s="5" t="n">
        <f aca="false">IF(P367&gt;0,P367/O367*12.1/24*1000+M367,0)</f>
        <v>0</v>
      </c>
      <c r="R367" s="0" t="n">
        <f aca="false">IF(Q367&gt;0,TRUNC(O367),0)</f>
        <v>0</v>
      </c>
      <c r="S367" s="5" t="n">
        <f aca="false">(M367*(D367-R367)+(Q367*R367))/D367</f>
        <v>773.3333333</v>
      </c>
      <c r="T367" s="6" t="n">
        <f aca="false">(Q367-M367)*R367*24/12.1/1000</f>
        <v>-0</v>
      </c>
    </row>
    <row r="368" customFormat="false" ht="14.35" hidden="false" customHeight="false" outlineLevel="0" collapsed="false">
      <c r="A368" s="4" t="n">
        <v>18932</v>
      </c>
      <c r="B368" s="15" t="n">
        <f aca="false">IF(C368&lt;=9,YEAR(A368),YEAR(A368)+1)</f>
        <v>1952</v>
      </c>
      <c r="C368" s="15" t="n">
        <f aca="false">MONTH(A368)</f>
        <v>10</v>
      </c>
      <c r="D368" s="15" t="n">
        <f aca="false">DAY(A368)</f>
        <v>31</v>
      </c>
      <c r="E368" s="15" t="n">
        <f aca="false">VLOOKUP(B368,WYT!$A$2:$L$97,12)</f>
        <v>0</v>
      </c>
      <c r="F368" s="15" t="n">
        <f aca="false">IF(C368=$W$5,1,0)</f>
        <v>0</v>
      </c>
      <c r="G368" s="15" t="n">
        <f aca="false">IF(C368=10,0,IF(F368=1,1,G367))</f>
        <v>0</v>
      </c>
      <c r="H368" s="5" t="n">
        <f aca="false">VA_base_426_data!B368</f>
        <v>4000</v>
      </c>
      <c r="I368" s="5" t="n">
        <f aca="false">IF(AND(E368=1,OR(C368=4,C368=5)),25*12.1/24/D368*1000,0)</f>
        <v>0</v>
      </c>
      <c r="J368" s="5" t="n">
        <f aca="false">VA_base_426_data!C368</f>
        <v>1700</v>
      </c>
      <c r="K368" s="5" t="n">
        <f aca="false">H368+I368-J368</f>
        <v>2300</v>
      </c>
      <c r="L368" s="5" t="n">
        <f aca="false">MIN($W$7,J368+K368)</f>
        <v>2000</v>
      </c>
      <c r="M368" s="5" t="n">
        <f aca="false">VA_base_426_data!D368</f>
        <v>800</v>
      </c>
      <c r="N368" s="5" t="n">
        <f aca="false">IF(AND(C368=10,E368=1),$W$6,N367-P367)</f>
        <v>0</v>
      </c>
      <c r="O368" s="5" t="n">
        <f aca="false">IF(ABS(M368-L368)&gt;1,MIN(N368/((L368-M368)*24/12.1/1000),D368),D368)</f>
        <v>0</v>
      </c>
      <c r="P368" s="5" t="n">
        <f aca="false">MIN(IF(AND(G368,E368),(L368-M368)*24/12.1*O368/1000,0),N368)</f>
        <v>0</v>
      </c>
      <c r="Q368" s="5" t="n">
        <f aca="false">IF(P368&gt;0,P368/O368*12.1/24*1000+M368,0)</f>
        <v>0</v>
      </c>
      <c r="R368" s="0" t="n">
        <f aca="false">IF(Q368&gt;0,TRUNC(O368),0)</f>
        <v>0</v>
      </c>
      <c r="S368" s="5" t="n">
        <f aca="false">(M368*(D368-R368)+(Q368*R368))/D368</f>
        <v>800</v>
      </c>
      <c r="T368" s="6" t="n">
        <f aca="false">(Q368-M368)*R368*24/12.1/1000</f>
        <v>-0</v>
      </c>
    </row>
    <row r="369" customFormat="false" ht="14.35" hidden="false" customHeight="false" outlineLevel="0" collapsed="false">
      <c r="A369" s="4" t="n">
        <v>18962</v>
      </c>
      <c r="B369" s="15" t="n">
        <f aca="false">IF(C369&lt;=9,YEAR(A369),YEAR(A369)+1)</f>
        <v>1952</v>
      </c>
      <c r="C369" s="15" t="n">
        <f aca="false">MONTH(A369)</f>
        <v>11</v>
      </c>
      <c r="D369" s="15" t="n">
        <f aca="false">DAY(A369)</f>
        <v>30</v>
      </c>
      <c r="E369" s="15" t="n">
        <f aca="false">VLOOKUP(B369,WYT!$A$2:$L$97,12)</f>
        <v>0</v>
      </c>
      <c r="F369" s="15" t="n">
        <f aca="false">IF(C369=$W$5,1,0)</f>
        <v>0</v>
      </c>
      <c r="G369" s="15" t="n">
        <f aca="false">IF(C369=10,0,IF(F369=1,1,G368))</f>
        <v>0</v>
      </c>
      <c r="H369" s="5" t="n">
        <f aca="false">VA_base_426_data!B369</f>
        <v>2500</v>
      </c>
      <c r="I369" s="5" t="n">
        <f aca="false">IF(AND(E369=1,OR(C369=4,C369=5)),25*12.1/24/D369*1000,0)</f>
        <v>0</v>
      </c>
      <c r="J369" s="5" t="n">
        <f aca="false">VA_base_426_data!C369</f>
        <v>1700</v>
      </c>
      <c r="K369" s="5" t="n">
        <f aca="false">H369+I369-J369</f>
        <v>800</v>
      </c>
      <c r="L369" s="5" t="n">
        <f aca="false">MIN($W$7,J369+K369)</f>
        <v>2000</v>
      </c>
      <c r="M369" s="5" t="n">
        <f aca="false">VA_base_426_data!D369</f>
        <v>800</v>
      </c>
      <c r="N369" s="5" t="n">
        <f aca="false">IF(AND(C369=10,E369=1),$W$6,N368-P368)</f>
        <v>0</v>
      </c>
      <c r="O369" s="5" t="n">
        <f aca="false">IF(ABS(M369-L369)&gt;1,MIN(N369/((L369-M369)*24/12.1/1000),D369),D369)</f>
        <v>0</v>
      </c>
      <c r="P369" s="5" t="n">
        <f aca="false">MIN(IF(AND(G369,E369),(L369-M369)*24/12.1*O369/1000,0),N369)</f>
        <v>0</v>
      </c>
      <c r="Q369" s="5" t="n">
        <f aca="false">IF(P369&gt;0,P369/O369*12.1/24*1000+M369,0)</f>
        <v>0</v>
      </c>
      <c r="R369" s="0" t="n">
        <f aca="false">IF(Q369&gt;0,TRUNC(O369),0)</f>
        <v>0</v>
      </c>
      <c r="S369" s="5" t="n">
        <f aca="false">(M369*(D369-R369)+(Q369*R369))/D369</f>
        <v>800</v>
      </c>
      <c r="T369" s="6" t="n">
        <f aca="false">(Q369-M369)*R369*24/12.1/1000</f>
        <v>-0</v>
      </c>
    </row>
    <row r="370" customFormat="false" ht="14.35" hidden="false" customHeight="false" outlineLevel="0" collapsed="false">
      <c r="A370" s="4" t="n">
        <v>18993</v>
      </c>
      <c r="B370" s="15" t="n">
        <f aca="false">IF(C370&lt;=9,YEAR(A370),YEAR(A370)+1)</f>
        <v>1952</v>
      </c>
      <c r="C370" s="15" t="n">
        <f aca="false">MONTH(A370)</f>
        <v>12</v>
      </c>
      <c r="D370" s="15" t="n">
        <f aca="false">DAY(A370)</f>
        <v>31</v>
      </c>
      <c r="E370" s="15" t="n">
        <f aca="false">VLOOKUP(B370,WYT!$A$2:$L$97,12)</f>
        <v>0</v>
      </c>
      <c r="F370" s="15" t="n">
        <f aca="false">IF(C370=$W$5,1,0)</f>
        <v>0</v>
      </c>
      <c r="G370" s="15" t="n">
        <f aca="false">IF(C370=10,0,IF(F370=1,1,G369))</f>
        <v>0</v>
      </c>
      <c r="H370" s="5" t="n">
        <f aca="false">VA_base_426_data!B370</f>
        <v>1834.73650758272</v>
      </c>
      <c r="I370" s="5" t="n">
        <f aca="false">IF(AND(E370=1,OR(C370=4,C370=5)),25*12.1/24/D370*1000,0)</f>
        <v>0</v>
      </c>
      <c r="J370" s="5" t="n">
        <f aca="false">VA_base_426_data!C370</f>
        <v>1700</v>
      </c>
      <c r="K370" s="5" t="n">
        <f aca="false">H370+I370-J370</f>
        <v>134.736507582717</v>
      </c>
      <c r="L370" s="5" t="n">
        <f aca="false">MIN($W$7,J370+K370)</f>
        <v>1834.73650758272</v>
      </c>
      <c r="M370" s="5" t="n">
        <f aca="false">VA_base_426_data!D370</f>
        <v>800</v>
      </c>
      <c r="N370" s="5" t="n">
        <f aca="false">IF(AND(C370=10,E370=1),$W$6,N369-P369)</f>
        <v>0</v>
      </c>
      <c r="O370" s="5" t="n">
        <f aca="false">IF(ABS(M370-L370)&gt;1,MIN(N370/((L370-M370)*24/12.1/1000),D370),D370)</f>
        <v>0</v>
      </c>
      <c r="P370" s="5" t="n">
        <f aca="false">MIN(IF(AND(G370,E370),(L370-M370)*24/12.1*O370/1000,0),N370)</f>
        <v>0</v>
      </c>
      <c r="Q370" s="5" t="n">
        <f aca="false">IF(P370&gt;0,P370/O370*12.1/24*1000+M370,0)</f>
        <v>0</v>
      </c>
      <c r="R370" s="0" t="n">
        <f aca="false">IF(Q370&gt;0,TRUNC(O370),0)</f>
        <v>0</v>
      </c>
      <c r="S370" s="5" t="n">
        <f aca="false">(M370*(D370-R370)+(Q370*R370))/D370</f>
        <v>800</v>
      </c>
      <c r="T370" s="6" t="n">
        <f aca="false">(Q370-M370)*R370*24/12.1/1000</f>
        <v>-0</v>
      </c>
    </row>
    <row r="371" customFormat="false" ht="14.35" hidden="false" customHeight="false" outlineLevel="0" collapsed="false">
      <c r="A371" s="4" t="n">
        <v>19024</v>
      </c>
      <c r="B371" s="15" t="n">
        <f aca="false">IF(C371&lt;=9,YEAR(A371),YEAR(A371)+1)</f>
        <v>1952</v>
      </c>
      <c r="C371" s="15" t="n">
        <f aca="false">MONTH(A371)</f>
        <v>1</v>
      </c>
      <c r="D371" s="15" t="n">
        <f aca="false">DAY(A371)</f>
        <v>31</v>
      </c>
      <c r="E371" s="15" t="n">
        <f aca="false">VLOOKUP(B371,WYT!$A$2:$L$97,12)</f>
        <v>0</v>
      </c>
      <c r="F371" s="15" t="n">
        <f aca="false">IF(C371=$W$5,1,0)</f>
        <v>0</v>
      </c>
      <c r="G371" s="15" t="n">
        <f aca="false">IF(C371=10,0,IF(F371=1,1,G370))</f>
        <v>0</v>
      </c>
      <c r="H371" s="5" t="n">
        <f aca="false">VA_base_426_data!B371</f>
        <v>1699.99999999999</v>
      </c>
      <c r="I371" s="5" t="n">
        <f aca="false">IF(AND(E371=1,OR(C371=4,C371=5)),25*12.1/24/D371*1000,0)</f>
        <v>0</v>
      </c>
      <c r="J371" s="5" t="n">
        <f aca="false">VA_base_426_data!C371</f>
        <v>1700</v>
      </c>
      <c r="K371" s="5" t="n">
        <f aca="false">H371+I371-J371</f>
        <v>-1.47792889038101E-011</v>
      </c>
      <c r="L371" s="5" t="n">
        <f aca="false">MIN($W$7,J371+K371)</f>
        <v>1699.99999999999</v>
      </c>
      <c r="M371" s="5" t="n">
        <f aca="false">VA_base_426_data!D371</f>
        <v>800</v>
      </c>
      <c r="N371" s="5" t="n">
        <f aca="false">IF(AND(C371=10,E371=1),$W$6,N370-P370)</f>
        <v>0</v>
      </c>
      <c r="O371" s="5" t="n">
        <f aca="false">IF(ABS(M371-L371)&gt;1,MIN(N371/((L371-M371)*24/12.1/1000),D371),D371)</f>
        <v>0</v>
      </c>
      <c r="P371" s="5" t="n">
        <f aca="false">MIN(IF(AND(G371,E371),(L371-M371)*24/12.1*O371/1000,0),N371)</f>
        <v>0</v>
      </c>
      <c r="Q371" s="5" t="n">
        <f aca="false">IF(P371&gt;0,P371/O371*12.1/24*1000+M371,0)</f>
        <v>0</v>
      </c>
      <c r="R371" s="0" t="n">
        <f aca="false">IF(Q371&gt;0,TRUNC(O371),0)</f>
        <v>0</v>
      </c>
      <c r="S371" s="5" t="n">
        <f aca="false">(M371*(D371-R371)+(Q371*R371))/D371</f>
        <v>800</v>
      </c>
      <c r="T371" s="6" t="n">
        <f aca="false">(Q371-M371)*R371*24/12.1/1000</f>
        <v>-0</v>
      </c>
    </row>
    <row r="372" customFormat="false" ht="14.35" hidden="false" customHeight="false" outlineLevel="0" collapsed="false">
      <c r="A372" s="4" t="n">
        <v>19053</v>
      </c>
      <c r="B372" s="15" t="n">
        <f aca="false">IF(C372&lt;=9,YEAR(A372),YEAR(A372)+1)</f>
        <v>1952</v>
      </c>
      <c r="C372" s="15" t="n">
        <f aca="false">MONTH(A372)</f>
        <v>2</v>
      </c>
      <c r="D372" s="15" t="n">
        <f aca="false">DAY(A372)</f>
        <v>29</v>
      </c>
      <c r="E372" s="15" t="n">
        <f aca="false">VLOOKUP(B372,WYT!$A$2:$L$97,12)</f>
        <v>0</v>
      </c>
      <c r="F372" s="15" t="n">
        <f aca="false">IF(C372=$W$5,1,0)</f>
        <v>1</v>
      </c>
      <c r="G372" s="15" t="n">
        <f aca="false">IF(C372=10,0,IF(F372=1,1,G371))</f>
        <v>1</v>
      </c>
      <c r="H372" s="5" t="n">
        <f aca="false">VA_base_426_data!B372</f>
        <v>6399.89681844021</v>
      </c>
      <c r="I372" s="5" t="n">
        <f aca="false">IF(AND(E372=1,OR(C372=4,C372=5)),25*12.1/24/D372*1000,0)</f>
        <v>0</v>
      </c>
      <c r="J372" s="5" t="n">
        <f aca="false">VA_base_426_data!C372</f>
        <v>1700</v>
      </c>
      <c r="K372" s="5" t="n">
        <f aca="false">H372+I372-J372</f>
        <v>4699.89681844022</v>
      </c>
      <c r="L372" s="5" t="n">
        <f aca="false">MIN($W$7,J372+K372)</f>
        <v>2000</v>
      </c>
      <c r="M372" s="5" t="n">
        <f aca="false">VA_base_426_data!D372</f>
        <v>800</v>
      </c>
      <c r="N372" s="5" t="n">
        <f aca="false">IF(AND(C372=10,E372=1),$W$6,N371-P371)</f>
        <v>0</v>
      </c>
      <c r="O372" s="5" t="n">
        <f aca="false">IF(ABS(M372-L372)&gt;1,MIN(N372/((L372-M372)*24/12.1/1000),D372),D372)</f>
        <v>0</v>
      </c>
      <c r="P372" s="5" t="n">
        <f aca="false">MIN(IF(AND(G372,E372),(L372-M372)*24/12.1*O372/1000,0),N372)</f>
        <v>0</v>
      </c>
      <c r="Q372" s="5" t="n">
        <f aca="false">IF(P372&gt;0,P372/O372*12.1/24*1000+M372,0)</f>
        <v>0</v>
      </c>
      <c r="R372" s="0" t="n">
        <f aca="false">IF(Q372&gt;0,TRUNC(O372),0)</f>
        <v>0</v>
      </c>
      <c r="S372" s="5" t="n">
        <f aca="false">(M372*(D372-R372)+(Q372*R372))/D372</f>
        <v>800</v>
      </c>
      <c r="T372" s="6" t="n">
        <f aca="false">(Q372-M372)*R372*24/12.1/1000</f>
        <v>-0</v>
      </c>
    </row>
    <row r="373" customFormat="false" ht="14.35" hidden="false" customHeight="false" outlineLevel="0" collapsed="false">
      <c r="A373" s="4" t="n">
        <v>19084</v>
      </c>
      <c r="B373" s="15" t="n">
        <f aca="false">IF(C373&lt;=9,YEAR(A373),YEAR(A373)+1)</f>
        <v>1952</v>
      </c>
      <c r="C373" s="15" t="n">
        <f aca="false">MONTH(A373)</f>
        <v>3</v>
      </c>
      <c r="D373" s="15" t="n">
        <f aca="false">DAY(A373)</f>
        <v>31</v>
      </c>
      <c r="E373" s="15" t="n">
        <f aca="false">VLOOKUP(B373,WYT!$A$2:$L$97,12)</f>
        <v>0</v>
      </c>
      <c r="F373" s="15" t="n">
        <f aca="false">IF(C373=$W$5,1,0)</f>
        <v>0</v>
      </c>
      <c r="G373" s="15" t="n">
        <f aca="false">IF(C373=10,0,IF(F373=1,1,G372))</f>
        <v>1</v>
      </c>
      <c r="H373" s="5" t="n">
        <f aca="false">VA_base_426_data!B373</f>
        <v>7072.56158186029</v>
      </c>
      <c r="I373" s="5" t="n">
        <f aca="false">IF(AND(E373=1,OR(C373=4,C373=5)),25*12.1/24/D373*1000,0)</f>
        <v>0</v>
      </c>
      <c r="J373" s="5" t="n">
        <f aca="false">VA_base_426_data!C373</f>
        <v>1700</v>
      </c>
      <c r="K373" s="5" t="n">
        <f aca="false">H373+I373-J373</f>
        <v>5372.56158186029</v>
      </c>
      <c r="L373" s="5" t="n">
        <f aca="false">MIN($W$7,J373+K373)</f>
        <v>2000</v>
      </c>
      <c r="M373" s="5" t="n">
        <f aca="false">VA_base_426_data!D373</f>
        <v>800</v>
      </c>
      <c r="N373" s="5" t="n">
        <f aca="false">IF(AND(C373=10,E373=1),$W$6,N372-P372)</f>
        <v>0</v>
      </c>
      <c r="O373" s="5" t="n">
        <f aca="false">IF(ABS(M373-L373)&gt;1,MIN(N373/((L373-M373)*24/12.1/1000),D373),D373)</f>
        <v>0</v>
      </c>
      <c r="P373" s="5" t="n">
        <f aca="false">MIN(IF(AND(G373,E373),(L373-M373)*24/12.1*O373/1000,0),N373)</f>
        <v>0</v>
      </c>
      <c r="Q373" s="5" t="n">
        <f aca="false">IF(P373&gt;0,P373/O373*12.1/24*1000+M373,0)</f>
        <v>0</v>
      </c>
      <c r="R373" s="0" t="n">
        <f aca="false">IF(Q373&gt;0,TRUNC(O373),0)</f>
        <v>0</v>
      </c>
      <c r="S373" s="5" t="n">
        <f aca="false">(M373*(D373-R373)+(Q373*R373))/D373</f>
        <v>800</v>
      </c>
      <c r="T373" s="6" t="n">
        <f aca="false">(Q373-M373)*R373*24/12.1/1000</f>
        <v>-0</v>
      </c>
    </row>
    <row r="374" customFormat="false" ht="14.35" hidden="false" customHeight="false" outlineLevel="0" collapsed="false">
      <c r="A374" s="4" t="n">
        <v>19114</v>
      </c>
      <c r="B374" s="15" t="n">
        <f aca="false">IF(C374&lt;=9,YEAR(A374),YEAR(A374)+1)</f>
        <v>1952</v>
      </c>
      <c r="C374" s="15" t="n">
        <f aca="false">MONTH(A374)</f>
        <v>4</v>
      </c>
      <c r="D374" s="15" t="n">
        <f aca="false">DAY(A374)</f>
        <v>30</v>
      </c>
      <c r="E374" s="15" t="n">
        <f aca="false">VLOOKUP(B374,WYT!$A$2:$L$97,12)</f>
        <v>0</v>
      </c>
      <c r="F374" s="15" t="n">
        <f aca="false">IF(C374=$W$5,1,0)</f>
        <v>0</v>
      </c>
      <c r="G374" s="15" t="n">
        <f aca="false">IF(C374=10,0,IF(F374=1,1,G373))</f>
        <v>1</v>
      </c>
      <c r="H374" s="5" t="n">
        <f aca="false">VA_base_426_data!B374</f>
        <v>17581.4549058031</v>
      </c>
      <c r="I374" s="5" t="n">
        <f aca="false">IF(AND(E374=1,OR(C374=4,C374=5)),25*12.1/24/D374*1000,0)</f>
        <v>0</v>
      </c>
      <c r="J374" s="5" t="n">
        <f aca="false">VA_base_426_data!C374</f>
        <v>1000</v>
      </c>
      <c r="K374" s="5" t="n">
        <f aca="false">H374+I374-J374</f>
        <v>16581.4549058031</v>
      </c>
      <c r="L374" s="5" t="n">
        <f aca="false">MIN($W$7,J374+K374)</f>
        <v>2000</v>
      </c>
      <c r="M374" s="5" t="n">
        <f aca="false">VA_base_426_data!D374</f>
        <v>700</v>
      </c>
      <c r="N374" s="5" t="n">
        <f aca="false">IF(AND(C374=10,E374=1),$W$6,N373-P373)</f>
        <v>0</v>
      </c>
      <c r="O374" s="5" t="n">
        <f aca="false">IF(ABS(M374-L374)&gt;1,MIN(N374/((L374-M374)*24/12.1/1000),D374),D374)</f>
        <v>0</v>
      </c>
      <c r="P374" s="5" t="n">
        <f aca="false">MIN(IF(AND(G374,E374),(L374-M374)*24/12.1*O374/1000,0),N374)</f>
        <v>0</v>
      </c>
      <c r="Q374" s="5" t="n">
        <f aca="false">IF(P374&gt;0,P374/O374*12.1/24*1000+M374,0)</f>
        <v>0</v>
      </c>
      <c r="R374" s="0" t="n">
        <f aca="false">IF(Q374&gt;0,TRUNC(O374),0)</f>
        <v>0</v>
      </c>
      <c r="S374" s="5" t="n">
        <f aca="false">(M374*(D374-R374)+(Q374*R374))/D374</f>
        <v>700</v>
      </c>
      <c r="T374" s="6" t="n">
        <f aca="false">(Q374-M374)*R374*24/12.1/1000</f>
        <v>-0</v>
      </c>
    </row>
    <row r="375" customFormat="false" ht="14.35" hidden="false" customHeight="false" outlineLevel="0" collapsed="false">
      <c r="A375" s="4" t="n">
        <v>19145</v>
      </c>
      <c r="B375" s="15" t="n">
        <f aca="false">IF(C375&lt;=9,YEAR(A375),YEAR(A375)+1)</f>
        <v>1952</v>
      </c>
      <c r="C375" s="15" t="n">
        <f aca="false">MONTH(A375)</f>
        <v>5</v>
      </c>
      <c r="D375" s="15" t="n">
        <f aca="false">DAY(A375)</f>
        <v>31</v>
      </c>
      <c r="E375" s="15" t="n">
        <f aca="false">VLOOKUP(B375,WYT!$A$2:$L$97,12)</f>
        <v>0</v>
      </c>
      <c r="F375" s="15" t="n">
        <f aca="false">IF(C375=$W$5,1,0)</f>
        <v>0</v>
      </c>
      <c r="G375" s="15" t="n">
        <f aca="false">IF(C375=10,0,IF(F375=1,1,G374))</f>
        <v>1</v>
      </c>
      <c r="H375" s="5" t="n">
        <f aca="false">VA_base_426_data!B375</f>
        <v>20391.2248842646</v>
      </c>
      <c r="I375" s="5" t="n">
        <f aca="false">IF(AND(E375=1,OR(C375=4,C375=5)),25*12.1/24/D375*1000,0)</f>
        <v>0</v>
      </c>
      <c r="J375" s="5" t="n">
        <f aca="false">VA_base_426_data!C375</f>
        <v>1000</v>
      </c>
      <c r="K375" s="5" t="n">
        <f aca="false">H375+I375-J375</f>
        <v>19391.2248842646</v>
      </c>
      <c r="L375" s="5" t="n">
        <f aca="false">MIN($W$7,J375+K375)</f>
        <v>2000</v>
      </c>
      <c r="M375" s="5" t="n">
        <f aca="false">VA_base_426_data!D375</f>
        <v>700</v>
      </c>
      <c r="N375" s="5" t="n">
        <f aca="false">IF(AND(C375=10,E375=1),$W$6,N374-P374)</f>
        <v>0</v>
      </c>
      <c r="O375" s="5" t="n">
        <f aca="false">IF(ABS(M375-L375)&gt;1,MIN(N375/((L375-M375)*24/12.1/1000),D375),D375)</f>
        <v>0</v>
      </c>
      <c r="P375" s="5" t="n">
        <f aca="false">MIN(IF(AND(G375,E375),(L375-M375)*24/12.1*O375/1000,0),N375)</f>
        <v>0</v>
      </c>
      <c r="Q375" s="5" t="n">
        <f aca="false">IF(P375&gt;0,P375/O375*12.1/24*1000+M375,0)</f>
        <v>0</v>
      </c>
      <c r="R375" s="0" t="n">
        <f aca="false">IF(Q375&gt;0,TRUNC(O375),0)</f>
        <v>0</v>
      </c>
      <c r="S375" s="5" t="n">
        <f aca="false">(M375*(D375-R375)+(Q375*R375))/D375</f>
        <v>700</v>
      </c>
      <c r="T375" s="6" t="n">
        <f aca="false">(Q375-M375)*R375*24/12.1/1000</f>
        <v>-0</v>
      </c>
    </row>
    <row r="376" customFormat="false" ht="14.35" hidden="false" customHeight="false" outlineLevel="0" collapsed="false">
      <c r="A376" s="4" t="n">
        <v>19175</v>
      </c>
      <c r="B376" s="15" t="n">
        <f aca="false">IF(C376&lt;=9,YEAR(A376),YEAR(A376)+1)</f>
        <v>1952</v>
      </c>
      <c r="C376" s="15" t="n">
        <f aca="false">MONTH(A376)</f>
        <v>6</v>
      </c>
      <c r="D376" s="15" t="n">
        <f aca="false">DAY(A376)</f>
        <v>30</v>
      </c>
      <c r="E376" s="15" t="n">
        <f aca="false">VLOOKUP(B376,WYT!$A$2:$L$97,12)</f>
        <v>0</v>
      </c>
      <c r="F376" s="15" t="n">
        <f aca="false">IF(C376=$W$5,1,0)</f>
        <v>0</v>
      </c>
      <c r="G376" s="15" t="n">
        <f aca="false">IF(C376=10,0,IF(F376=1,1,G375))</f>
        <v>1</v>
      </c>
      <c r="H376" s="5" t="n">
        <f aca="false">VA_base_426_data!B376</f>
        <v>9069.62486468018</v>
      </c>
      <c r="I376" s="5" t="n">
        <f aca="false">IF(AND(E376=1,OR(C376=4,C376=5)),25*12.1/24/D376*1000,0)</f>
        <v>0</v>
      </c>
      <c r="J376" s="5" t="n">
        <f aca="false">VA_base_426_data!C376</f>
        <v>1000</v>
      </c>
      <c r="K376" s="5" t="n">
        <f aca="false">H376+I376-J376</f>
        <v>8069.62486468018</v>
      </c>
      <c r="L376" s="5" t="n">
        <f aca="false">MIN($W$7,J376+K376)</f>
        <v>2000</v>
      </c>
      <c r="M376" s="5" t="n">
        <f aca="false">VA_base_426_data!D376</f>
        <v>700</v>
      </c>
      <c r="N376" s="5" t="n">
        <f aca="false">IF(AND(C376=10,E376=1),$W$6,N375-P375)</f>
        <v>0</v>
      </c>
      <c r="O376" s="5" t="n">
        <f aca="false">IF(ABS(M376-L376)&gt;1,MIN(N376/((L376-M376)*24/12.1/1000),D376),D376)</f>
        <v>0</v>
      </c>
      <c r="P376" s="5" t="n">
        <f aca="false">MIN(IF(AND(G376,E376),(L376-M376)*24/12.1*O376/1000,0),N376)</f>
        <v>0</v>
      </c>
      <c r="Q376" s="5" t="n">
        <f aca="false">IF(P376&gt;0,P376/O376*12.1/24*1000+M376,0)</f>
        <v>0</v>
      </c>
      <c r="R376" s="0" t="n">
        <f aca="false">IF(Q376&gt;0,TRUNC(O376),0)</f>
        <v>0</v>
      </c>
      <c r="S376" s="5" t="n">
        <f aca="false">(M376*(D376-R376)+(Q376*R376))/D376</f>
        <v>700</v>
      </c>
      <c r="T376" s="6" t="n">
        <f aca="false">(Q376-M376)*R376*24/12.1/1000</f>
        <v>-0</v>
      </c>
    </row>
    <row r="377" customFormat="false" ht="14.35" hidden="false" customHeight="false" outlineLevel="0" collapsed="false">
      <c r="A377" s="4" t="n">
        <v>19206</v>
      </c>
      <c r="B377" s="15" t="n">
        <f aca="false">IF(C377&lt;=9,YEAR(A377),YEAR(A377)+1)</f>
        <v>1952</v>
      </c>
      <c r="C377" s="15" t="n">
        <f aca="false">MONTH(A377)</f>
        <v>7</v>
      </c>
      <c r="D377" s="15" t="n">
        <f aca="false">DAY(A377)</f>
        <v>31</v>
      </c>
      <c r="E377" s="15" t="n">
        <f aca="false">VLOOKUP(B377,WYT!$A$2:$L$97,12)</f>
        <v>0</v>
      </c>
      <c r="F377" s="15" t="n">
        <f aca="false">IF(C377=$W$5,1,0)</f>
        <v>0</v>
      </c>
      <c r="G377" s="15" t="n">
        <f aca="false">IF(C377=10,0,IF(F377=1,1,G376))</f>
        <v>1</v>
      </c>
      <c r="H377" s="5" t="n">
        <f aca="false">VA_base_426_data!B377</f>
        <v>2346.89121597921</v>
      </c>
      <c r="I377" s="5" t="n">
        <f aca="false">IF(AND(E377=1,OR(C377=4,C377=5)),25*12.1/24/D377*1000,0)</f>
        <v>0</v>
      </c>
      <c r="J377" s="5" t="n">
        <f aca="false">VA_base_426_data!C377</f>
        <v>1000</v>
      </c>
      <c r="K377" s="5" t="n">
        <f aca="false">H377+I377-J377</f>
        <v>1346.89121597921</v>
      </c>
      <c r="L377" s="5" t="n">
        <f aca="false">MIN($W$7,J377+K377)</f>
        <v>2000</v>
      </c>
      <c r="M377" s="5" t="n">
        <f aca="false">VA_base_426_data!D377</f>
        <v>700</v>
      </c>
      <c r="N377" s="5" t="n">
        <f aca="false">IF(AND(C377=10,E377=1),$W$6,N376-P376)</f>
        <v>0</v>
      </c>
      <c r="O377" s="5" t="n">
        <f aca="false">IF(ABS(M377-L377)&gt;1,MIN(N377/((L377-M377)*24/12.1/1000),D377),D377)</f>
        <v>0</v>
      </c>
      <c r="P377" s="5" t="n">
        <f aca="false">MIN(IF(AND(G377,E377),(L377-M377)*24/12.1*O377/1000,0),N377)</f>
        <v>0</v>
      </c>
      <c r="Q377" s="5" t="n">
        <f aca="false">IF(P377&gt;0,P377/O377*12.1/24*1000+M377,0)</f>
        <v>0</v>
      </c>
      <c r="R377" s="0" t="n">
        <f aca="false">IF(Q377&gt;0,TRUNC(O377),0)</f>
        <v>0</v>
      </c>
      <c r="S377" s="5" t="n">
        <f aca="false">(M377*(D377-R377)+(Q377*R377))/D377</f>
        <v>700</v>
      </c>
      <c r="T377" s="6" t="n">
        <f aca="false">(Q377-M377)*R377*24/12.1/1000</f>
        <v>-0</v>
      </c>
    </row>
    <row r="378" customFormat="false" ht="14.35" hidden="false" customHeight="false" outlineLevel="0" collapsed="false">
      <c r="A378" s="4" t="n">
        <v>19237</v>
      </c>
      <c r="B378" s="15" t="n">
        <f aca="false">IF(C378&lt;=9,YEAR(A378),YEAR(A378)+1)</f>
        <v>1952</v>
      </c>
      <c r="C378" s="15" t="n">
        <f aca="false">MONTH(A378)</f>
        <v>8</v>
      </c>
      <c r="D378" s="15" t="n">
        <f aca="false">DAY(A378)</f>
        <v>31</v>
      </c>
      <c r="E378" s="15" t="n">
        <f aca="false">VLOOKUP(B378,WYT!$A$2:$L$97,12)</f>
        <v>0</v>
      </c>
      <c r="F378" s="15" t="n">
        <f aca="false">IF(C378=$W$5,1,0)</f>
        <v>0</v>
      </c>
      <c r="G378" s="15" t="n">
        <f aca="false">IF(C378=10,0,IF(F378=1,1,G377))</f>
        <v>1</v>
      </c>
      <c r="H378" s="5" t="n">
        <f aca="false">VA_base_426_data!B378</f>
        <v>1086.96575661281</v>
      </c>
      <c r="I378" s="5" t="n">
        <f aca="false">IF(AND(E378=1,OR(C378=4,C378=5)),25*12.1/24/D378*1000,0)</f>
        <v>0</v>
      </c>
      <c r="J378" s="5" t="n">
        <f aca="false">VA_base_426_data!C378</f>
        <v>1000</v>
      </c>
      <c r="K378" s="5" t="n">
        <f aca="false">H378+I378-J378</f>
        <v>86.9657566128117</v>
      </c>
      <c r="L378" s="5" t="n">
        <f aca="false">MIN($W$7,J378+K378)</f>
        <v>1086.96575661281</v>
      </c>
      <c r="M378" s="5" t="n">
        <f aca="false">VA_base_426_data!D378</f>
        <v>700</v>
      </c>
      <c r="N378" s="5" t="n">
        <f aca="false">IF(AND(C378=10,E378=1),$W$6,N377-P377)</f>
        <v>0</v>
      </c>
      <c r="O378" s="5" t="n">
        <f aca="false">IF(ABS(M378-L378)&gt;1,MIN(N378/((L378-M378)*24/12.1/1000),D378),D378)</f>
        <v>0</v>
      </c>
      <c r="P378" s="5" t="n">
        <f aca="false">MIN(IF(AND(G378,E378),(L378-M378)*24/12.1*O378/1000,0),N378)</f>
        <v>0</v>
      </c>
      <c r="Q378" s="5" t="n">
        <f aca="false">IF(P378&gt;0,P378/O378*12.1/24*1000+M378,0)</f>
        <v>0</v>
      </c>
      <c r="R378" s="0" t="n">
        <f aca="false">IF(Q378&gt;0,TRUNC(O378),0)</f>
        <v>0</v>
      </c>
      <c r="S378" s="5" t="n">
        <f aca="false">(M378*(D378-R378)+(Q378*R378))/D378</f>
        <v>700</v>
      </c>
      <c r="T378" s="6" t="n">
        <f aca="false">(Q378-M378)*R378*24/12.1/1000</f>
        <v>-0</v>
      </c>
    </row>
    <row r="379" customFormat="false" ht="14.35" hidden="false" customHeight="false" outlineLevel="0" collapsed="false">
      <c r="A379" s="4" t="n">
        <v>19267</v>
      </c>
      <c r="B379" s="15" t="n">
        <f aca="false">IF(C379&lt;=9,YEAR(A379),YEAR(A379)+1)</f>
        <v>1952</v>
      </c>
      <c r="C379" s="15" t="n">
        <f aca="false">MONTH(A379)</f>
        <v>9</v>
      </c>
      <c r="D379" s="15" t="n">
        <f aca="false">DAY(A379)</f>
        <v>30</v>
      </c>
      <c r="E379" s="15" t="n">
        <f aca="false">VLOOKUP(B379,WYT!$A$2:$L$97,12)</f>
        <v>0</v>
      </c>
      <c r="F379" s="15" t="n">
        <f aca="false">IF(C379=$W$5,1,0)</f>
        <v>0</v>
      </c>
      <c r="G379" s="15" t="n">
        <f aca="false">IF(C379=10,0,IF(F379=1,1,G378))</f>
        <v>1</v>
      </c>
      <c r="H379" s="5" t="n">
        <f aca="false">VA_base_426_data!B379</f>
        <v>9398.90689766975</v>
      </c>
      <c r="I379" s="5" t="n">
        <f aca="false">IF(AND(E379=1,OR(C379=4,C379=5)),25*12.1/24/D379*1000,0)</f>
        <v>0</v>
      </c>
      <c r="J379" s="5" t="n">
        <f aca="false">VA_base_426_data!C379</f>
        <v>1000</v>
      </c>
      <c r="K379" s="5" t="n">
        <f aca="false">H379+I379-J379</f>
        <v>8398.90689766975</v>
      </c>
      <c r="L379" s="5" t="n">
        <f aca="false">MIN($W$7,J379+K379)</f>
        <v>2000</v>
      </c>
      <c r="M379" s="5" t="n">
        <f aca="false">VA_base_426_data!D379</f>
        <v>773.3333333</v>
      </c>
      <c r="N379" s="5" t="n">
        <f aca="false">IF(AND(C379=10,E379=1),$W$6,N378-P378)</f>
        <v>0</v>
      </c>
      <c r="O379" s="5" t="n">
        <f aca="false">IF(ABS(M379-L379)&gt;1,MIN(N379/((L379-M379)*24/12.1/1000),D379),D379)</f>
        <v>0</v>
      </c>
      <c r="P379" s="5" t="n">
        <f aca="false">MIN(IF(AND(G379,E379),(L379-M379)*24/12.1*O379/1000,0),N379)</f>
        <v>0</v>
      </c>
      <c r="Q379" s="5" t="n">
        <f aca="false">IF(P379&gt;0,P379/O379*12.1/24*1000+M379,0)</f>
        <v>0</v>
      </c>
      <c r="R379" s="0" t="n">
        <f aca="false">IF(Q379&gt;0,TRUNC(O379),0)</f>
        <v>0</v>
      </c>
      <c r="S379" s="5" t="n">
        <f aca="false">(M379*(D379-R379)+(Q379*R379))/D379</f>
        <v>773.3333333</v>
      </c>
      <c r="T379" s="6" t="n">
        <f aca="false">(Q379-M379)*R379*24/12.1/1000</f>
        <v>-0</v>
      </c>
    </row>
    <row r="380" customFormat="false" ht="14.35" hidden="false" customHeight="false" outlineLevel="0" collapsed="false">
      <c r="A380" s="4" t="n">
        <v>19298</v>
      </c>
      <c r="B380" s="15" t="n">
        <f aca="false">IF(C380&lt;=9,YEAR(A380),YEAR(A380)+1)</f>
        <v>1953</v>
      </c>
      <c r="C380" s="15" t="n">
        <f aca="false">MONTH(A380)</f>
        <v>10</v>
      </c>
      <c r="D380" s="15" t="n">
        <f aca="false">DAY(A380)</f>
        <v>31</v>
      </c>
      <c r="E380" s="15" t="n">
        <f aca="false">VLOOKUP(B380,WYT!$A$2:$L$97,12)</f>
        <v>0</v>
      </c>
      <c r="F380" s="15" t="n">
        <f aca="false">IF(C380=$W$5,1,0)</f>
        <v>0</v>
      </c>
      <c r="G380" s="15" t="n">
        <f aca="false">IF(C380=10,0,IF(F380=1,1,G379))</f>
        <v>0</v>
      </c>
      <c r="H380" s="5" t="n">
        <f aca="false">VA_base_426_data!B380</f>
        <v>4000</v>
      </c>
      <c r="I380" s="5" t="n">
        <f aca="false">IF(AND(E380=1,OR(C380=4,C380=5)),25*12.1/24/D380*1000,0)</f>
        <v>0</v>
      </c>
      <c r="J380" s="5" t="n">
        <f aca="false">VA_base_426_data!C380</f>
        <v>1700</v>
      </c>
      <c r="K380" s="5" t="n">
        <f aca="false">H380+I380-J380</f>
        <v>2300</v>
      </c>
      <c r="L380" s="5" t="n">
        <f aca="false">MIN($W$7,J380+K380)</f>
        <v>2000</v>
      </c>
      <c r="M380" s="5" t="n">
        <f aca="false">VA_base_426_data!D380</f>
        <v>800</v>
      </c>
      <c r="N380" s="5" t="n">
        <f aca="false">IF(AND(C380=10,E380=1),$W$6,N379-P379)</f>
        <v>0</v>
      </c>
      <c r="O380" s="5" t="n">
        <f aca="false">IF(ABS(M380-L380)&gt;1,MIN(N380/((L380-M380)*24/12.1/1000),D380),D380)</f>
        <v>0</v>
      </c>
      <c r="P380" s="5" t="n">
        <f aca="false">MIN(IF(AND(G380,E380),(L380-M380)*24/12.1*O380/1000,0),N380)</f>
        <v>0</v>
      </c>
      <c r="Q380" s="5" t="n">
        <f aca="false">IF(P380&gt;0,P380/O380*12.1/24*1000+M380,0)</f>
        <v>0</v>
      </c>
      <c r="R380" s="0" t="n">
        <f aca="false">IF(Q380&gt;0,TRUNC(O380),0)</f>
        <v>0</v>
      </c>
      <c r="S380" s="5" t="n">
        <f aca="false">(M380*(D380-R380)+(Q380*R380))/D380</f>
        <v>800</v>
      </c>
      <c r="T380" s="6" t="n">
        <f aca="false">(Q380-M380)*R380*24/12.1/1000</f>
        <v>-0</v>
      </c>
    </row>
    <row r="381" customFormat="false" ht="14.35" hidden="false" customHeight="false" outlineLevel="0" collapsed="false">
      <c r="A381" s="4" t="n">
        <v>19328</v>
      </c>
      <c r="B381" s="15" t="n">
        <f aca="false">IF(C381&lt;=9,YEAR(A381),YEAR(A381)+1)</f>
        <v>1953</v>
      </c>
      <c r="C381" s="15" t="n">
        <f aca="false">MONTH(A381)</f>
        <v>11</v>
      </c>
      <c r="D381" s="15" t="n">
        <f aca="false">DAY(A381)</f>
        <v>30</v>
      </c>
      <c r="E381" s="15" t="n">
        <f aca="false">VLOOKUP(B381,WYT!$A$2:$L$97,12)</f>
        <v>0</v>
      </c>
      <c r="F381" s="15" t="n">
        <f aca="false">IF(C381=$W$5,1,0)</f>
        <v>0</v>
      </c>
      <c r="G381" s="15" t="n">
        <f aca="false">IF(C381=10,0,IF(F381=1,1,G380))</f>
        <v>0</v>
      </c>
      <c r="H381" s="5" t="n">
        <f aca="false">VA_base_426_data!B381</f>
        <v>2500</v>
      </c>
      <c r="I381" s="5" t="n">
        <f aca="false">IF(AND(E381=1,OR(C381=4,C381=5)),25*12.1/24/D381*1000,0)</f>
        <v>0</v>
      </c>
      <c r="J381" s="5" t="n">
        <f aca="false">VA_base_426_data!C381</f>
        <v>1700</v>
      </c>
      <c r="K381" s="5" t="n">
        <f aca="false">H381+I381-J381</f>
        <v>800</v>
      </c>
      <c r="L381" s="5" t="n">
        <f aca="false">MIN($W$7,J381+K381)</f>
        <v>2000</v>
      </c>
      <c r="M381" s="5" t="n">
        <f aca="false">VA_base_426_data!D381</f>
        <v>800</v>
      </c>
      <c r="N381" s="5" t="n">
        <f aca="false">IF(AND(C381=10,E381=1),$W$6,N380-P380)</f>
        <v>0</v>
      </c>
      <c r="O381" s="5" t="n">
        <f aca="false">IF(ABS(M381-L381)&gt;1,MIN(N381/((L381-M381)*24/12.1/1000),D381),D381)</f>
        <v>0</v>
      </c>
      <c r="P381" s="5" t="n">
        <f aca="false">MIN(IF(AND(G381,E381),(L381-M381)*24/12.1*O381/1000,0),N381)</f>
        <v>0</v>
      </c>
      <c r="Q381" s="5" t="n">
        <f aca="false">IF(P381&gt;0,P381/O381*12.1/24*1000+M381,0)</f>
        <v>0</v>
      </c>
      <c r="R381" s="0" t="n">
        <f aca="false">IF(Q381&gt;0,TRUNC(O381),0)</f>
        <v>0</v>
      </c>
      <c r="S381" s="5" t="n">
        <f aca="false">(M381*(D381-R381)+(Q381*R381))/D381</f>
        <v>800</v>
      </c>
      <c r="T381" s="6" t="n">
        <f aca="false">(Q381-M381)*R381*24/12.1/1000</f>
        <v>-0</v>
      </c>
    </row>
    <row r="382" customFormat="false" ht="14.35" hidden="false" customHeight="false" outlineLevel="0" collapsed="false">
      <c r="A382" s="4" t="n">
        <v>19359</v>
      </c>
      <c r="B382" s="15" t="n">
        <f aca="false">IF(C382&lt;=9,YEAR(A382),YEAR(A382)+1)</f>
        <v>1953</v>
      </c>
      <c r="C382" s="15" t="n">
        <f aca="false">MONTH(A382)</f>
        <v>12</v>
      </c>
      <c r="D382" s="15" t="n">
        <f aca="false">DAY(A382)</f>
        <v>31</v>
      </c>
      <c r="E382" s="15" t="n">
        <f aca="false">VLOOKUP(B382,WYT!$A$2:$L$97,12)</f>
        <v>0</v>
      </c>
      <c r="F382" s="15" t="n">
        <f aca="false">IF(C382=$W$5,1,0)</f>
        <v>0</v>
      </c>
      <c r="G382" s="15" t="n">
        <f aca="false">IF(C382=10,0,IF(F382=1,1,G381))</f>
        <v>0</v>
      </c>
      <c r="H382" s="5" t="n">
        <f aca="false">VA_base_426_data!B382</f>
        <v>1700</v>
      </c>
      <c r="I382" s="5" t="n">
        <f aca="false">IF(AND(E382=1,OR(C382=4,C382=5)),25*12.1/24/D382*1000,0)</f>
        <v>0</v>
      </c>
      <c r="J382" s="5" t="n">
        <f aca="false">VA_base_426_data!C382</f>
        <v>1700</v>
      </c>
      <c r="K382" s="5" t="n">
        <f aca="false">H382+I382-J382</f>
        <v>0</v>
      </c>
      <c r="L382" s="5" t="n">
        <f aca="false">MIN($W$7,J382+K382)</f>
        <v>1700</v>
      </c>
      <c r="M382" s="5" t="n">
        <f aca="false">VA_base_426_data!D382</f>
        <v>800</v>
      </c>
      <c r="N382" s="5" t="n">
        <f aca="false">IF(AND(C382=10,E382=1),$W$6,N381-P381)</f>
        <v>0</v>
      </c>
      <c r="O382" s="5" t="n">
        <f aca="false">IF(ABS(M382-L382)&gt;1,MIN(N382/((L382-M382)*24/12.1/1000),D382),D382)</f>
        <v>0</v>
      </c>
      <c r="P382" s="5" t="n">
        <f aca="false">MIN(IF(AND(G382,E382),(L382-M382)*24/12.1*O382/1000,0),N382)</f>
        <v>0</v>
      </c>
      <c r="Q382" s="5" t="n">
        <f aca="false">IF(P382&gt;0,P382/O382*12.1/24*1000+M382,0)</f>
        <v>0</v>
      </c>
      <c r="R382" s="0" t="n">
        <f aca="false">IF(Q382&gt;0,TRUNC(O382),0)</f>
        <v>0</v>
      </c>
      <c r="S382" s="5" t="n">
        <f aca="false">(M382*(D382-R382)+(Q382*R382))/D382</f>
        <v>800</v>
      </c>
      <c r="T382" s="6" t="n">
        <f aca="false">(Q382-M382)*R382*24/12.1/1000</f>
        <v>-0</v>
      </c>
    </row>
    <row r="383" customFormat="false" ht="14.35" hidden="false" customHeight="false" outlineLevel="0" collapsed="false">
      <c r="A383" s="4" t="n">
        <v>19390</v>
      </c>
      <c r="B383" s="15" t="n">
        <f aca="false">IF(C383&lt;=9,YEAR(A383),YEAR(A383)+1)</f>
        <v>1953</v>
      </c>
      <c r="C383" s="15" t="n">
        <f aca="false">MONTH(A383)</f>
        <v>1</v>
      </c>
      <c r="D383" s="15" t="n">
        <f aca="false">DAY(A383)</f>
        <v>31</v>
      </c>
      <c r="E383" s="15" t="n">
        <f aca="false">VLOOKUP(B383,WYT!$A$2:$L$97,12)</f>
        <v>0</v>
      </c>
      <c r="F383" s="15" t="n">
        <f aca="false">IF(C383=$W$5,1,0)</f>
        <v>0</v>
      </c>
      <c r="G383" s="15" t="n">
        <f aca="false">IF(C383=10,0,IF(F383=1,1,G382))</f>
        <v>0</v>
      </c>
      <c r="H383" s="5" t="n">
        <f aca="false">VA_base_426_data!B383</f>
        <v>19592.2038716159</v>
      </c>
      <c r="I383" s="5" t="n">
        <f aca="false">IF(AND(E383=1,OR(C383=4,C383=5)),25*12.1/24/D383*1000,0)</f>
        <v>0</v>
      </c>
      <c r="J383" s="5" t="n">
        <f aca="false">VA_base_426_data!C383</f>
        <v>1700</v>
      </c>
      <c r="K383" s="5" t="n">
        <f aca="false">H383+I383-J383</f>
        <v>17892.2038716159</v>
      </c>
      <c r="L383" s="5" t="n">
        <f aca="false">MIN($W$7,J383+K383)</f>
        <v>2000</v>
      </c>
      <c r="M383" s="5" t="n">
        <f aca="false">VA_base_426_data!D383</f>
        <v>800</v>
      </c>
      <c r="N383" s="5" t="n">
        <f aca="false">IF(AND(C383=10,E383=1),$W$6,N382-P382)</f>
        <v>0</v>
      </c>
      <c r="O383" s="5" t="n">
        <f aca="false">IF(ABS(M383-L383)&gt;1,MIN(N383/((L383-M383)*24/12.1/1000),D383),D383)</f>
        <v>0</v>
      </c>
      <c r="P383" s="5" t="n">
        <f aca="false">MIN(IF(AND(G383,E383),(L383-M383)*24/12.1*O383/1000,0),N383)</f>
        <v>0</v>
      </c>
      <c r="Q383" s="5" t="n">
        <f aca="false">IF(P383&gt;0,P383/O383*12.1/24*1000+M383,0)</f>
        <v>0</v>
      </c>
      <c r="R383" s="0" t="n">
        <f aca="false">IF(Q383&gt;0,TRUNC(O383),0)</f>
        <v>0</v>
      </c>
      <c r="S383" s="5" t="n">
        <f aca="false">(M383*(D383-R383)+(Q383*R383))/D383</f>
        <v>800</v>
      </c>
      <c r="T383" s="6" t="n">
        <f aca="false">(Q383-M383)*R383*24/12.1/1000</f>
        <v>-0</v>
      </c>
    </row>
    <row r="384" customFormat="false" ht="14.35" hidden="false" customHeight="false" outlineLevel="0" collapsed="false">
      <c r="A384" s="4" t="n">
        <v>19418</v>
      </c>
      <c r="B384" s="15" t="n">
        <f aca="false">IF(C384&lt;=9,YEAR(A384),YEAR(A384)+1)</f>
        <v>1953</v>
      </c>
      <c r="C384" s="15" t="n">
        <f aca="false">MONTH(A384)</f>
        <v>2</v>
      </c>
      <c r="D384" s="15" t="n">
        <f aca="false">DAY(A384)</f>
        <v>28</v>
      </c>
      <c r="E384" s="15" t="n">
        <f aca="false">VLOOKUP(B384,WYT!$A$2:$L$97,12)</f>
        <v>0</v>
      </c>
      <c r="F384" s="15" t="n">
        <f aca="false">IF(C384=$W$5,1,0)</f>
        <v>1</v>
      </c>
      <c r="G384" s="15" t="n">
        <f aca="false">IF(C384=10,0,IF(F384=1,1,G383))</f>
        <v>1</v>
      </c>
      <c r="H384" s="5" t="n">
        <f aca="false">VA_base_426_data!B384</f>
        <v>1700</v>
      </c>
      <c r="I384" s="5" t="n">
        <f aca="false">IF(AND(E384=1,OR(C384=4,C384=5)),25*12.1/24/D384*1000,0)</f>
        <v>0</v>
      </c>
      <c r="J384" s="5" t="n">
        <f aca="false">VA_base_426_data!C384</f>
        <v>1700</v>
      </c>
      <c r="K384" s="5" t="n">
        <f aca="false">H384+I384-J384</f>
        <v>0</v>
      </c>
      <c r="L384" s="5" t="n">
        <f aca="false">MIN($W$7,J384+K384)</f>
        <v>1700</v>
      </c>
      <c r="M384" s="5" t="n">
        <f aca="false">VA_base_426_data!D384</f>
        <v>800</v>
      </c>
      <c r="N384" s="5" t="n">
        <f aca="false">IF(AND(C384=10,E384=1),$W$6,N383-P383)</f>
        <v>0</v>
      </c>
      <c r="O384" s="5" t="n">
        <f aca="false">IF(ABS(M384-L384)&gt;1,MIN(N384/((L384-M384)*24/12.1/1000),D384),D384)</f>
        <v>0</v>
      </c>
      <c r="P384" s="5" t="n">
        <f aca="false">MIN(IF(AND(G384,E384),(L384-M384)*24/12.1*O384/1000,0),N384)</f>
        <v>0</v>
      </c>
      <c r="Q384" s="5" t="n">
        <f aca="false">IF(P384&gt;0,P384/O384*12.1/24*1000+M384,0)</f>
        <v>0</v>
      </c>
      <c r="R384" s="0" t="n">
        <f aca="false">IF(Q384&gt;0,TRUNC(O384),0)</f>
        <v>0</v>
      </c>
      <c r="S384" s="5" t="n">
        <f aca="false">(M384*(D384-R384)+(Q384*R384))/D384</f>
        <v>800</v>
      </c>
      <c r="T384" s="6" t="n">
        <f aca="false">(Q384-M384)*R384*24/12.1/1000</f>
        <v>-0</v>
      </c>
    </row>
    <row r="385" customFormat="false" ht="14.35" hidden="false" customHeight="false" outlineLevel="0" collapsed="false">
      <c r="A385" s="4" t="n">
        <v>19449</v>
      </c>
      <c r="B385" s="15" t="n">
        <f aca="false">IF(C385&lt;=9,YEAR(A385),YEAR(A385)+1)</f>
        <v>1953</v>
      </c>
      <c r="C385" s="15" t="n">
        <f aca="false">MONTH(A385)</f>
        <v>3</v>
      </c>
      <c r="D385" s="15" t="n">
        <f aca="false">DAY(A385)</f>
        <v>31</v>
      </c>
      <c r="E385" s="15" t="n">
        <f aca="false">VLOOKUP(B385,WYT!$A$2:$L$97,12)</f>
        <v>0</v>
      </c>
      <c r="F385" s="15" t="n">
        <f aca="false">IF(C385=$W$5,1,0)</f>
        <v>0</v>
      </c>
      <c r="G385" s="15" t="n">
        <f aca="false">IF(C385=10,0,IF(F385=1,1,G384))</f>
        <v>1</v>
      </c>
      <c r="H385" s="5" t="n">
        <f aca="false">VA_base_426_data!B385</f>
        <v>6144.03704949465</v>
      </c>
      <c r="I385" s="5" t="n">
        <f aca="false">IF(AND(E385=1,OR(C385=4,C385=5)),25*12.1/24/D385*1000,0)</f>
        <v>0</v>
      </c>
      <c r="J385" s="5" t="n">
        <f aca="false">VA_base_426_data!C385</f>
        <v>1700</v>
      </c>
      <c r="K385" s="5" t="n">
        <f aca="false">H385+I385-J385</f>
        <v>4444.03704949465</v>
      </c>
      <c r="L385" s="5" t="n">
        <f aca="false">MIN($W$7,J385+K385)</f>
        <v>2000</v>
      </c>
      <c r="M385" s="5" t="n">
        <f aca="false">VA_base_426_data!D385</f>
        <v>800</v>
      </c>
      <c r="N385" s="5" t="n">
        <f aca="false">IF(AND(C385=10,E385=1),$W$6,N384-P384)</f>
        <v>0</v>
      </c>
      <c r="O385" s="5" t="n">
        <f aca="false">IF(ABS(M385-L385)&gt;1,MIN(N385/((L385-M385)*24/12.1/1000),D385),D385)</f>
        <v>0</v>
      </c>
      <c r="P385" s="5" t="n">
        <f aca="false">MIN(IF(AND(G385,E385),(L385-M385)*24/12.1*O385/1000,0),N385)</f>
        <v>0</v>
      </c>
      <c r="Q385" s="5" t="n">
        <f aca="false">IF(P385&gt;0,P385/O385*12.1/24*1000+M385,0)</f>
        <v>0</v>
      </c>
      <c r="R385" s="0" t="n">
        <f aca="false">IF(Q385&gt;0,TRUNC(O385),0)</f>
        <v>0</v>
      </c>
      <c r="S385" s="5" t="n">
        <f aca="false">(M385*(D385-R385)+(Q385*R385))/D385</f>
        <v>800</v>
      </c>
      <c r="T385" s="6" t="n">
        <f aca="false">(Q385-M385)*R385*24/12.1/1000</f>
        <v>-0</v>
      </c>
    </row>
    <row r="386" customFormat="false" ht="14.35" hidden="false" customHeight="false" outlineLevel="0" collapsed="false">
      <c r="A386" s="4" t="n">
        <v>19479</v>
      </c>
      <c r="B386" s="15" t="n">
        <f aca="false">IF(C386&lt;=9,YEAR(A386),YEAR(A386)+1)</f>
        <v>1953</v>
      </c>
      <c r="C386" s="15" t="n">
        <f aca="false">MONTH(A386)</f>
        <v>4</v>
      </c>
      <c r="D386" s="15" t="n">
        <f aca="false">DAY(A386)</f>
        <v>30</v>
      </c>
      <c r="E386" s="15" t="n">
        <f aca="false">VLOOKUP(B386,WYT!$A$2:$L$97,12)</f>
        <v>0</v>
      </c>
      <c r="F386" s="15" t="n">
        <f aca="false">IF(C386=$W$5,1,0)</f>
        <v>0</v>
      </c>
      <c r="G386" s="15" t="n">
        <f aca="false">IF(C386=10,0,IF(F386=1,1,G385))</f>
        <v>1</v>
      </c>
      <c r="H386" s="5" t="n">
        <f aca="false">VA_base_426_data!B386</f>
        <v>4539.17810673434</v>
      </c>
      <c r="I386" s="5" t="n">
        <f aca="false">IF(AND(E386=1,OR(C386=4,C386=5)),25*12.1/24/D386*1000,0)</f>
        <v>0</v>
      </c>
      <c r="J386" s="5" t="n">
        <f aca="false">VA_base_426_data!C386</f>
        <v>1000</v>
      </c>
      <c r="K386" s="5" t="n">
        <f aca="false">H386+I386-J386</f>
        <v>3539.17810673434</v>
      </c>
      <c r="L386" s="5" t="n">
        <f aca="false">MIN($W$7,J386+K386)</f>
        <v>2000</v>
      </c>
      <c r="M386" s="5" t="n">
        <f aca="false">VA_base_426_data!D386</f>
        <v>700</v>
      </c>
      <c r="N386" s="5" t="n">
        <f aca="false">IF(AND(C386=10,E386=1),$W$6,N385-P385)</f>
        <v>0</v>
      </c>
      <c r="O386" s="5" t="n">
        <f aca="false">IF(ABS(M386-L386)&gt;1,MIN(N386/((L386-M386)*24/12.1/1000),D386),D386)</f>
        <v>0</v>
      </c>
      <c r="P386" s="5" t="n">
        <f aca="false">MIN(IF(AND(G386,E386),(L386-M386)*24/12.1*O386/1000,0),N386)</f>
        <v>0</v>
      </c>
      <c r="Q386" s="5" t="n">
        <f aca="false">IF(P386&gt;0,P386/O386*12.1/24*1000+M386,0)</f>
        <v>0</v>
      </c>
      <c r="R386" s="0" t="n">
        <f aca="false">IF(Q386&gt;0,TRUNC(O386),0)</f>
        <v>0</v>
      </c>
      <c r="S386" s="5" t="n">
        <f aca="false">(M386*(D386-R386)+(Q386*R386))/D386</f>
        <v>700</v>
      </c>
      <c r="T386" s="6" t="n">
        <f aca="false">(Q386-M386)*R386*24/12.1/1000</f>
        <v>-0</v>
      </c>
    </row>
    <row r="387" customFormat="false" ht="14.35" hidden="false" customHeight="false" outlineLevel="0" collapsed="false">
      <c r="A387" s="4" t="n">
        <v>19510</v>
      </c>
      <c r="B387" s="15" t="n">
        <f aca="false">IF(C387&lt;=9,YEAR(A387),YEAR(A387)+1)</f>
        <v>1953</v>
      </c>
      <c r="C387" s="15" t="n">
        <f aca="false">MONTH(A387)</f>
        <v>5</v>
      </c>
      <c r="D387" s="15" t="n">
        <f aca="false">DAY(A387)</f>
        <v>31</v>
      </c>
      <c r="E387" s="15" t="n">
        <f aca="false">VLOOKUP(B387,WYT!$A$2:$L$97,12)</f>
        <v>0</v>
      </c>
      <c r="F387" s="15" t="n">
        <f aca="false">IF(C387=$W$5,1,0)</f>
        <v>0</v>
      </c>
      <c r="G387" s="15" t="n">
        <f aca="false">IF(C387=10,0,IF(F387=1,1,G386))</f>
        <v>1</v>
      </c>
      <c r="H387" s="5" t="n">
        <f aca="false">VA_base_426_data!B387</f>
        <v>3278.49842613615</v>
      </c>
      <c r="I387" s="5" t="n">
        <f aca="false">IF(AND(E387=1,OR(C387=4,C387=5)),25*12.1/24/D387*1000,0)</f>
        <v>0</v>
      </c>
      <c r="J387" s="5" t="n">
        <f aca="false">VA_base_426_data!C387</f>
        <v>1000</v>
      </c>
      <c r="K387" s="5" t="n">
        <f aca="false">H387+I387-J387</f>
        <v>2278.49842613615</v>
      </c>
      <c r="L387" s="5" t="n">
        <f aca="false">MIN($W$7,J387+K387)</f>
        <v>2000</v>
      </c>
      <c r="M387" s="5" t="n">
        <f aca="false">VA_base_426_data!D387</f>
        <v>700</v>
      </c>
      <c r="N387" s="5" t="n">
        <f aca="false">IF(AND(C387=10,E387=1),$W$6,N386-P386)</f>
        <v>0</v>
      </c>
      <c r="O387" s="5" t="n">
        <f aca="false">IF(ABS(M387-L387)&gt;1,MIN(N387/((L387-M387)*24/12.1/1000),D387),D387)</f>
        <v>0</v>
      </c>
      <c r="P387" s="5" t="n">
        <f aca="false">MIN(IF(AND(G387,E387),(L387-M387)*24/12.1*O387/1000,0),N387)</f>
        <v>0</v>
      </c>
      <c r="Q387" s="5" t="n">
        <f aca="false">IF(P387&gt;0,P387/O387*12.1/24*1000+M387,0)</f>
        <v>0</v>
      </c>
      <c r="R387" s="0" t="n">
        <f aca="false">IF(Q387&gt;0,TRUNC(O387),0)</f>
        <v>0</v>
      </c>
      <c r="S387" s="5" t="n">
        <f aca="false">(M387*(D387-R387)+(Q387*R387))/D387</f>
        <v>700</v>
      </c>
      <c r="T387" s="6" t="n">
        <f aca="false">(Q387-M387)*R387*24/12.1/1000</f>
        <v>-0</v>
      </c>
    </row>
    <row r="388" customFormat="false" ht="14.35" hidden="false" customHeight="false" outlineLevel="0" collapsed="false">
      <c r="A388" s="4" t="n">
        <v>19540</v>
      </c>
      <c r="B388" s="15" t="n">
        <f aca="false">IF(C388&lt;=9,YEAR(A388),YEAR(A388)+1)</f>
        <v>1953</v>
      </c>
      <c r="C388" s="15" t="n">
        <f aca="false">MONTH(A388)</f>
        <v>6</v>
      </c>
      <c r="D388" s="15" t="n">
        <f aca="false">DAY(A388)</f>
        <v>30</v>
      </c>
      <c r="E388" s="15" t="n">
        <f aca="false">VLOOKUP(B388,WYT!$A$2:$L$97,12)</f>
        <v>0</v>
      </c>
      <c r="F388" s="15" t="n">
        <f aca="false">IF(C388=$W$5,1,0)</f>
        <v>0</v>
      </c>
      <c r="G388" s="15" t="n">
        <f aca="false">IF(C388=10,0,IF(F388=1,1,G387))</f>
        <v>1</v>
      </c>
      <c r="H388" s="5" t="n">
        <f aca="false">VA_base_426_data!B388</f>
        <v>5522.58653803869</v>
      </c>
      <c r="I388" s="5" t="n">
        <f aca="false">IF(AND(E388=1,OR(C388=4,C388=5)),25*12.1/24/D388*1000,0)</f>
        <v>0</v>
      </c>
      <c r="J388" s="5" t="n">
        <f aca="false">VA_base_426_data!C388</f>
        <v>1000</v>
      </c>
      <c r="K388" s="5" t="n">
        <f aca="false">H388+I388-J388</f>
        <v>4522.58653803869</v>
      </c>
      <c r="L388" s="5" t="n">
        <f aca="false">MIN($W$7,J388+K388)</f>
        <v>2000</v>
      </c>
      <c r="M388" s="5" t="n">
        <f aca="false">VA_base_426_data!D388</f>
        <v>700</v>
      </c>
      <c r="N388" s="5" t="n">
        <f aca="false">IF(AND(C388=10,E388=1),$W$6,N387-P387)</f>
        <v>0</v>
      </c>
      <c r="O388" s="5" t="n">
        <f aca="false">IF(ABS(M388-L388)&gt;1,MIN(N388/((L388-M388)*24/12.1/1000),D388),D388)</f>
        <v>0</v>
      </c>
      <c r="P388" s="5" t="n">
        <f aca="false">MIN(IF(AND(G388,E388),(L388-M388)*24/12.1*O388/1000,0),N388)</f>
        <v>0</v>
      </c>
      <c r="Q388" s="5" t="n">
        <f aca="false">IF(P388&gt;0,P388/O388*12.1/24*1000+M388,0)</f>
        <v>0</v>
      </c>
      <c r="R388" s="0" t="n">
        <f aca="false">IF(Q388&gt;0,TRUNC(O388),0)</f>
        <v>0</v>
      </c>
      <c r="S388" s="5" t="n">
        <f aca="false">(M388*(D388-R388)+(Q388*R388))/D388</f>
        <v>700</v>
      </c>
      <c r="T388" s="6" t="n">
        <f aca="false">(Q388-M388)*R388*24/12.1/1000</f>
        <v>-0</v>
      </c>
    </row>
    <row r="389" customFormat="false" ht="14.35" hidden="false" customHeight="false" outlineLevel="0" collapsed="false">
      <c r="A389" s="4" t="n">
        <v>19571</v>
      </c>
      <c r="B389" s="15" t="n">
        <f aca="false">IF(C389&lt;=9,YEAR(A389),YEAR(A389)+1)</f>
        <v>1953</v>
      </c>
      <c r="C389" s="15" t="n">
        <f aca="false">MONTH(A389)</f>
        <v>7</v>
      </c>
      <c r="D389" s="15" t="n">
        <f aca="false">DAY(A389)</f>
        <v>31</v>
      </c>
      <c r="E389" s="15" t="n">
        <f aca="false">VLOOKUP(B389,WYT!$A$2:$L$97,12)</f>
        <v>0</v>
      </c>
      <c r="F389" s="15" t="n">
        <f aca="false">IF(C389=$W$5,1,0)</f>
        <v>0</v>
      </c>
      <c r="G389" s="15" t="n">
        <f aca="false">IF(C389=10,0,IF(F389=1,1,G388))</f>
        <v>1</v>
      </c>
      <c r="H389" s="5" t="n">
        <f aca="false">VA_base_426_data!B389</f>
        <v>9254.38191780871</v>
      </c>
      <c r="I389" s="5" t="n">
        <f aca="false">IF(AND(E389=1,OR(C389=4,C389=5)),25*12.1/24/D389*1000,0)</f>
        <v>0</v>
      </c>
      <c r="J389" s="5" t="n">
        <f aca="false">VA_base_426_data!C389</f>
        <v>1000</v>
      </c>
      <c r="K389" s="5" t="n">
        <f aca="false">H389+I389-J389</f>
        <v>8254.38191780871</v>
      </c>
      <c r="L389" s="5" t="n">
        <f aca="false">MIN($W$7,J389+K389)</f>
        <v>2000</v>
      </c>
      <c r="M389" s="5" t="n">
        <f aca="false">VA_base_426_data!D389</f>
        <v>700</v>
      </c>
      <c r="N389" s="5" t="n">
        <f aca="false">IF(AND(C389=10,E389=1),$W$6,N388-P388)</f>
        <v>0</v>
      </c>
      <c r="O389" s="5" t="n">
        <f aca="false">IF(ABS(M389-L389)&gt;1,MIN(N389/((L389-M389)*24/12.1/1000),D389),D389)</f>
        <v>0</v>
      </c>
      <c r="P389" s="5" t="n">
        <f aca="false">MIN(IF(AND(G389,E389),(L389-M389)*24/12.1*O389/1000,0),N389)</f>
        <v>0</v>
      </c>
      <c r="Q389" s="5" t="n">
        <f aca="false">IF(P389&gt;0,P389/O389*12.1/24*1000+M389,0)</f>
        <v>0</v>
      </c>
      <c r="R389" s="0" t="n">
        <f aca="false">IF(Q389&gt;0,TRUNC(O389),0)</f>
        <v>0</v>
      </c>
      <c r="S389" s="5" t="n">
        <f aca="false">(M389*(D389-R389)+(Q389*R389))/D389</f>
        <v>700</v>
      </c>
      <c r="T389" s="6" t="n">
        <f aca="false">(Q389-M389)*R389*24/12.1/1000</f>
        <v>-0</v>
      </c>
    </row>
    <row r="390" customFormat="false" ht="14.35" hidden="false" customHeight="false" outlineLevel="0" collapsed="false">
      <c r="A390" s="4" t="n">
        <v>19602</v>
      </c>
      <c r="B390" s="15" t="n">
        <f aca="false">IF(C390&lt;=9,YEAR(A390),YEAR(A390)+1)</f>
        <v>1953</v>
      </c>
      <c r="C390" s="15" t="n">
        <f aca="false">MONTH(A390)</f>
        <v>8</v>
      </c>
      <c r="D390" s="15" t="n">
        <f aca="false">DAY(A390)</f>
        <v>31</v>
      </c>
      <c r="E390" s="15" t="n">
        <f aca="false">VLOOKUP(B390,WYT!$A$2:$L$97,12)</f>
        <v>0</v>
      </c>
      <c r="F390" s="15" t="n">
        <f aca="false">IF(C390=$W$5,1,0)</f>
        <v>0</v>
      </c>
      <c r="G390" s="15" t="n">
        <f aca="false">IF(C390=10,0,IF(F390=1,1,G389))</f>
        <v>1</v>
      </c>
      <c r="H390" s="5" t="n">
        <f aca="false">VA_base_426_data!B390</f>
        <v>5923.73297843144</v>
      </c>
      <c r="I390" s="5" t="n">
        <f aca="false">IF(AND(E390=1,OR(C390=4,C390=5)),25*12.1/24/D390*1000,0)</f>
        <v>0</v>
      </c>
      <c r="J390" s="5" t="n">
        <f aca="false">VA_base_426_data!C390</f>
        <v>1000</v>
      </c>
      <c r="K390" s="5" t="n">
        <f aca="false">H390+I390-J390</f>
        <v>4923.73297843144</v>
      </c>
      <c r="L390" s="5" t="n">
        <f aca="false">MIN($W$7,J390+K390)</f>
        <v>2000</v>
      </c>
      <c r="M390" s="5" t="n">
        <f aca="false">VA_base_426_data!D390</f>
        <v>700</v>
      </c>
      <c r="N390" s="5" t="n">
        <f aca="false">IF(AND(C390=10,E390=1),$W$6,N389-P389)</f>
        <v>0</v>
      </c>
      <c r="O390" s="5" t="n">
        <f aca="false">IF(ABS(M390-L390)&gt;1,MIN(N390/((L390-M390)*24/12.1/1000),D390),D390)</f>
        <v>0</v>
      </c>
      <c r="P390" s="5" t="n">
        <f aca="false">MIN(IF(AND(G390,E390),(L390-M390)*24/12.1*O390/1000,0),N390)</f>
        <v>0</v>
      </c>
      <c r="Q390" s="5" t="n">
        <f aca="false">IF(P390&gt;0,P390/O390*12.1/24*1000+M390,0)</f>
        <v>0</v>
      </c>
      <c r="R390" s="0" t="n">
        <f aca="false">IF(Q390&gt;0,TRUNC(O390),0)</f>
        <v>0</v>
      </c>
      <c r="S390" s="5" t="n">
        <f aca="false">(M390*(D390-R390)+(Q390*R390))/D390</f>
        <v>700</v>
      </c>
      <c r="T390" s="6" t="n">
        <f aca="false">(Q390-M390)*R390*24/12.1/1000</f>
        <v>-0</v>
      </c>
    </row>
    <row r="391" customFormat="false" ht="14.35" hidden="false" customHeight="false" outlineLevel="0" collapsed="false">
      <c r="A391" s="4" t="n">
        <v>19632</v>
      </c>
      <c r="B391" s="15" t="n">
        <f aca="false">IF(C391&lt;=9,YEAR(A391),YEAR(A391)+1)</f>
        <v>1953</v>
      </c>
      <c r="C391" s="15" t="n">
        <f aca="false">MONTH(A391)</f>
        <v>9</v>
      </c>
      <c r="D391" s="15" t="n">
        <f aca="false">DAY(A391)</f>
        <v>30</v>
      </c>
      <c r="E391" s="15" t="n">
        <f aca="false">VLOOKUP(B391,WYT!$A$2:$L$97,12)</f>
        <v>0</v>
      </c>
      <c r="F391" s="15" t="n">
        <f aca="false">IF(C391=$W$5,1,0)</f>
        <v>0</v>
      </c>
      <c r="G391" s="15" t="n">
        <f aca="false">IF(C391=10,0,IF(F391=1,1,G390))</f>
        <v>1</v>
      </c>
      <c r="H391" s="5" t="n">
        <f aca="false">VA_base_426_data!B391</f>
        <v>9619.62024989622</v>
      </c>
      <c r="I391" s="5" t="n">
        <f aca="false">IF(AND(E391=1,OR(C391=4,C391=5)),25*12.1/24/D391*1000,0)</f>
        <v>0</v>
      </c>
      <c r="J391" s="5" t="n">
        <f aca="false">VA_base_426_data!C391</f>
        <v>1000</v>
      </c>
      <c r="K391" s="5" t="n">
        <f aca="false">H391+I391-J391</f>
        <v>8619.62024989622</v>
      </c>
      <c r="L391" s="5" t="n">
        <f aca="false">MIN($W$7,J391+K391)</f>
        <v>2000</v>
      </c>
      <c r="M391" s="5" t="n">
        <f aca="false">VA_base_426_data!D391</f>
        <v>773.3333333</v>
      </c>
      <c r="N391" s="5" t="n">
        <f aca="false">IF(AND(C391=10,E391=1),$W$6,N390-P390)</f>
        <v>0</v>
      </c>
      <c r="O391" s="5" t="n">
        <f aca="false">IF(ABS(M391-L391)&gt;1,MIN(N391/((L391-M391)*24/12.1/1000),D391),D391)</f>
        <v>0</v>
      </c>
      <c r="P391" s="5" t="n">
        <f aca="false">MIN(IF(AND(G391,E391),(L391-M391)*24/12.1*O391/1000,0),N391)</f>
        <v>0</v>
      </c>
      <c r="Q391" s="5" t="n">
        <f aca="false">IF(P391&gt;0,P391/O391*12.1/24*1000+M391,0)</f>
        <v>0</v>
      </c>
      <c r="R391" s="0" t="n">
        <f aca="false">IF(Q391&gt;0,TRUNC(O391),0)</f>
        <v>0</v>
      </c>
      <c r="S391" s="5" t="n">
        <f aca="false">(M391*(D391-R391)+(Q391*R391))/D391</f>
        <v>773.3333333</v>
      </c>
      <c r="T391" s="6" t="n">
        <f aca="false">(Q391-M391)*R391*24/12.1/1000</f>
        <v>-0</v>
      </c>
    </row>
    <row r="392" customFormat="false" ht="14.35" hidden="false" customHeight="false" outlineLevel="0" collapsed="false">
      <c r="A392" s="4" t="n">
        <v>19663</v>
      </c>
      <c r="B392" s="15" t="n">
        <f aca="false">IF(C392&lt;=9,YEAR(A392),YEAR(A392)+1)</f>
        <v>1954</v>
      </c>
      <c r="C392" s="15" t="n">
        <f aca="false">MONTH(A392)</f>
        <v>10</v>
      </c>
      <c r="D392" s="15" t="n">
        <f aca="false">DAY(A392)</f>
        <v>31</v>
      </c>
      <c r="E392" s="15" t="n">
        <f aca="false">VLOOKUP(B392,WYT!$A$2:$L$97,12)</f>
        <v>1</v>
      </c>
      <c r="F392" s="15" t="n">
        <f aca="false">IF(C392=$W$5,1,0)</f>
        <v>0</v>
      </c>
      <c r="G392" s="15" t="n">
        <f aca="false">IF(C392=10,0,IF(F392=1,1,G391))</f>
        <v>0</v>
      </c>
      <c r="H392" s="5" t="n">
        <f aca="false">VA_base_426_data!B392</f>
        <v>4000</v>
      </c>
      <c r="I392" s="5" t="n">
        <f aca="false">IF(AND(E392=1,OR(C392=4,C392=5)),25*12.1/24/D392*1000,0)</f>
        <v>0</v>
      </c>
      <c r="J392" s="5" t="n">
        <f aca="false">VA_base_426_data!C392</f>
        <v>1700</v>
      </c>
      <c r="K392" s="5" t="n">
        <f aca="false">H392+I392-J392</f>
        <v>2300</v>
      </c>
      <c r="L392" s="5" t="n">
        <f aca="false">MIN($W$7,J392+K392)</f>
        <v>2000</v>
      </c>
      <c r="M392" s="5" t="n">
        <f aca="false">VA_base_426_data!D392</f>
        <v>800</v>
      </c>
      <c r="N392" s="5" t="n">
        <f aca="false">IF(AND(C392=10,E392=1),$W$6,N391-P391)</f>
        <v>43</v>
      </c>
      <c r="O392" s="5" t="n">
        <f aca="false">IF(ABS(M392-L392)&gt;1,MIN(N392/((L392-M392)*24/12.1/1000),D392),D392)</f>
        <v>18.0659722222222</v>
      </c>
      <c r="P392" s="5" t="n">
        <f aca="false">MIN(IF(AND(G392,E392),(L392-M392)*24/12.1*O392/1000,0),N392)</f>
        <v>0</v>
      </c>
      <c r="Q392" s="5" t="n">
        <f aca="false">IF(P392&gt;0,P392/O392*12.1/24*1000+M392,0)</f>
        <v>0</v>
      </c>
      <c r="R392" s="0" t="n">
        <f aca="false">IF(Q392&gt;0,TRUNC(O392),0)</f>
        <v>0</v>
      </c>
      <c r="S392" s="5" t="n">
        <f aca="false">(M392*(D392-R392)+(Q392*R392))/D392</f>
        <v>800</v>
      </c>
      <c r="T392" s="6" t="n">
        <f aca="false">(Q392-M392)*R392*24/12.1/1000</f>
        <v>-0</v>
      </c>
    </row>
    <row r="393" customFormat="false" ht="14.35" hidden="false" customHeight="false" outlineLevel="0" collapsed="false">
      <c r="A393" s="4" t="n">
        <v>19693</v>
      </c>
      <c r="B393" s="15" t="n">
        <f aca="false">IF(C393&lt;=9,YEAR(A393),YEAR(A393)+1)</f>
        <v>1954</v>
      </c>
      <c r="C393" s="15" t="n">
        <f aca="false">MONTH(A393)</f>
        <v>11</v>
      </c>
      <c r="D393" s="15" t="n">
        <f aca="false">DAY(A393)</f>
        <v>30</v>
      </c>
      <c r="E393" s="15" t="n">
        <f aca="false">VLOOKUP(B393,WYT!$A$2:$L$97,12)</f>
        <v>1</v>
      </c>
      <c r="F393" s="15" t="n">
        <f aca="false">IF(C393=$W$5,1,0)</f>
        <v>0</v>
      </c>
      <c r="G393" s="15" t="n">
        <f aca="false">IF(C393=10,0,IF(F393=1,1,G392))</f>
        <v>0</v>
      </c>
      <c r="H393" s="5" t="n">
        <f aca="false">VA_base_426_data!B393</f>
        <v>2500</v>
      </c>
      <c r="I393" s="5" t="n">
        <f aca="false">IF(AND(E393=1,OR(C393=4,C393=5)),25*12.1/24/D393*1000,0)</f>
        <v>0</v>
      </c>
      <c r="J393" s="5" t="n">
        <f aca="false">VA_base_426_data!C393</f>
        <v>1700</v>
      </c>
      <c r="K393" s="5" t="n">
        <f aca="false">H393+I393-J393</f>
        <v>800</v>
      </c>
      <c r="L393" s="5" t="n">
        <f aca="false">MIN($W$7,J393+K393)</f>
        <v>2000</v>
      </c>
      <c r="M393" s="5" t="n">
        <f aca="false">VA_base_426_data!D393</f>
        <v>800</v>
      </c>
      <c r="N393" s="5" t="n">
        <f aca="false">IF(AND(C393=10,E393=1),$W$6,N392-P392)</f>
        <v>43</v>
      </c>
      <c r="O393" s="5" t="n">
        <f aca="false">IF(ABS(M393-L393)&gt;1,MIN(N393/((L393-M393)*24/12.1/1000),D393),D393)</f>
        <v>18.0659722222222</v>
      </c>
      <c r="P393" s="5" t="n">
        <f aca="false">MIN(IF(AND(G393,E393),(L393-M393)*24/12.1*O393/1000,0),N393)</f>
        <v>0</v>
      </c>
      <c r="Q393" s="5" t="n">
        <f aca="false">IF(P393&gt;0,P393/O393*12.1/24*1000+M393,0)</f>
        <v>0</v>
      </c>
      <c r="R393" s="0" t="n">
        <f aca="false">IF(Q393&gt;0,TRUNC(O393),0)</f>
        <v>0</v>
      </c>
      <c r="S393" s="5" t="n">
        <f aca="false">(M393*(D393-R393)+(Q393*R393))/D393</f>
        <v>800</v>
      </c>
      <c r="T393" s="6" t="n">
        <f aca="false">(Q393-M393)*R393*24/12.1/1000</f>
        <v>-0</v>
      </c>
    </row>
    <row r="394" customFormat="false" ht="14.35" hidden="false" customHeight="false" outlineLevel="0" collapsed="false">
      <c r="A394" s="4" t="n">
        <v>19724</v>
      </c>
      <c r="B394" s="15" t="n">
        <f aca="false">IF(C394&lt;=9,YEAR(A394),YEAR(A394)+1)</f>
        <v>1954</v>
      </c>
      <c r="C394" s="15" t="n">
        <f aca="false">MONTH(A394)</f>
        <v>12</v>
      </c>
      <c r="D394" s="15" t="n">
        <f aca="false">DAY(A394)</f>
        <v>31</v>
      </c>
      <c r="E394" s="15" t="n">
        <f aca="false">VLOOKUP(B394,WYT!$A$2:$L$97,12)</f>
        <v>1</v>
      </c>
      <c r="F394" s="15" t="n">
        <f aca="false">IF(C394=$W$5,1,0)</f>
        <v>0</v>
      </c>
      <c r="G394" s="15" t="n">
        <f aca="false">IF(C394=10,0,IF(F394=1,1,G393))</f>
        <v>0</v>
      </c>
      <c r="H394" s="5" t="n">
        <f aca="false">VA_base_426_data!B394</f>
        <v>3676.14381294347</v>
      </c>
      <c r="I394" s="5" t="n">
        <f aca="false">IF(AND(E394=1,OR(C394=4,C394=5)),25*12.1/24/D394*1000,0)</f>
        <v>0</v>
      </c>
      <c r="J394" s="5" t="n">
        <f aca="false">VA_base_426_data!C394</f>
        <v>1700</v>
      </c>
      <c r="K394" s="5" t="n">
        <f aca="false">H394+I394-J394</f>
        <v>1976.14381294347</v>
      </c>
      <c r="L394" s="5" t="n">
        <f aca="false">MIN($W$7,J394+K394)</f>
        <v>2000</v>
      </c>
      <c r="M394" s="5" t="n">
        <f aca="false">VA_base_426_data!D394</f>
        <v>800</v>
      </c>
      <c r="N394" s="5" t="n">
        <f aca="false">IF(AND(C394=10,E394=1),$W$6,N393-P393)</f>
        <v>43</v>
      </c>
      <c r="O394" s="5" t="n">
        <f aca="false">IF(ABS(M394-L394)&gt;1,MIN(N394/((L394-M394)*24/12.1/1000),D394),D394)</f>
        <v>18.0659722222222</v>
      </c>
      <c r="P394" s="5" t="n">
        <f aca="false">MIN(IF(AND(G394,E394),(L394-M394)*24/12.1*O394/1000,0),N394)</f>
        <v>0</v>
      </c>
      <c r="Q394" s="5" t="n">
        <f aca="false">IF(P394&gt;0,P394/O394*12.1/24*1000+M394,0)</f>
        <v>0</v>
      </c>
      <c r="R394" s="0" t="n">
        <f aca="false">IF(Q394&gt;0,TRUNC(O394),0)</f>
        <v>0</v>
      </c>
      <c r="S394" s="5" t="n">
        <f aca="false">(M394*(D394-R394)+(Q394*R394))/D394</f>
        <v>800</v>
      </c>
      <c r="T394" s="6" t="n">
        <f aca="false">(Q394-M394)*R394*24/12.1/1000</f>
        <v>-0</v>
      </c>
    </row>
    <row r="395" customFormat="false" ht="14.35" hidden="false" customHeight="false" outlineLevel="0" collapsed="false">
      <c r="A395" s="4" t="n">
        <v>19755</v>
      </c>
      <c r="B395" s="15" t="n">
        <f aca="false">IF(C395&lt;=9,YEAR(A395),YEAR(A395)+1)</f>
        <v>1954</v>
      </c>
      <c r="C395" s="15" t="n">
        <f aca="false">MONTH(A395)</f>
        <v>1</v>
      </c>
      <c r="D395" s="15" t="n">
        <f aca="false">DAY(A395)</f>
        <v>31</v>
      </c>
      <c r="E395" s="15" t="n">
        <f aca="false">VLOOKUP(B395,WYT!$A$2:$L$97,12)</f>
        <v>1</v>
      </c>
      <c r="F395" s="15" t="n">
        <f aca="false">IF(C395=$W$5,1,0)</f>
        <v>0</v>
      </c>
      <c r="G395" s="15" t="n">
        <f aca="false">IF(C395=10,0,IF(F395=1,1,G394))</f>
        <v>0</v>
      </c>
      <c r="H395" s="5" t="n">
        <f aca="false">VA_base_426_data!B395</f>
        <v>3141.93027897394</v>
      </c>
      <c r="I395" s="5" t="n">
        <f aca="false">IF(AND(E395=1,OR(C395=4,C395=5)),25*12.1/24/D395*1000,0)</f>
        <v>0</v>
      </c>
      <c r="J395" s="5" t="n">
        <f aca="false">VA_base_426_data!C395</f>
        <v>1700</v>
      </c>
      <c r="K395" s="5" t="n">
        <f aca="false">H395+I395-J395</f>
        <v>1441.93027897394</v>
      </c>
      <c r="L395" s="5" t="n">
        <f aca="false">MIN($W$7,J395+K395)</f>
        <v>2000</v>
      </c>
      <c r="M395" s="5" t="n">
        <f aca="false">VA_base_426_data!D395</f>
        <v>800</v>
      </c>
      <c r="N395" s="5" t="n">
        <f aca="false">IF(AND(C395=10,E395=1),$W$6,N394-P394)</f>
        <v>43</v>
      </c>
      <c r="O395" s="5" t="n">
        <f aca="false">IF(ABS(M395-L395)&gt;1,MIN(N395/((L395-M395)*24/12.1/1000),D395),D395)</f>
        <v>18.0659722222222</v>
      </c>
      <c r="P395" s="5" t="n">
        <f aca="false">MIN(IF(AND(G395,E395),(L395-M395)*24/12.1*O395/1000,0),N395)</f>
        <v>0</v>
      </c>
      <c r="Q395" s="5" t="n">
        <f aca="false">IF(P395&gt;0,P395/O395*12.1/24*1000+M395,0)</f>
        <v>0</v>
      </c>
      <c r="R395" s="0" t="n">
        <f aca="false">IF(Q395&gt;0,TRUNC(O395),0)</f>
        <v>0</v>
      </c>
      <c r="S395" s="5" t="n">
        <f aca="false">(M395*(D395-R395)+(Q395*R395))/D395</f>
        <v>800</v>
      </c>
      <c r="T395" s="6" t="n">
        <f aca="false">(Q395-M395)*R395*24/12.1/1000</f>
        <v>-0</v>
      </c>
    </row>
    <row r="396" customFormat="false" ht="14.35" hidden="false" customHeight="false" outlineLevel="0" collapsed="false">
      <c r="A396" s="4" t="n">
        <v>19783</v>
      </c>
      <c r="B396" s="15" t="n">
        <f aca="false">IF(C396&lt;=9,YEAR(A396),YEAR(A396)+1)</f>
        <v>1954</v>
      </c>
      <c r="C396" s="15" t="n">
        <f aca="false">MONTH(A396)</f>
        <v>2</v>
      </c>
      <c r="D396" s="15" t="n">
        <f aca="false">DAY(A396)</f>
        <v>28</v>
      </c>
      <c r="E396" s="15" t="n">
        <f aca="false">VLOOKUP(B396,WYT!$A$2:$L$97,12)</f>
        <v>1</v>
      </c>
      <c r="F396" s="15" t="n">
        <f aca="false">IF(C396=$W$5,1,0)</f>
        <v>1</v>
      </c>
      <c r="G396" s="15" t="n">
        <f aca="false">IF(C396=10,0,IF(F396=1,1,G395))</f>
        <v>1</v>
      </c>
      <c r="H396" s="5" t="n">
        <f aca="false">VA_base_426_data!B396</f>
        <v>1700</v>
      </c>
      <c r="I396" s="5" t="n">
        <f aca="false">IF(AND(E396=1,OR(C396=4,C396=5)),25*12.1/24/D396*1000,0)</f>
        <v>0</v>
      </c>
      <c r="J396" s="5" t="n">
        <f aca="false">VA_base_426_data!C396</f>
        <v>1700</v>
      </c>
      <c r="K396" s="5" t="n">
        <f aca="false">H396+I396-J396</f>
        <v>0</v>
      </c>
      <c r="L396" s="5" t="n">
        <f aca="false">MIN($W$7,J396+K396)</f>
        <v>1700</v>
      </c>
      <c r="M396" s="5" t="n">
        <f aca="false">VA_base_426_data!D396</f>
        <v>800</v>
      </c>
      <c r="N396" s="5" t="n">
        <f aca="false">IF(AND(C396=10,E396=1),$W$6,N395-P395)</f>
        <v>43</v>
      </c>
      <c r="O396" s="5" t="n">
        <f aca="false">IF(ABS(M396-L396)&gt;1,MIN(N396/((L396-M396)*24/12.1/1000),D396),D396)</f>
        <v>24.087962962963</v>
      </c>
      <c r="P396" s="5" t="n">
        <f aca="false">MIN(IF(AND(G396,E396),(L396-M396)*24/12.1*O396/1000,0),N396)</f>
        <v>43</v>
      </c>
      <c r="Q396" s="5" t="n">
        <f aca="false">IF(P396&gt;0,P396/O396*12.1/24*1000+M396,0)</f>
        <v>1700</v>
      </c>
      <c r="R396" s="0" t="n">
        <f aca="false">IF(Q396&gt;0,TRUNC(O396),0)</f>
        <v>24</v>
      </c>
      <c r="S396" s="5" t="n">
        <f aca="false">(M396*(D396-R396)+(Q396*R396))/D396</f>
        <v>1571.42857142857</v>
      </c>
      <c r="T396" s="6" t="n">
        <f aca="false">(Q396-M396)*R396*24/12.1/1000</f>
        <v>42.8429752066116</v>
      </c>
    </row>
    <row r="397" customFormat="false" ht="14.35" hidden="false" customHeight="false" outlineLevel="0" collapsed="false">
      <c r="A397" s="4" t="n">
        <v>19814</v>
      </c>
      <c r="B397" s="15" t="n">
        <f aca="false">IF(C397&lt;=9,YEAR(A397),YEAR(A397)+1)</f>
        <v>1954</v>
      </c>
      <c r="C397" s="15" t="n">
        <f aca="false">MONTH(A397)</f>
        <v>3</v>
      </c>
      <c r="D397" s="15" t="n">
        <f aca="false">DAY(A397)</f>
        <v>31</v>
      </c>
      <c r="E397" s="15" t="n">
        <f aca="false">VLOOKUP(B397,WYT!$A$2:$L$97,12)</f>
        <v>1</v>
      </c>
      <c r="F397" s="15" t="n">
        <f aca="false">IF(C397=$W$5,1,0)</f>
        <v>0</v>
      </c>
      <c r="G397" s="15" t="n">
        <f aca="false">IF(C397=10,0,IF(F397=1,1,G396))</f>
        <v>1</v>
      </c>
      <c r="H397" s="5" t="n">
        <f aca="false">VA_base_426_data!B397</f>
        <v>2023.89816315826</v>
      </c>
      <c r="I397" s="5" t="n">
        <f aca="false">IF(AND(E397=1,OR(C397=4,C397=5)),25*12.1/24/D397*1000,0)</f>
        <v>0</v>
      </c>
      <c r="J397" s="5" t="n">
        <f aca="false">VA_base_426_data!C397</f>
        <v>1700</v>
      </c>
      <c r="K397" s="5" t="n">
        <f aca="false">H397+I397-J397</f>
        <v>323.898163158256</v>
      </c>
      <c r="L397" s="5" t="n">
        <f aca="false">MIN($W$7,J397+K397)</f>
        <v>2000</v>
      </c>
      <c r="M397" s="5" t="n">
        <f aca="false">VA_base_426_data!D397</f>
        <v>800</v>
      </c>
      <c r="N397" s="5" t="n">
        <f aca="false">IF(AND(C397=10,E397=1),$W$6,N396-P396)</f>
        <v>0</v>
      </c>
      <c r="O397" s="5" t="n">
        <f aca="false">IF(ABS(M397-L397)&gt;1,MIN(N397/((L397-M397)*24/12.1/1000),D397),D397)</f>
        <v>0</v>
      </c>
      <c r="P397" s="5" t="n">
        <f aca="false">MIN(IF(AND(G397,E397),(L397-M397)*24/12.1*O397/1000,0),N397)</f>
        <v>0</v>
      </c>
      <c r="Q397" s="5" t="n">
        <f aca="false">IF(P397&gt;0,P397/O397*12.1/24*1000+M397,0)</f>
        <v>0</v>
      </c>
      <c r="R397" s="0" t="n">
        <f aca="false">IF(Q397&gt;0,TRUNC(O397),0)</f>
        <v>0</v>
      </c>
      <c r="S397" s="5" t="n">
        <f aca="false">(M397*(D397-R397)+(Q397*R397))/D397</f>
        <v>800</v>
      </c>
      <c r="T397" s="6" t="n">
        <f aca="false">(Q397-M397)*R397*24/12.1/1000</f>
        <v>-0</v>
      </c>
    </row>
    <row r="398" customFormat="false" ht="14.35" hidden="false" customHeight="false" outlineLevel="0" collapsed="false">
      <c r="A398" s="4" t="n">
        <v>19844</v>
      </c>
      <c r="B398" s="15" t="n">
        <f aca="false">IF(C398&lt;=9,YEAR(A398),YEAR(A398)+1)</f>
        <v>1954</v>
      </c>
      <c r="C398" s="15" t="n">
        <f aca="false">MONTH(A398)</f>
        <v>4</v>
      </c>
      <c r="D398" s="15" t="n">
        <f aca="false">DAY(A398)</f>
        <v>30</v>
      </c>
      <c r="E398" s="15" t="n">
        <f aca="false">VLOOKUP(B398,WYT!$A$2:$L$97,12)</f>
        <v>1</v>
      </c>
      <c r="F398" s="15" t="n">
        <f aca="false">IF(C398=$W$5,1,0)</f>
        <v>0</v>
      </c>
      <c r="G398" s="15" t="n">
        <f aca="false">IF(C398=10,0,IF(F398=1,1,G397))</f>
        <v>1</v>
      </c>
      <c r="H398" s="5" t="n">
        <f aca="false">VA_base_426_data!B398</f>
        <v>6220.53063055891</v>
      </c>
      <c r="I398" s="5" t="n">
        <f aca="false">IF(AND(E398=1,OR(C398=4,C398=5)),25*12.1/24/D398*1000,0)</f>
        <v>420.138888888889</v>
      </c>
      <c r="J398" s="5" t="n">
        <f aca="false">VA_base_426_data!C398</f>
        <v>1000</v>
      </c>
      <c r="K398" s="5" t="n">
        <f aca="false">H398+I398-J398</f>
        <v>5640.6695194478</v>
      </c>
      <c r="L398" s="5" t="n">
        <f aca="false">MIN($W$7,J398+K398)</f>
        <v>2000</v>
      </c>
      <c r="M398" s="5" t="n">
        <f aca="false">VA_base_426_data!D398</f>
        <v>700</v>
      </c>
      <c r="N398" s="5" t="n">
        <f aca="false">IF(AND(C398=10,E398=1),$W$6,N397-P397)</f>
        <v>0</v>
      </c>
      <c r="O398" s="5" t="n">
        <f aca="false">IF(ABS(M398-L398)&gt;1,MIN(N398/((L398-M398)*24/12.1/1000),D398),D398)</f>
        <v>0</v>
      </c>
      <c r="P398" s="5" t="n">
        <f aca="false">MIN(IF(AND(G398,E398),(L398-M398)*24/12.1*O398/1000,0),N398)</f>
        <v>0</v>
      </c>
      <c r="Q398" s="5" t="n">
        <f aca="false">IF(P398&gt;0,P398/O398*12.1/24*1000+M398,0)</f>
        <v>0</v>
      </c>
      <c r="R398" s="0" t="n">
        <f aca="false">IF(Q398&gt;0,TRUNC(O398),0)</f>
        <v>0</v>
      </c>
      <c r="S398" s="5" t="n">
        <f aca="false">(M398*(D398-R398)+(Q398*R398))/D398</f>
        <v>700</v>
      </c>
      <c r="T398" s="6" t="n">
        <f aca="false">(Q398-M398)*R398*24/12.1/1000</f>
        <v>-0</v>
      </c>
    </row>
    <row r="399" customFormat="false" ht="14.35" hidden="false" customHeight="false" outlineLevel="0" collapsed="false">
      <c r="A399" s="4" t="n">
        <v>19875</v>
      </c>
      <c r="B399" s="15" t="n">
        <f aca="false">IF(C399&lt;=9,YEAR(A399),YEAR(A399)+1)</f>
        <v>1954</v>
      </c>
      <c r="C399" s="15" t="n">
        <f aca="false">MONTH(A399)</f>
        <v>5</v>
      </c>
      <c r="D399" s="15" t="n">
        <f aca="false">DAY(A399)</f>
        <v>31</v>
      </c>
      <c r="E399" s="15" t="n">
        <f aca="false">VLOOKUP(B399,WYT!$A$2:$L$97,12)</f>
        <v>1</v>
      </c>
      <c r="F399" s="15" t="n">
        <f aca="false">IF(C399=$W$5,1,0)</f>
        <v>0</v>
      </c>
      <c r="G399" s="15" t="n">
        <f aca="false">IF(C399=10,0,IF(F399=1,1,G398))</f>
        <v>1</v>
      </c>
      <c r="H399" s="5" t="n">
        <f aca="false">VA_base_426_data!B399</f>
        <v>1000</v>
      </c>
      <c r="I399" s="5" t="n">
        <f aca="false">IF(AND(E399=1,OR(C399=4,C399=5)),25*12.1/24/D399*1000,0)</f>
        <v>406.586021505376</v>
      </c>
      <c r="J399" s="5" t="n">
        <f aca="false">VA_base_426_data!C399</f>
        <v>1000</v>
      </c>
      <c r="K399" s="5" t="n">
        <f aca="false">H399+I399-J399</f>
        <v>406.586021505376</v>
      </c>
      <c r="L399" s="5" t="n">
        <f aca="false">MIN($W$7,J399+K399)</f>
        <v>1406.58602150538</v>
      </c>
      <c r="M399" s="5" t="n">
        <f aca="false">VA_base_426_data!D399</f>
        <v>700</v>
      </c>
      <c r="N399" s="5" t="n">
        <f aca="false">IF(AND(C399=10,E399=1),$W$6,N398-P398)</f>
        <v>0</v>
      </c>
      <c r="O399" s="5" t="n">
        <f aca="false">IF(ABS(M399-L399)&gt;1,MIN(N399/((L399-M399)*24/12.1/1000),D399),D399)</f>
        <v>0</v>
      </c>
      <c r="P399" s="5" t="n">
        <f aca="false">MIN(IF(AND(G399,E399),(L399-M399)*24/12.1*O399/1000,0),N399)</f>
        <v>0</v>
      </c>
      <c r="Q399" s="5" t="n">
        <f aca="false">IF(P399&gt;0,P399/O399*12.1/24*1000+M399,0)</f>
        <v>0</v>
      </c>
      <c r="R399" s="0" t="n">
        <f aca="false">IF(Q399&gt;0,TRUNC(O399),0)</f>
        <v>0</v>
      </c>
      <c r="S399" s="5" t="n">
        <f aca="false">(M399*(D399-R399)+(Q399*R399))/D399</f>
        <v>700</v>
      </c>
      <c r="T399" s="6" t="n">
        <f aca="false">(Q399-M399)*R399*24/12.1/1000</f>
        <v>-0</v>
      </c>
    </row>
    <row r="400" customFormat="false" ht="14.35" hidden="false" customHeight="false" outlineLevel="0" collapsed="false">
      <c r="A400" s="4" t="n">
        <v>19905</v>
      </c>
      <c r="B400" s="15" t="n">
        <f aca="false">IF(C400&lt;=9,YEAR(A400),YEAR(A400)+1)</f>
        <v>1954</v>
      </c>
      <c r="C400" s="15" t="n">
        <f aca="false">MONTH(A400)</f>
        <v>6</v>
      </c>
      <c r="D400" s="15" t="n">
        <f aca="false">DAY(A400)</f>
        <v>30</v>
      </c>
      <c r="E400" s="15" t="n">
        <f aca="false">VLOOKUP(B400,WYT!$A$2:$L$97,12)</f>
        <v>1</v>
      </c>
      <c r="F400" s="15" t="n">
        <f aca="false">IF(C400=$W$5,1,0)</f>
        <v>0</v>
      </c>
      <c r="G400" s="15" t="n">
        <f aca="false">IF(C400=10,0,IF(F400=1,1,G399))</f>
        <v>1</v>
      </c>
      <c r="H400" s="5" t="n">
        <f aca="false">VA_base_426_data!B400</f>
        <v>3286.82904473194</v>
      </c>
      <c r="I400" s="5" t="n">
        <f aca="false">IF(AND(E400=1,OR(C400=4,C400=5)),25*12.1/24/D400*1000,0)</f>
        <v>0</v>
      </c>
      <c r="J400" s="5" t="n">
        <f aca="false">VA_base_426_data!C400</f>
        <v>1000</v>
      </c>
      <c r="K400" s="5" t="n">
        <f aca="false">H400+I400-J400</f>
        <v>2286.82904473194</v>
      </c>
      <c r="L400" s="5" t="n">
        <f aca="false">MIN($W$7,J400+K400)</f>
        <v>2000</v>
      </c>
      <c r="M400" s="5" t="n">
        <f aca="false">VA_base_426_data!D400</f>
        <v>700</v>
      </c>
      <c r="N400" s="5" t="n">
        <f aca="false">IF(AND(C400=10,E400=1),$W$6,N399-P399)</f>
        <v>0</v>
      </c>
      <c r="O400" s="5" t="n">
        <f aca="false">IF(ABS(M400-L400)&gt;1,MIN(N400/((L400-M400)*24/12.1/1000),D400),D400)</f>
        <v>0</v>
      </c>
      <c r="P400" s="5" t="n">
        <f aca="false">MIN(IF(AND(G400,E400),(L400-M400)*24/12.1*O400/1000,0),N400)</f>
        <v>0</v>
      </c>
      <c r="Q400" s="5" t="n">
        <f aca="false">IF(P400&gt;0,P400/O400*12.1/24*1000+M400,0)</f>
        <v>0</v>
      </c>
      <c r="R400" s="0" t="n">
        <f aca="false">IF(Q400&gt;0,TRUNC(O400),0)</f>
        <v>0</v>
      </c>
      <c r="S400" s="5" t="n">
        <f aca="false">(M400*(D400-R400)+(Q400*R400))/D400</f>
        <v>700</v>
      </c>
      <c r="T400" s="6" t="n">
        <f aca="false">(Q400-M400)*R400*24/12.1/1000</f>
        <v>-0</v>
      </c>
    </row>
    <row r="401" customFormat="false" ht="14.35" hidden="false" customHeight="false" outlineLevel="0" collapsed="false">
      <c r="A401" s="4" t="n">
        <v>19936</v>
      </c>
      <c r="B401" s="15" t="n">
        <f aca="false">IF(C401&lt;=9,YEAR(A401),YEAR(A401)+1)</f>
        <v>1954</v>
      </c>
      <c r="C401" s="15" t="n">
        <f aca="false">MONTH(A401)</f>
        <v>7</v>
      </c>
      <c r="D401" s="15" t="n">
        <f aca="false">DAY(A401)</f>
        <v>31</v>
      </c>
      <c r="E401" s="15" t="n">
        <f aca="false">VLOOKUP(B401,WYT!$A$2:$L$97,12)</f>
        <v>1</v>
      </c>
      <c r="F401" s="15" t="n">
        <f aca="false">IF(C401=$W$5,1,0)</f>
        <v>0</v>
      </c>
      <c r="G401" s="15" t="n">
        <f aca="false">IF(C401=10,0,IF(F401=1,1,G400))</f>
        <v>1</v>
      </c>
      <c r="H401" s="5" t="n">
        <f aca="false">VA_base_426_data!B401</f>
        <v>9669.70892791224</v>
      </c>
      <c r="I401" s="5" t="n">
        <f aca="false">IF(AND(E401=1,OR(C401=4,C401=5)),25*12.1/24/D401*1000,0)</f>
        <v>0</v>
      </c>
      <c r="J401" s="5" t="n">
        <f aca="false">VA_base_426_data!C401</f>
        <v>1000</v>
      </c>
      <c r="K401" s="5" t="n">
        <f aca="false">H401+I401-J401</f>
        <v>8669.70892791224</v>
      </c>
      <c r="L401" s="5" t="n">
        <f aca="false">MIN($W$7,J401+K401)</f>
        <v>2000</v>
      </c>
      <c r="M401" s="5" t="n">
        <f aca="false">VA_base_426_data!D401</f>
        <v>700</v>
      </c>
      <c r="N401" s="5" t="n">
        <f aca="false">IF(AND(C401=10,E401=1),$W$6,N400-P400)</f>
        <v>0</v>
      </c>
      <c r="O401" s="5" t="n">
        <f aca="false">IF(ABS(M401-L401)&gt;1,MIN(N401/((L401-M401)*24/12.1/1000),D401),D401)</f>
        <v>0</v>
      </c>
      <c r="P401" s="5" t="n">
        <f aca="false">MIN(IF(AND(G401,E401),(L401-M401)*24/12.1*O401/1000,0),N401)</f>
        <v>0</v>
      </c>
      <c r="Q401" s="5" t="n">
        <f aca="false">IF(P401&gt;0,P401/O401*12.1/24*1000+M401,0)</f>
        <v>0</v>
      </c>
      <c r="R401" s="0" t="n">
        <f aca="false">IF(Q401&gt;0,TRUNC(O401),0)</f>
        <v>0</v>
      </c>
      <c r="S401" s="5" t="n">
        <f aca="false">(M401*(D401-R401)+(Q401*R401))/D401</f>
        <v>700</v>
      </c>
      <c r="T401" s="6" t="n">
        <f aca="false">(Q401-M401)*R401*24/12.1/1000</f>
        <v>-0</v>
      </c>
    </row>
    <row r="402" customFormat="false" ht="14.35" hidden="false" customHeight="false" outlineLevel="0" collapsed="false">
      <c r="A402" s="4" t="n">
        <v>19967</v>
      </c>
      <c r="B402" s="15" t="n">
        <f aca="false">IF(C402&lt;=9,YEAR(A402),YEAR(A402)+1)</f>
        <v>1954</v>
      </c>
      <c r="C402" s="15" t="n">
        <f aca="false">MONTH(A402)</f>
        <v>8</v>
      </c>
      <c r="D402" s="15" t="n">
        <f aca="false">DAY(A402)</f>
        <v>31</v>
      </c>
      <c r="E402" s="15" t="n">
        <f aca="false">VLOOKUP(B402,WYT!$A$2:$L$97,12)</f>
        <v>1</v>
      </c>
      <c r="F402" s="15" t="n">
        <f aca="false">IF(C402=$W$5,1,0)</f>
        <v>0</v>
      </c>
      <c r="G402" s="15" t="n">
        <f aca="false">IF(C402=10,0,IF(F402=1,1,G401))</f>
        <v>1</v>
      </c>
      <c r="H402" s="5" t="n">
        <f aca="false">VA_base_426_data!B402</f>
        <v>7911.89064315281</v>
      </c>
      <c r="I402" s="5" t="n">
        <f aca="false">IF(AND(E402=1,OR(C402=4,C402=5)),25*12.1/24/D402*1000,0)</f>
        <v>0</v>
      </c>
      <c r="J402" s="5" t="n">
        <f aca="false">VA_base_426_data!C402</f>
        <v>1000</v>
      </c>
      <c r="K402" s="5" t="n">
        <f aca="false">H402+I402-J402</f>
        <v>6911.89064315281</v>
      </c>
      <c r="L402" s="5" t="n">
        <f aca="false">MIN($W$7,J402+K402)</f>
        <v>2000</v>
      </c>
      <c r="M402" s="5" t="n">
        <f aca="false">VA_base_426_data!D402</f>
        <v>700</v>
      </c>
      <c r="N402" s="5" t="n">
        <f aca="false">IF(AND(C402=10,E402=1),$W$6,N401-P401)</f>
        <v>0</v>
      </c>
      <c r="O402" s="5" t="n">
        <f aca="false">IF(ABS(M402-L402)&gt;1,MIN(N402/((L402-M402)*24/12.1/1000),D402),D402)</f>
        <v>0</v>
      </c>
      <c r="P402" s="5" t="n">
        <f aca="false">MIN(IF(AND(G402,E402),(L402-M402)*24/12.1*O402/1000,0),N402)</f>
        <v>0</v>
      </c>
      <c r="Q402" s="5" t="n">
        <f aca="false">IF(P402&gt;0,P402/O402*12.1/24*1000+M402,0)</f>
        <v>0</v>
      </c>
      <c r="R402" s="0" t="n">
        <f aca="false">IF(Q402&gt;0,TRUNC(O402),0)</f>
        <v>0</v>
      </c>
      <c r="S402" s="5" t="n">
        <f aca="false">(M402*(D402-R402)+(Q402*R402))/D402</f>
        <v>700</v>
      </c>
      <c r="T402" s="6" t="n">
        <f aca="false">(Q402-M402)*R402*24/12.1/1000</f>
        <v>-0</v>
      </c>
    </row>
    <row r="403" customFormat="false" ht="14.35" hidden="false" customHeight="false" outlineLevel="0" collapsed="false">
      <c r="A403" s="4" t="n">
        <v>19997</v>
      </c>
      <c r="B403" s="15" t="n">
        <f aca="false">IF(C403&lt;=9,YEAR(A403),YEAR(A403)+1)</f>
        <v>1954</v>
      </c>
      <c r="C403" s="15" t="n">
        <f aca="false">MONTH(A403)</f>
        <v>9</v>
      </c>
      <c r="D403" s="15" t="n">
        <f aca="false">DAY(A403)</f>
        <v>30</v>
      </c>
      <c r="E403" s="15" t="n">
        <f aca="false">VLOOKUP(B403,WYT!$A$2:$L$97,12)</f>
        <v>1</v>
      </c>
      <c r="F403" s="15" t="n">
        <f aca="false">IF(C403=$W$5,1,0)</f>
        <v>0</v>
      </c>
      <c r="G403" s="15" t="n">
        <f aca="false">IF(C403=10,0,IF(F403=1,1,G402))</f>
        <v>1</v>
      </c>
      <c r="H403" s="5" t="n">
        <f aca="false">VA_base_426_data!B403</f>
        <v>7953.52433098548</v>
      </c>
      <c r="I403" s="5" t="n">
        <f aca="false">IF(AND(E403=1,OR(C403=4,C403=5)),25*12.1/24/D403*1000,0)</f>
        <v>0</v>
      </c>
      <c r="J403" s="5" t="n">
        <f aca="false">VA_base_426_data!C403</f>
        <v>1000</v>
      </c>
      <c r="K403" s="5" t="n">
        <f aca="false">H403+I403-J403</f>
        <v>6953.52433098548</v>
      </c>
      <c r="L403" s="5" t="n">
        <f aca="false">MIN($W$7,J403+K403)</f>
        <v>2000</v>
      </c>
      <c r="M403" s="5" t="n">
        <f aca="false">VA_base_426_data!D403</f>
        <v>773.3333333</v>
      </c>
      <c r="N403" s="5" t="n">
        <f aca="false">IF(AND(C403=10,E403=1),$W$6,N402-P402)</f>
        <v>0</v>
      </c>
      <c r="O403" s="5" t="n">
        <f aca="false">IF(ABS(M403-L403)&gt;1,MIN(N403/((L403-M403)*24/12.1/1000),D403),D403)</f>
        <v>0</v>
      </c>
      <c r="P403" s="5" t="n">
        <f aca="false">MIN(IF(AND(G403,E403),(L403-M403)*24/12.1*O403/1000,0),N403)</f>
        <v>0</v>
      </c>
      <c r="Q403" s="5" t="n">
        <f aca="false">IF(P403&gt;0,P403/O403*12.1/24*1000+M403,0)</f>
        <v>0</v>
      </c>
      <c r="R403" s="0" t="n">
        <f aca="false">IF(Q403&gt;0,TRUNC(O403),0)</f>
        <v>0</v>
      </c>
      <c r="S403" s="5" t="n">
        <f aca="false">(M403*(D403-R403)+(Q403*R403))/D403</f>
        <v>773.3333333</v>
      </c>
      <c r="T403" s="6" t="n">
        <f aca="false">(Q403-M403)*R403*24/12.1/1000</f>
        <v>-0</v>
      </c>
    </row>
    <row r="404" customFormat="false" ht="14.35" hidden="false" customHeight="false" outlineLevel="0" collapsed="false">
      <c r="A404" s="4" t="n">
        <v>20028</v>
      </c>
      <c r="B404" s="15" t="n">
        <f aca="false">IF(C404&lt;=9,YEAR(A404),YEAR(A404)+1)</f>
        <v>1955</v>
      </c>
      <c r="C404" s="15" t="n">
        <f aca="false">MONTH(A404)</f>
        <v>10</v>
      </c>
      <c r="D404" s="15" t="n">
        <f aca="false">DAY(A404)</f>
        <v>31</v>
      </c>
      <c r="E404" s="15" t="n">
        <f aca="false">VLOOKUP(B404,WYT!$A$2:$L$97,12)</f>
        <v>1</v>
      </c>
      <c r="F404" s="15" t="n">
        <f aca="false">IF(C404=$W$5,1,0)</f>
        <v>0</v>
      </c>
      <c r="G404" s="15" t="n">
        <f aca="false">IF(C404=10,0,IF(F404=1,1,G403))</f>
        <v>0</v>
      </c>
      <c r="H404" s="5" t="n">
        <f aca="false">VA_base_426_data!B404</f>
        <v>4000</v>
      </c>
      <c r="I404" s="5" t="n">
        <f aca="false">IF(AND(E404=1,OR(C404=4,C404=5)),25*12.1/24/D404*1000,0)</f>
        <v>0</v>
      </c>
      <c r="J404" s="5" t="n">
        <f aca="false">VA_base_426_data!C404</f>
        <v>1700</v>
      </c>
      <c r="K404" s="5" t="n">
        <f aca="false">H404+I404-J404</f>
        <v>2300</v>
      </c>
      <c r="L404" s="5" t="n">
        <f aca="false">MIN($W$7,J404+K404)</f>
        <v>2000</v>
      </c>
      <c r="M404" s="5" t="n">
        <f aca="false">VA_base_426_data!D404</f>
        <v>800</v>
      </c>
      <c r="N404" s="5" t="n">
        <f aca="false">IF(AND(C404=10,E404=1),$W$6,N403-P403)</f>
        <v>43</v>
      </c>
      <c r="O404" s="5" t="n">
        <f aca="false">IF(ABS(M404-L404)&gt;1,MIN(N404/((L404-M404)*24/12.1/1000),D404),D404)</f>
        <v>18.0659722222222</v>
      </c>
      <c r="P404" s="5" t="n">
        <f aca="false">MIN(IF(AND(G404,E404),(L404-M404)*24/12.1*O404/1000,0),N404)</f>
        <v>0</v>
      </c>
      <c r="Q404" s="5" t="n">
        <f aca="false">IF(P404&gt;0,P404/O404*12.1/24*1000+M404,0)</f>
        <v>0</v>
      </c>
      <c r="R404" s="0" t="n">
        <f aca="false">IF(Q404&gt;0,TRUNC(O404),0)</f>
        <v>0</v>
      </c>
      <c r="S404" s="5" t="n">
        <f aca="false">(M404*(D404-R404)+(Q404*R404))/D404</f>
        <v>800</v>
      </c>
      <c r="T404" s="6" t="n">
        <f aca="false">(Q404-M404)*R404*24/12.1/1000</f>
        <v>-0</v>
      </c>
    </row>
    <row r="405" customFormat="false" ht="14.35" hidden="false" customHeight="false" outlineLevel="0" collapsed="false">
      <c r="A405" s="4" t="n">
        <v>20058</v>
      </c>
      <c r="B405" s="15" t="n">
        <f aca="false">IF(C405&lt;=9,YEAR(A405),YEAR(A405)+1)</f>
        <v>1955</v>
      </c>
      <c r="C405" s="15" t="n">
        <f aca="false">MONTH(A405)</f>
        <v>11</v>
      </c>
      <c r="D405" s="15" t="n">
        <f aca="false">DAY(A405)</f>
        <v>30</v>
      </c>
      <c r="E405" s="15" t="n">
        <f aca="false">VLOOKUP(B405,WYT!$A$2:$L$97,12)</f>
        <v>1</v>
      </c>
      <c r="F405" s="15" t="n">
        <f aca="false">IF(C405=$W$5,1,0)</f>
        <v>0</v>
      </c>
      <c r="G405" s="15" t="n">
        <f aca="false">IF(C405=10,0,IF(F405=1,1,G404))</f>
        <v>0</v>
      </c>
      <c r="H405" s="5" t="n">
        <f aca="false">VA_base_426_data!B405</f>
        <v>2383.00824580595</v>
      </c>
      <c r="I405" s="5" t="n">
        <f aca="false">IF(AND(E405=1,OR(C405=4,C405=5)),25*12.1/24/D405*1000,0)</f>
        <v>0</v>
      </c>
      <c r="J405" s="5" t="n">
        <f aca="false">VA_base_426_data!C405</f>
        <v>1700</v>
      </c>
      <c r="K405" s="5" t="n">
        <f aca="false">H405+I405-J405</f>
        <v>683.008245805951</v>
      </c>
      <c r="L405" s="5" t="n">
        <f aca="false">MIN($W$7,J405+K405)</f>
        <v>2000</v>
      </c>
      <c r="M405" s="5" t="n">
        <f aca="false">VA_base_426_data!D405</f>
        <v>800</v>
      </c>
      <c r="N405" s="5" t="n">
        <f aca="false">IF(AND(C405=10,E405=1),$W$6,N404-P404)</f>
        <v>43</v>
      </c>
      <c r="O405" s="5" t="n">
        <f aca="false">IF(ABS(M405-L405)&gt;1,MIN(N405/((L405-M405)*24/12.1/1000),D405),D405)</f>
        <v>18.0659722222222</v>
      </c>
      <c r="P405" s="5" t="n">
        <f aca="false">MIN(IF(AND(G405,E405),(L405-M405)*24/12.1*O405/1000,0),N405)</f>
        <v>0</v>
      </c>
      <c r="Q405" s="5" t="n">
        <f aca="false">IF(P405&gt;0,P405/O405*12.1/24*1000+M405,0)</f>
        <v>0</v>
      </c>
      <c r="R405" s="0" t="n">
        <f aca="false">IF(Q405&gt;0,TRUNC(O405),0)</f>
        <v>0</v>
      </c>
      <c r="S405" s="5" t="n">
        <f aca="false">(M405*(D405-R405)+(Q405*R405))/D405</f>
        <v>800</v>
      </c>
      <c r="T405" s="6" t="n">
        <f aca="false">(Q405-M405)*R405*24/12.1/1000</f>
        <v>-0</v>
      </c>
    </row>
    <row r="406" customFormat="false" ht="14.35" hidden="false" customHeight="false" outlineLevel="0" collapsed="false">
      <c r="A406" s="4" t="n">
        <v>20089</v>
      </c>
      <c r="B406" s="15" t="n">
        <f aca="false">IF(C406&lt;=9,YEAR(A406),YEAR(A406)+1)</f>
        <v>1955</v>
      </c>
      <c r="C406" s="15" t="n">
        <f aca="false">MONTH(A406)</f>
        <v>12</v>
      </c>
      <c r="D406" s="15" t="n">
        <f aca="false">DAY(A406)</f>
        <v>31</v>
      </c>
      <c r="E406" s="15" t="n">
        <f aca="false">VLOOKUP(B406,WYT!$A$2:$L$97,12)</f>
        <v>1</v>
      </c>
      <c r="F406" s="15" t="n">
        <f aca="false">IF(C406=$W$5,1,0)</f>
        <v>0</v>
      </c>
      <c r="G406" s="15" t="n">
        <f aca="false">IF(C406=10,0,IF(F406=1,1,G405))</f>
        <v>0</v>
      </c>
      <c r="H406" s="5" t="n">
        <f aca="false">VA_base_426_data!B406</f>
        <v>1700</v>
      </c>
      <c r="I406" s="5" t="n">
        <f aca="false">IF(AND(E406=1,OR(C406=4,C406=5)),25*12.1/24/D406*1000,0)</f>
        <v>0</v>
      </c>
      <c r="J406" s="5" t="n">
        <f aca="false">VA_base_426_data!C406</f>
        <v>1700</v>
      </c>
      <c r="K406" s="5" t="n">
        <f aca="false">H406+I406-J406</f>
        <v>0</v>
      </c>
      <c r="L406" s="5" t="n">
        <f aca="false">MIN($W$7,J406+K406)</f>
        <v>1700</v>
      </c>
      <c r="M406" s="5" t="n">
        <f aca="false">VA_base_426_data!D406</f>
        <v>800</v>
      </c>
      <c r="N406" s="5" t="n">
        <f aca="false">IF(AND(C406=10,E406=1),$W$6,N405-P405)</f>
        <v>43</v>
      </c>
      <c r="O406" s="5" t="n">
        <f aca="false">IF(ABS(M406-L406)&gt;1,MIN(N406/((L406-M406)*24/12.1/1000),D406),D406)</f>
        <v>24.087962962963</v>
      </c>
      <c r="P406" s="5" t="n">
        <f aca="false">MIN(IF(AND(G406,E406),(L406-M406)*24/12.1*O406/1000,0),N406)</f>
        <v>0</v>
      </c>
      <c r="Q406" s="5" t="n">
        <f aca="false">IF(P406&gt;0,P406/O406*12.1/24*1000+M406,0)</f>
        <v>0</v>
      </c>
      <c r="R406" s="0" t="n">
        <f aca="false">IF(Q406&gt;0,TRUNC(O406),0)</f>
        <v>0</v>
      </c>
      <c r="S406" s="5" t="n">
        <f aca="false">(M406*(D406-R406)+(Q406*R406))/D406</f>
        <v>800</v>
      </c>
      <c r="T406" s="6" t="n">
        <f aca="false">(Q406-M406)*R406*24/12.1/1000</f>
        <v>-0</v>
      </c>
    </row>
    <row r="407" customFormat="false" ht="14.35" hidden="false" customHeight="false" outlineLevel="0" collapsed="false">
      <c r="A407" s="4" t="n">
        <v>20120</v>
      </c>
      <c r="B407" s="15" t="n">
        <f aca="false">IF(C407&lt;=9,YEAR(A407),YEAR(A407)+1)</f>
        <v>1955</v>
      </c>
      <c r="C407" s="15" t="n">
        <f aca="false">MONTH(A407)</f>
        <v>1</v>
      </c>
      <c r="D407" s="15" t="n">
        <f aca="false">DAY(A407)</f>
        <v>31</v>
      </c>
      <c r="E407" s="15" t="n">
        <f aca="false">VLOOKUP(B407,WYT!$A$2:$L$97,12)</f>
        <v>1</v>
      </c>
      <c r="F407" s="15" t="n">
        <f aca="false">IF(C407=$W$5,1,0)</f>
        <v>0</v>
      </c>
      <c r="G407" s="15" t="n">
        <f aca="false">IF(C407=10,0,IF(F407=1,1,G406))</f>
        <v>0</v>
      </c>
      <c r="H407" s="5" t="n">
        <f aca="false">VA_base_426_data!B407</f>
        <v>1700</v>
      </c>
      <c r="I407" s="5" t="n">
        <f aca="false">IF(AND(E407=1,OR(C407=4,C407=5)),25*12.1/24/D407*1000,0)</f>
        <v>0</v>
      </c>
      <c r="J407" s="5" t="n">
        <f aca="false">VA_base_426_data!C407</f>
        <v>1700</v>
      </c>
      <c r="K407" s="5" t="n">
        <f aca="false">H407+I407-J407</f>
        <v>0</v>
      </c>
      <c r="L407" s="5" t="n">
        <f aca="false">MIN($W$7,J407+K407)</f>
        <v>1700</v>
      </c>
      <c r="M407" s="5" t="n">
        <f aca="false">VA_base_426_data!D407</f>
        <v>800</v>
      </c>
      <c r="N407" s="5" t="n">
        <f aca="false">IF(AND(C407=10,E407=1),$W$6,N406-P406)</f>
        <v>43</v>
      </c>
      <c r="O407" s="5" t="n">
        <f aca="false">IF(ABS(M407-L407)&gt;1,MIN(N407/((L407-M407)*24/12.1/1000),D407),D407)</f>
        <v>24.087962962963</v>
      </c>
      <c r="P407" s="5" t="n">
        <f aca="false">MIN(IF(AND(G407,E407),(L407-M407)*24/12.1*O407/1000,0),N407)</f>
        <v>0</v>
      </c>
      <c r="Q407" s="5" t="n">
        <f aca="false">IF(P407&gt;0,P407/O407*12.1/24*1000+M407,0)</f>
        <v>0</v>
      </c>
      <c r="R407" s="0" t="n">
        <f aca="false">IF(Q407&gt;0,TRUNC(O407),0)</f>
        <v>0</v>
      </c>
      <c r="S407" s="5" t="n">
        <f aca="false">(M407*(D407-R407)+(Q407*R407))/D407</f>
        <v>800</v>
      </c>
      <c r="T407" s="6" t="n">
        <f aca="false">(Q407-M407)*R407*24/12.1/1000</f>
        <v>-0</v>
      </c>
    </row>
    <row r="408" customFormat="false" ht="14.35" hidden="false" customHeight="false" outlineLevel="0" collapsed="false">
      <c r="A408" s="4" t="n">
        <v>20148</v>
      </c>
      <c r="B408" s="15" t="n">
        <f aca="false">IF(C408&lt;=9,YEAR(A408),YEAR(A408)+1)</f>
        <v>1955</v>
      </c>
      <c r="C408" s="15" t="n">
        <f aca="false">MONTH(A408)</f>
        <v>2</v>
      </c>
      <c r="D408" s="15" t="n">
        <f aca="false">DAY(A408)</f>
        <v>28</v>
      </c>
      <c r="E408" s="15" t="n">
        <f aca="false">VLOOKUP(B408,WYT!$A$2:$L$97,12)</f>
        <v>1</v>
      </c>
      <c r="F408" s="15" t="n">
        <f aca="false">IF(C408=$W$5,1,0)</f>
        <v>1</v>
      </c>
      <c r="G408" s="15" t="n">
        <f aca="false">IF(C408=10,0,IF(F408=1,1,G407))</f>
        <v>1</v>
      </c>
      <c r="H408" s="5" t="n">
        <f aca="false">VA_base_426_data!B408</f>
        <v>1700</v>
      </c>
      <c r="I408" s="5" t="n">
        <f aca="false">IF(AND(E408=1,OR(C408=4,C408=5)),25*12.1/24/D408*1000,0)</f>
        <v>0</v>
      </c>
      <c r="J408" s="5" t="n">
        <f aca="false">VA_base_426_data!C408</f>
        <v>1700</v>
      </c>
      <c r="K408" s="5" t="n">
        <f aca="false">H408+I408-J408</f>
        <v>0</v>
      </c>
      <c r="L408" s="5" t="n">
        <f aca="false">MIN($W$7,J408+K408)</f>
        <v>1700</v>
      </c>
      <c r="M408" s="5" t="n">
        <f aca="false">VA_base_426_data!D408</f>
        <v>800</v>
      </c>
      <c r="N408" s="5" t="n">
        <f aca="false">IF(AND(C408=10,E408=1),$W$6,N407-P407)</f>
        <v>43</v>
      </c>
      <c r="O408" s="5" t="n">
        <f aca="false">IF(ABS(M408-L408)&gt;1,MIN(N408/((L408-M408)*24/12.1/1000),D408),D408)</f>
        <v>24.087962962963</v>
      </c>
      <c r="P408" s="5" t="n">
        <f aca="false">MIN(IF(AND(G408,E408),(L408-M408)*24/12.1*O408/1000,0),N408)</f>
        <v>43</v>
      </c>
      <c r="Q408" s="5" t="n">
        <f aca="false">IF(P408&gt;0,P408/O408*12.1/24*1000+M408,0)</f>
        <v>1700</v>
      </c>
      <c r="R408" s="0" t="n">
        <f aca="false">IF(Q408&gt;0,TRUNC(O408),0)</f>
        <v>24</v>
      </c>
      <c r="S408" s="5" t="n">
        <f aca="false">(M408*(D408-R408)+(Q408*R408))/D408</f>
        <v>1571.42857142857</v>
      </c>
      <c r="T408" s="6" t="n">
        <f aca="false">(Q408-M408)*R408*24/12.1/1000</f>
        <v>42.8429752066116</v>
      </c>
    </row>
    <row r="409" customFormat="false" ht="14.35" hidden="false" customHeight="false" outlineLevel="0" collapsed="false">
      <c r="A409" s="4" t="n">
        <v>20179</v>
      </c>
      <c r="B409" s="15" t="n">
        <f aca="false">IF(C409&lt;=9,YEAR(A409),YEAR(A409)+1)</f>
        <v>1955</v>
      </c>
      <c r="C409" s="15" t="n">
        <f aca="false">MONTH(A409)</f>
        <v>3</v>
      </c>
      <c r="D409" s="15" t="n">
        <f aca="false">DAY(A409)</f>
        <v>31</v>
      </c>
      <c r="E409" s="15" t="n">
        <f aca="false">VLOOKUP(B409,WYT!$A$2:$L$97,12)</f>
        <v>1</v>
      </c>
      <c r="F409" s="15" t="n">
        <f aca="false">IF(C409=$W$5,1,0)</f>
        <v>0</v>
      </c>
      <c r="G409" s="15" t="n">
        <f aca="false">IF(C409=10,0,IF(F409=1,1,G408))</f>
        <v>1</v>
      </c>
      <c r="H409" s="5" t="n">
        <f aca="false">VA_base_426_data!B409</f>
        <v>1700</v>
      </c>
      <c r="I409" s="5" t="n">
        <f aca="false">IF(AND(E409=1,OR(C409=4,C409=5)),25*12.1/24/D409*1000,0)</f>
        <v>0</v>
      </c>
      <c r="J409" s="5" t="n">
        <f aca="false">VA_base_426_data!C409</f>
        <v>1700</v>
      </c>
      <c r="K409" s="5" t="n">
        <f aca="false">H409+I409-J409</f>
        <v>0</v>
      </c>
      <c r="L409" s="5" t="n">
        <f aca="false">MIN($W$7,J409+K409)</f>
        <v>1700</v>
      </c>
      <c r="M409" s="5" t="n">
        <f aca="false">VA_base_426_data!D409</f>
        <v>800</v>
      </c>
      <c r="N409" s="5" t="n">
        <f aca="false">IF(AND(C409=10,E409=1),$W$6,N408-P408)</f>
        <v>0</v>
      </c>
      <c r="O409" s="5" t="n">
        <f aca="false">IF(ABS(M409-L409)&gt;1,MIN(N409/((L409-M409)*24/12.1/1000),D409),D409)</f>
        <v>0</v>
      </c>
      <c r="P409" s="5" t="n">
        <f aca="false">MIN(IF(AND(G409,E409),(L409-M409)*24/12.1*O409/1000,0),N409)</f>
        <v>0</v>
      </c>
      <c r="Q409" s="5" t="n">
        <f aca="false">IF(P409&gt;0,P409/O409*12.1/24*1000+M409,0)</f>
        <v>0</v>
      </c>
      <c r="R409" s="0" t="n">
        <f aca="false">IF(Q409&gt;0,TRUNC(O409),0)</f>
        <v>0</v>
      </c>
      <c r="S409" s="5" t="n">
        <f aca="false">(M409*(D409-R409)+(Q409*R409))/D409</f>
        <v>800</v>
      </c>
      <c r="T409" s="6" t="n">
        <f aca="false">(Q409-M409)*R409*24/12.1/1000</f>
        <v>-0</v>
      </c>
    </row>
    <row r="410" customFormat="false" ht="14.35" hidden="false" customHeight="false" outlineLevel="0" collapsed="false">
      <c r="A410" s="4" t="n">
        <v>20209</v>
      </c>
      <c r="B410" s="15" t="n">
        <f aca="false">IF(C410&lt;=9,YEAR(A410),YEAR(A410)+1)</f>
        <v>1955</v>
      </c>
      <c r="C410" s="15" t="n">
        <f aca="false">MONTH(A410)</f>
        <v>4</v>
      </c>
      <c r="D410" s="15" t="n">
        <f aca="false">DAY(A410)</f>
        <v>30</v>
      </c>
      <c r="E410" s="15" t="n">
        <f aca="false">VLOOKUP(B410,WYT!$A$2:$L$97,12)</f>
        <v>1</v>
      </c>
      <c r="F410" s="15" t="n">
        <f aca="false">IF(C410=$W$5,1,0)</f>
        <v>0</v>
      </c>
      <c r="G410" s="15" t="n">
        <f aca="false">IF(C410=10,0,IF(F410=1,1,G409))</f>
        <v>1</v>
      </c>
      <c r="H410" s="5" t="n">
        <f aca="false">VA_base_426_data!B410</f>
        <v>1695.37906473061</v>
      </c>
      <c r="I410" s="5" t="n">
        <f aca="false">IF(AND(E410=1,OR(C410=4,C410=5)),25*12.1/24/D410*1000,0)</f>
        <v>420.138888888889</v>
      </c>
      <c r="J410" s="5" t="n">
        <f aca="false">VA_base_426_data!C410</f>
        <v>1000</v>
      </c>
      <c r="K410" s="5" t="n">
        <f aca="false">H410+I410-J410</f>
        <v>1115.5179536195</v>
      </c>
      <c r="L410" s="5" t="n">
        <f aca="false">MIN($W$7,J410+K410)</f>
        <v>2000</v>
      </c>
      <c r="M410" s="5" t="n">
        <f aca="false">VA_base_426_data!D410</f>
        <v>700</v>
      </c>
      <c r="N410" s="5" t="n">
        <f aca="false">IF(AND(C410=10,E410=1),$W$6,N409-P409)</f>
        <v>0</v>
      </c>
      <c r="O410" s="5" t="n">
        <f aca="false">IF(ABS(M410-L410)&gt;1,MIN(N410/((L410-M410)*24/12.1/1000),D410),D410)</f>
        <v>0</v>
      </c>
      <c r="P410" s="5" t="n">
        <f aca="false">MIN(IF(AND(G410,E410),(L410-M410)*24/12.1*O410/1000,0),N410)</f>
        <v>0</v>
      </c>
      <c r="Q410" s="5" t="n">
        <f aca="false">IF(P410&gt;0,P410/O410*12.1/24*1000+M410,0)</f>
        <v>0</v>
      </c>
      <c r="R410" s="0" t="n">
        <f aca="false">IF(Q410&gt;0,TRUNC(O410),0)</f>
        <v>0</v>
      </c>
      <c r="S410" s="5" t="n">
        <f aca="false">(M410*(D410-R410)+(Q410*R410))/D410</f>
        <v>700</v>
      </c>
      <c r="T410" s="6" t="n">
        <f aca="false">(Q410-M410)*R410*24/12.1/1000</f>
        <v>-0</v>
      </c>
    </row>
    <row r="411" customFormat="false" ht="14.35" hidden="false" customHeight="false" outlineLevel="0" collapsed="false">
      <c r="A411" s="4" t="n">
        <v>20240</v>
      </c>
      <c r="B411" s="15" t="n">
        <f aca="false">IF(C411&lt;=9,YEAR(A411),YEAR(A411)+1)</f>
        <v>1955</v>
      </c>
      <c r="C411" s="15" t="n">
        <f aca="false">MONTH(A411)</f>
        <v>5</v>
      </c>
      <c r="D411" s="15" t="n">
        <f aca="false">DAY(A411)</f>
        <v>31</v>
      </c>
      <c r="E411" s="15" t="n">
        <f aca="false">VLOOKUP(B411,WYT!$A$2:$L$97,12)</f>
        <v>1</v>
      </c>
      <c r="F411" s="15" t="n">
        <f aca="false">IF(C411=$W$5,1,0)</f>
        <v>0</v>
      </c>
      <c r="G411" s="15" t="n">
        <f aca="false">IF(C411=10,0,IF(F411=1,1,G410))</f>
        <v>1</v>
      </c>
      <c r="H411" s="5" t="n">
        <f aca="false">VA_base_426_data!B411</f>
        <v>1404.75710303278</v>
      </c>
      <c r="I411" s="5" t="n">
        <f aca="false">IF(AND(E411=1,OR(C411=4,C411=5)),25*12.1/24/D411*1000,0)</f>
        <v>406.586021505376</v>
      </c>
      <c r="J411" s="5" t="n">
        <f aca="false">VA_base_426_data!C411</f>
        <v>1000</v>
      </c>
      <c r="K411" s="5" t="n">
        <f aca="false">H411+I411-J411</f>
        <v>811.343124538158</v>
      </c>
      <c r="L411" s="5" t="n">
        <f aca="false">MIN($W$7,J411+K411)</f>
        <v>1811.34312453816</v>
      </c>
      <c r="M411" s="5" t="n">
        <f aca="false">VA_base_426_data!D411</f>
        <v>700</v>
      </c>
      <c r="N411" s="5" t="n">
        <f aca="false">IF(AND(C411=10,E411=1),$W$6,N410-P410)</f>
        <v>0</v>
      </c>
      <c r="O411" s="5" t="n">
        <f aca="false">IF(ABS(M411-L411)&gt;1,MIN(N411/((L411-M411)*24/12.1/1000),D411),D411)</f>
        <v>0</v>
      </c>
      <c r="P411" s="5" t="n">
        <f aca="false">MIN(IF(AND(G411,E411),(L411-M411)*24/12.1*O411/1000,0),N411)</f>
        <v>0</v>
      </c>
      <c r="Q411" s="5" t="n">
        <f aca="false">IF(P411&gt;0,P411/O411*12.1/24*1000+M411,0)</f>
        <v>0</v>
      </c>
      <c r="R411" s="0" t="n">
        <f aca="false">IF(Q411&gt;0,TRUNC(O411),0)</f>
        <v>0</v>
      </c>
      <c r="S411" s="5" t="n">
        <f aca="false">(M411*(D411-R411)+(Q411*R411))/D411</f>
        <v>700</v>
      </c>
      <c r="T411" s="6" t="n">
        <f aca="false">(Q411-M411)*R411*24/12.1/1000</f>
        <v>-0</v>
      </c>
    </row>
    <row r="412" customFormat="false" ht="14.35" hidden="false" customHeight="false" outlineLevel="0" collapsed="false">
      <c r="A412" s="4" t="n">
        <v>20270</v>
      </c>
      <c r="B412" s="15" t="n">
        <f aca="false">IF(C412&lt;=9,YEAR(A412),YEAR(A412)+1)</f>
        <v>1955</v>
      </c>
      <c r="C412" s="15" t="n">
        <f aca="false">MONTH(A412)</f>
        <v>6</v>
      </c>
      <c r="D412" s="15" t="n">
        <f aca="false">DAY(A412)</f>
        <v>30</v>
      </c>
      <c r="E412" s="15" t="n">
        <f aca="false">VLOOKUP(B412,WYT!$A$2:$L$97,12)</f>
        <v>1</v>
      </c>
      <c r="F412" s="15" t="n">
        <f aca="false">IF(C412=$W$5,1,0)</f>
        <v>0</v>
      </c>
      <c r="G412" s="15" t="n">
        <f aca="false">IF(C412=10,0,IF(F412=1,1,G411))</f>
        <v>1</v>
      </c>
      <c r="H412" s="5" t="n">
        <f aca="false">VA_base_426_data!B412</f>
        <v>4403.35682264617</v>
      </c>
      <c r="I412" s="5" t="n">
        <f aca="false">IF(AND(E412=1,OR(C412=4,C412=5)),25*12.1/24/D412*1000,0)</f>
        <v>0</v>
      </c>
      <c r="J412" s="5" t="n">
        <f aca="false">VA_base_426_data!C412</f>
        <v>1000</v>
      </c>
      <c r="K412" s="5" t="n">
        <f aca="false">H412+I412-J412</f>
        <v>3403.35682264617</v>
      </c>
      <c r="L412" s="5" t="n">
        <f aca="false">MIN($W$7,J412+K412)</f>
        <v>2000</v>
      </c>
      <c r="M412" s="5" t="n">
        <f aca="false">VA_base_426_data!D412</f>
        <v>700</v>
      </c>
      <c r="N412" s="5" t="n">
        <f aca="false">IF(AND(C412=10,E412=1),$W$6,N411-P411)</f>
        <v>0</v>
      </c>
      <c r="O412" s="5" t="n">
        <f aca="false">IF(ABS(M412-L412)&gt;1,MIN(N412/((L412-M412)*24/12.1/1000),D412),D412)</f>
        <v>0</v>
      </c>
      <c r="P412" s="5" t="n">
        <f aca="false">MIN(IF(AND(G412,E412),(L412-M412)*24/12.1*O412/1000,0),N412)</f>
        <v>0</v>
      </c>
      <c r="Q412" s="5" t="n">
        <f aca="false">IF(P412&gt;0,P412/O412*12.1/24*1000+M412,0)</f>
        <v>0</v>
      </c>
      <c r="R412" s="0" t="n">
        <f aca="false">IF(Q412&gt;0,TRUNC(O412),0)</f>
        <v>0</v>
      </c>
      <c r="S412" s="5" t="n">
        <f aca="false">(M412*(D412-R412)+(Q412*R412))/D412</f>
        <v>700</v>
      </c>
      <c r="T412" s="6" t="n">
        <f aca="false">(Q412-M412)*R412*24/12.1/1000</f>
        <v>-0</v>
      </c>
    </row>
    <row r="413" customFormat="false" ht="14.35" hidden="false" customHeight="false" outlineLevel="0" collapsed="false">
      <c r="A413" s="4" t="n">
        <v>20301</v>
      </c>
      <c r="B413" s="15" t="n">
        <f aca="false">IF(C413&lt;=9,YEAR(A413),YEAR(A413)+1)</f>
        <v>1955</v>
      </c>
      <c r="C413" s="15" t="n">
        <f aca="false">MONTH(A413)</f>
        <v>7</v>
      </c>
      <c r="D413" s="15" t="n">
        <f aca="false">DAY(A413)</f>
        <v>31</v>
      </c>
      <c r="E413" s="15" t="n">
        <f aca="false">VLOOKUP(B413,WYT!$A$2:$L$97,12)</f>
        <v>1</v>
      </c>
      <c r="F413" s="15" t="n">
        <f aca="false">IF(C413=$W$5,1,0)</f>
        <v>0</v>
      </c>
      <c r="G413" s="15" t="n">
        <f aca="false">IF(C413=10,0,IF(F413=1,1,G412))</f>
        <v>1</v>
      </c>
      <c r="H413" s="5" t="n">
        <f aca="false">VA_base_426_data!B413</f>
        <v>4356.05150981527</v>
      </c>
      <c r="I413" s="5" t="n">
        <f aca="false">IF(AND(E413=1,OR(C413=4,C413=5)),25*12.1/24/D413*1000,0)</f>
        <v>0</v>
      </c>
      <c r="J413" s="5" t="n">
        <f aca="false">VA_base_426_data!C413</f>
        <v>1000</v>
      </c>
      <c r="K413" s="5" t="n">
        <f aca="false">H413+I413-J413</f>
        <v>3356.05150981527</v>
      </c>
      <c r="L413" s="5" t="n">
        <f aca="false">MIN($W$7,J413+K413)</f>
        <v>2000</v>
      </c>
      <c r="M413" s="5" t="n">
        <f aca="false">VA_base_426_data!D413</f>
        <v>700</v>
      </c>
      <c r="N413" s="5" t="n">
        <f aca="false">IF(AND(C413=10,E413=1),$W$6,N412-P412)</f>
        <v>0</v>
      </c>
      <c r="O413" s="5" t="n">
        <f aca="false">IF(ABS(M413-L413)&gt;1,MIN(N413/((L413-M413)*24/12.1/1000),D413),D413)</f>
        <v>0</v>
      </c>
      <c r="P413" s="5" t="n">
        <f aca="false">MIN(IF(AND(G413,E413),(L413-M413)*24/12.1*O413/1000,0),N413)</f>
        <v>0</v>
      </c>
      <c r="Q413" s="5" t="n">
        <f aca="false">IF(P413&gt;0,P413/O413*12.1/24*1000+M413,0)</f>
        <v>0</v>
      </c>
      <c r="R413" s="0" t="n">
        <f aca="false">IF(Q413&gt;0,TRUNC(O413),0)</f>
        <v>0</v>
      </c>
      <c r="S413" s="5" t="n">
        <f aca="false">(M413*(D413-R413)+(Q413*R413))/D413</f>
        <v>700</v>
      </c>
      <c r="T413" s="6" t="n">
        <f aca="false">(Q413-M413)*R413*24/12.1/1000</f>
        <v>-0</v>
      </c>
    </row>
    <row r="414" customFormat="false" ht="14.35" hidden="false" customHeight="false" outlineLevel="0" collapsed="false">
      <c r="A414" s="4" t="n">
        <v>20332</v>
      </c>
      <c r="B414" s="15" t="n">
        <f aca="false">IF(C414&lt;=9,YEAR(A414),YEAR(A414)+1)</f>
        <v>1955</v>
      </c>
      <c r="C414" s="15" t="n">
        <f aca="false">MONTH(A414)</f>
        <v>8</v>
      </c>
      <c r="D414" s="15" t="n">
        <f aca="false">DAY(A414)</f>
        <v>31</v>
      </c>
      <c r="E414" s="15" t="n">
        <f aca="false">VLOOKUP(B414,WYT!$A$2:$L$97,12)</f>
        <v>1</v>
      </c>
      <c r="F414" s="15" t="n">
        <f aca="false">IF(C414=$W$5,1,0)</f>
        <v>0</v>
      </c>
      <c r="G414" s="15" t="n">
        <f aca="false">IF(C414=10,0,IF(F414=1,1,G413))</f>
        <v>1</v>
      </c>
      <c r="H414" s="5" t="n">
        <f aca="false">VA_base_426_data!B414</f>
        <v>1809.10750016327</v>
      </c>
      <c r="I414" s="5" t="n">
        <f aca="false">IF(AND(E414=1,OR(C414=4,C414=5)),25*12.1/24/D414*1000,0)</f>
        <v>0</v>
      </c>
      <c r="J414" s="5" t="n">
        <f aca="false">VA_base_426_data!C414</f>
        <v>1000</v>
      </c>
      <c r="K414" s="5" t="n">
        <f aca="false">H414+I414-J414</f>
        <v>809.107500163266</v>
      </c>
      <c r="L414" s="5" t="n">
        <f aca="false">MIN($W$7,J414+K414)</f>
        <v>1809.10750016327</v>
      </c>
      <c r="M414" s="5" t="n">
        <f aca="false">VA_base_426_data!D414</f>
        <v>700</v>
      </c>
      <c r="N414" s="5" t="n">
        <f aca="false">IF(AND(C414=10,E414=1),$W$6,N413-P413)</f>
        <v>0</v>
      </c>
      <c r="O414" s="5" t="n">
        <f aca="false">IF(ABS(M414-L414)&gt;1,MIN(N414/((L414-M414)*24/12.1/1000),D414),D414)</f>
        <v>0</v>
      </c>
      <c r="P414" s="5" t="n">
        <f aca="false">MIN(IF(AND(G414,E414),(L414-M414)*24/12.1*O414/1000,0),N414)</f>
        <v>0</v>
      </c>
      <c r="Q414" s="5" t="n">
        <f aca="false">IF(P414&gt;0,P414/O414*12.1/24*1000+M414,0)</f>
        <v>0</v>
      </c>
      <c r="R414" s="0" t="n">
        <f aca="false">IF(Q414&gt;0,TRUNC(O414),0)</f>
        <v>0</v>
      </c>
      <c r="S414" s="5" t="n">
        <f aca="false">(M414*(D414-R414)+(Q414*R414))/D414</f>
        <v>700</v>
      </c>
      <c r="T414" s="6" t="n">
        <f aca="false">(Q414-M414)*R414*24/12.1/1000</f>
        <v>-0</v>
      </c>
    </row>
    <row r="415" customFormat="false" ht="14.35" hidden="false" customHeight="false" outlineLevel="0" collapsed="false">
      <c r="A415" s="4" t="n">
        <v>20362</v>
      </c>
      <c r="B415" s="15" t="n">
        <f aca="false">IF(C415&lt;=9,YEAR(A415),YEAR(A415)+1)</f>
        <v>1955</v>
      </c>
      <c r="C415" s="15" t="n">
        <f aca="false">MONTH(A415)</f>
        <v>9</v>
      </c>
      <c r="D415" s="15" t="n">
        <f aca="false">DAY(A415)</f>
        <v>30</v>
      </c>
      <c r="E415" s="15" t="n">
        <f aca="false">VLOOKUP(B415,WYT!$A$2:$L$97,12)</f>
        <v>1</v>
      </c>
      <c r="F415" s="15" t="n">
        <f aca="false">IF(C415=$W$5,1,0)</f>
        <v>0</v>
      </c>
      <c r="G415" s="15" t="n">
        <f aca="false">IF(C415=10,0,IF(F415=1,1,G414))</f>
        <v>1</v>
      </c>
      <c r="H415" s="5" t="n">
        <f aca="false">VA_base_426_data!B415</f>
        <v>1000</v>
      </c>
      <c r="I415" s="5" t="n">
        <f aca="false">IF(AND(E415=1,OR(C415=4,C415=5)),25*12.1/24/D415*1000,0)</f>
        <v>0</v>
      </c>
      <c r="J415" s="5" t="n">
        <f aca="false">VA_base_426_data!C415</f>
        <v>1000</v>
      </c>
      <c r="K415" s="5" t="n">
        <f aca="false">H415+I415-J415</f>
        <v>0</v>
      </c>
      <c r="L415" s="5" t="n">
        <f aca="false">MIN($W$7,J415+K415)</f>
        <v>1000</v>
      </c>
      <c r="M415" s="5" t="n">
        <f aca="false">VA_base_426_data!D415</f>
        <v>773.3333333</v>
      </c>
      <c r="N415" s="5" t="n">
        <f aca="false">IF(AND(C415=10,E415=1),$W$6,N414-P414)</f>
        <v>0</v>
      </c>
      <c r="O415" s="5" t="n">
        <f aca="false">IF(ABS(M415-L415)&gt;1,MIN(N415/((L415-M415)*24/12.1/1000),D415),D415)</f>
        <v>0</v>
      </c>
      <c r="P415" s="5" t="n">
        <f aca="false">MIN(IF(AND(G415,E415),(L415-M415)*24/12.1*O415/1000,0),N415)</f>
        <v>0</v>
      </c>
      <c r="Q415" s="5" t="n">
        <f aca="false">IF(P415&gt;0,P415/O415*12.1/24*1000+M415,0)</f>
        <v>0</v>
      </c>
      <c r="R415" s="0" t="n">
        <f aca="false">IF(Q415&gt;0,TRUNC(O415),0)</f>
        <v>0</v>
      </c>
      <c r="S415" s="5" t="n">
        <f aca="false">(M415*(D415-R415)+(Q415*R415))/D415</f>
        <v>773.3333333</v>
      </c>
      <c r="T415" s="6" t="n">
        <f aca="false">(Q415-M415)*R415*24/12.1/1000</f>
        <v>-0</v>
      </c>
    </row>
    <row r="416" customFormat="false" ht="14.35" hidden="false" customHeight="false" outlineLevel="0" collapsed="false">
      <c r="A416" s="4" t="n">
        <v>20393</v>
      </c>
      <c r="B416" s="15" t="n">
        <f aca="false">IF(C416&lt;=9,YEAR(A416),YEAR(A416)+1)</f>
        <v>1956</v>
      </c>
      <c r="C416" s="15" t="n">
        <f aca="false">MONTH(A416)</f>
        <v>10</v>
      </c>
      <c r="D416" s="15" t="n">
        <f aca="false">DAY(A416)</f>
        <v>31</v>
      </c>
      <c r="E416" s="15" t="n">
        <f aca="false">VLOOKUP(B416,WYT!$A$2:$L$97,12)</f>
        <v>0</v>
      </c>
      <c r="F416" s="15" t="n">
        <f aca="false">IF(C416=$W$5,1,0)</f>
        <v>0</v>
      </c>
      <c r="G416" s="15" t="n">
        <f aca="false">IF(C416=10,0,IF(F416=1,1,G415))</f>
        <v>0</v>
      </c>
      <c r="H416" s="5" t="n">
        <f aca="false">VA_base_426_data!B416</f>
        <v>1700</v>
      </c>
      <c r="I416" s="5" t="n">
        <f aca="false">IF(AND(E416=1,OR(C416=4,C416=5)),25*12.1/24/D416*1000,0)</f>
        <v>0</v>
      </c>
      <c r="J416" s="5" t="n">
        <f aca="false">VA_base_426_data!C416</f>
        <v>1700</v>
      </c>
      <c r="K416" s="5" t="n">
        <f aca="false">H416+I416-J416</f>
        <v>0</v>
      </c>
      <c r="L416" s="5" t="n">
        <f aca="false">MIN($W$7,J416+K416)</f>
        <v>1700</v>
      </c>
      <c r="M416" s="5" t="n">
        <f aca="false">VA_base_426_data!D416</f>
        <v>800</v>
      </c>
      <c r="N416" s="5" t="n">
        <f aca="false">IF(AND(C416=10,E416=1),$W$6,N415-P415)</f>
        <v>0</v>
      </c>
      <c r="O416" s="5" t="n">
        <f aca="false">IF(ABS(M416-L416)&gt;1,MIN(N416/((L416-M416)*24/12.1/1000),D416),D416)</f>
        <v>0</v>
      </c>
      <c r="P416" s="5" t="n">
        <f aca="false">MIN(IF(AND(G416,E416),(L416-M416)*24/12.1*O416/1000,0),N416)</f>
        <v>0</v>
      </c>
      <c r="Q416" s="5" t="n">
        <f aca="false">IF(P416&gt;0,P416/O416*12.1/24*1000+M416,0)</f>
        <v>0</v>
      </c>
      <c r="R416" s="0" t="n">
        <f aca="false">IF(Q416&gt;0,TRUNC(O416),0)</f>
        <v>0</v>
      </c>
      <c r="S416" s="5" t="n">
        <f aca="false">(M416*(D416-R416)+(Q416*R416))/D416</f>
        <v>800</v>
      </c>
      <c r="T416" s="6" t="n">
        <f aca="false">(Q416-M416)*R416*24/12.1/1000</f>
        <v>-0</v>
      </c>
    </row>
    <row r="417" customFormat="false" ht="14.35" hidden="false" customHeight="false" outlineLevel="0" collapsed="false">
      <c r="A417" s="4" t="n">
        <v>20423</v>
      </c>
      <c r="B417" s="15" t="n">
        <f aca="false">IF(C417&lt;=9,YEAR(A417),YEAR(A417)+1)</f>
        <v>1956</v>
      </c>
      <c r="C417" s="15" t="n">
        <f aca="false">MONTH(A417)</f>
        <v>11</v>
      </c>
      <c r="D417" s="15" t="n">
        <f aca="false">DAY(A417)</f>
        <v>30</v>
      </c>
      <c r="E417" s="15" t="n">
        <f aca="false">VLOOKUP(B417,WYT!$A$2:$L$97,12)</f>
        <v>0</v>
      </c>
      <c r="F417" s="15" t="n">
        <f aca="false">IF(C417=$W$5,1,0)</f>
        <v>0</v>
      </c>
      <c r="G417" s="15" t="n">
        <f aca="false">IF(C417=10,0,IF(F417=1,1,G416))</f>
        <v>0</v>
      </c>
      <c r="H417" s="5" t="n">
        <f aca="false">VA_base_426_data!B417</f>
        <v>1700</v>
      </c>
      <c r="I417" s="5" t="n">
        <f aca="false">IF(AND(E417=1,OR(C417=4,C417=5)),25*12.1/24/D417*1000,0)</f>
        <v>0</v>
      </c>
      <c r="J417" s="5" t="n">
        <f aca="false">VA_base_426_data!C417</f>
        <v>1700</v>
      </c>
      <c r="K417" s="5" t="n">
        <f aca="false">H417+I417-J417</f>
        <v>0</v>
      </c>
      <c r="L417" s="5" t="n">
        <f aca="false">MIN($W$7,J417+K417)</f>
        <v>1700</v>
      </c>
      <c r="M417" s="5" t="n">
        <f aca="false">VA_base_426_data!D417</f>
        <v>800</v>
      </c>
      <c r="N417" s="5" t="n">
        <f aca="false">IF(AND(C417=10,E417=1),$W$6,N416-P416)</f>
        <v>0</v>
      </c>
      <c r="O417" s="5" t="n">
        <f aca="false">IF(ABS(M417-L417)&gt;1,MIN(N417/((L417-M417)*24/12.1/1000),D417),D417)</f>
        <v>0</v>
      </c>
      <c r="P417" s="5" t="n">
        <f aca="false">MIN(IF(AND(G417,E417),(L417-M417)*24/12.1*O417/1000,0),N417)</f>
        <v>0</v>
      </c>
      <c r="Q417" s="5" t="n">
        <f aca="false">IF(P417&gt;0,P417/O417*12.1/24*1000+M417,0)</f>
        <v>0</v>
      </c>
      <c r="R417" s="0" t="n">
        <f aca="false">IF(Q417&gt;0,TRUNC(O417),0)</f>
        <v>0</v>
      </c>
      <c r="S417" s="5" t="n">
        <f aca="false">(M417*(D417-R417)+(Q417*R417))/D417</f>
        <v>800</v>
      </c>
      <c r="T417" s="6" t="n">
        <f aca="false">(Q417-M417)*R417*24/12.1/1000</f>
        <v>-0</v>
      </c>
    </row>
    <row r="418" customFormat="false" ht="14.35" hidden="false" customHeight="false" outlineLevel="0" collapsed="false">
      <c r="A418" s="4" t="n">
        <v>20454</v>
      </c>
      <c r="B418" s="15" t="n">
        <f aca="false">IF(C418&lt;=9,YEAR(A418),YEAR(A418)+1)</f>
        <v>1956</v>
      </c>
      <c r="C418" s="15" t="n">
        <f aca="false">MONTH(A418)</f>
        <v>12</v>
      </c>
      <c r="D418" s="15" t="n">
        <f aca="false">DAY(A418)</f>
        <v>31</v>
      </c>
      <c r="E418" s="15" t="n">
        <f aca="false">VLOOKUP(B418,WYT!$A$2:$L$97,12)</f>
        <v>0</v>
      </c>
      <c r="F418" s="15" t="n">
        <f aca="false">IF(C418=$W$5,1,0)</f>
        <v>0</v>
      </c>
      <c r="G418" s="15" t="n">
        <f aca="false">IF(C418=10,0,IF(F418=1,1,G417))</f>
        <v>0</v>
      </c>
      <c r="H418" s="5" t="n">
        <f aca="false">VA_base_426_data!B418</f>
        <v>1700</v>
      </c>
      <c r="I418" s="5" t="n">
        <f aca="false">IF(AND(E418=1,OR(C418=4,C418=5)),25*12.1/24/D418*1000,0)</f>
        <v>0</v>
      </c>
      <c r="J418" s="5" t="n">
        <f aca="false">VA_base_426_data!C418</f>
        <v>1700</v>
      </c>
      <c r="K418" s="5" t="n">
        <f aca="false">H418+I418-J418</f>
        <v>0</v>
      </c>
      <c r="L418" s="5" t="n">
        <f aca="false">MIN($W$7,J418+K418)</f>
        <v>1700</v>
      </c>
      <c r="M418" s="5" t="n">
        <f aca="false">VA_base_426_data!D418</f>
        <v>800</v>
      </c>
      <c r="N418" s="5" t="n">
        <f aca="false">IF(AND(C418=10,E418=1),$W$6,N417-P417)</f>
        <v>0</v>
      </c>
      <c r="O418" s="5" t="n">
        <f aca="false">IF(ABS(M418-L418)&gt;1,MIN(N418/((L418-M418)*24/12.1/1000),D418),D418)</f>
        <v>0</v>
      </c>
      <c r="P418" s="5" t="n">
        <f aca="false">MIN(IF(AND(G418,E418),(L418-M418)*24/12.1*O418/1000,0),N418)</f>
        <v>0</v>
      </c>
      <c r="Q418" s="5" t="n">
        <f aca="false">IF(P418&gt;0,P418/O418*12.1/24*1000+M418,0)</f>
        <v>0</v>
      </c>
      <c r="R418" s="0" t="n">
        <f aca="false">IF(Q418&gt;0,TRUNC(O418),0)</f>
        <v>0</v>
      </c>
      <c r="S418" s="5" t="n">
        <f aca="false">(M418*(D418-R418)+(Q418*R418))/D418</f>
        <v>800</v>
      </c>
      <c r="T418" s="6" t="n">
        <f aca="false">(Q418-M418)*R418*24/12.1/1000</f>
        <v>-0</v>
      </c>
    </row>
    <row r="419" customFormat="false" ht="14.35" hidden="false" customHeight="false" outlineLevel="0" collapsed="false">
      <c r="A419" s="4" t="n">
        <v>20485</v>
      </c>
      <c r="B419" s="15" t="n">
        <f aca="false">IF(C419&lt;=9,YEAR(A419),YEAR(A419)+1)</f>
        <v>1956</v>
      </c>
      <c r="C419" s="15" t="n">
        <f aca="false">MONTH(A419)</f>
        <v>1</v>
      </c>
      <c r="D419" s="15" t="n">
        <f aca="false">DAY(A419)</f>
        <v>31</v>
      </c>
      <c r="E419" s="15" t="n">
        <f aca="false">VLOOKUP(B419,WYT!$A$2:$L$97,12)</f>
        <v>0</v>
      </c>
      <c r="F419" s="15" t="n">
        <f aca="false">IF(C419=$W$5,1,0)</f>
        <v>0</v>
      </c>
      <c r="G419" s="15" t="n">
        <f aca="false">IF(C419=10,0,IF(F419=1,1,G418))</f>
        <v>0</v>
      </c>
      <c r="H419" s="5" t="n">
        <f aca="false">VA_base_426_data!B419</f>
        <v>16028.5971192184</v>
      </c>
      <c r="I419" s="5" t="n">
        <f aca="false">IF(AND(E419=1,OR(C419=4,C419=5)),25*12.1/24/D419*1000,0)</f>
        <v>0</v>
      </c>
      <c r="J419" s="5" t="n">
        <f aca="false">VA_base_426_data!C419</f>
        <v>1700</v>
      </c>
      <c r="K419" s="5" t="n">
        <f aca="false">H419+I419-J419</f>
        <v>14328.5971192184</v>
      </c>
      <c r="L419" s="5" t="n">
        <f aca="false">MIN($W$7,J419+K419)</f>
        <v>2000</v>
      </c>
      <c r="M419" s="5" t="n">
        <f aca="false">VA_base_426_data!D419</f>
        <v>800</v>
      </c>
      <c r="N419" s="5" t="n">
        <f aca="false">IF(AND(C419=10,E419=1),$W$6,N418-P418)</f>
        <v>0</v>
      </c>
      <c r="O419" s="5" t="n">
        <f aca="false">IF(ABS(M419-L419)&gt;1,MIN(N419/((L419-M419)*24/12.1/1000),D419),D419)</f>
        <v>0</v>
      </c>
      <c r="P419" s="5" t="n">
        <f aca="false">MIN(IF(AND(G419,E419),(L419-M419)*24/12.1*O419/1000,0),N419)</f>
        <v>0</v>
      </c>
      <c r="Q419" s="5" t="n">
        <f aca="false">IF(P419&gt;0,P419/O419*12.1/24*1000+M419,0)</f>
        <v>0</v>
      </c>
      <c r="R419" s="0" t="n">
        <f aca="false">IF(Q419&gt;0,TRUNC(O419),0)</f>
        <v>0</v>
      </c>
      <c r="S419" s="5" t="n">
        <f aca="false">(M419*(D419-R419)+(Q419*R419))/D419</f>
        <v>800</v>
      </c>
      <c r="T419" s="6" t="n">
        <f aca="false">(Q419-M419)*R419*24/12.1/1000</f>
        <v>-0</v>
      </c>
    </row>
    <row r="420" customFormat="false" ht="14.35" hidden="false" customHeight="false" outlineLevel="0" collapsed="false">
      <c r="A420" s="4" t="n">
        <v>20514</v>
      </c>
      <c r="B420" s="15" t="n">
        <f aca="false">IF(C420&lt;=9,YEAR(A420),YEAR(A420)+1)</f>
        <v>1956</v>
      </c>
      <c r="C420" s="15" t="n">
        <f aca="false">MONTH(A420)</f>
        <v>2</v>
      </c>
      <c r="D420" s="15" t="n">
        <f aca="false">DAY(A420)</f>
        <v>29</v>
      </c>
      <c r="E420" s="15" t="n">
        <f aca="false">VLOOKUP(B420,WYT!$A$2:$L$97,12)</f>
        <v>0</v>
      </c>
      <c r="F420" s="15" t="n">
        <f aca="false">IF(C420=$W$5,1,0)</f>
        <v>1</v>
      </c>
      <c r="G420" s="15" t="n">
        <f aca="false">IF(C420=10,0,IF(F420=1,1,G419))</f>
        <v>1</v>
      </c>
      <c r="H420" s="5" t="n">
        <f aca="false">VA_base_426_data!B420</f>
        <v>11341.567931953</v>
      </c>
      <c r="I420" s="5" t="n">
        <f aca="false">IF(AND(E420=1,OR(C420=4,C420=5)),25*12.1/24/D420*1000,0)</f>
        <v>0</v>
      </c>
      <c r="J420" s="5" t="n">
        <f aca="false">VA_base_426_data!C420</f>
        <v>1700</v>
      </c>
      <c r="K420" s="5" t="n">
        <f aca="false">H420+I420-J420</f>
        <v>9641.56793195305</v>
      </c>
      <c r="L420" s="5" t="n">
        <f aca="false">MIN($W$7,J420+K420)</f>
        <v>2000</v>
      </c>
      <c r="M420" s="5" t="n">
        <f aca="false">VA_base_426_data!D420</f>
        <v>800</v>
      </c>
      <c r="N420" s="5" t="n">
        <f aca="false">IF(AND(C420=10,E420=1),$W$6,N419-P419)</f>
        <v>0</v>
      </c>
      <c r="O420" s="5" t="n">
        <f aca="false">IF(ABS(M420-L420)&gt;1,MIN(N420/((L420-M420)*24/12.1/1000),D420),D420)</f>
        <v>0</v>
      </c>
      <c r="P420" s="5" t="n">
        <f aca="false">MIN(IF(AND(G420,E420),(L420-M420)*24/12.1*O420/1000,0),N420)</f>
        <v>0</v>
      </c>
      <c r="Q420" s="5" t="n">
        <f aca="false">IF(P420&gt;0,P420/O420*12.1/24*1000+M420,0)</f>
        <v>0</v>
      </c>
      <c r="R420" s="0" t="n">
        <f aca="false">IF(Q420&gt;0,TRUNC(O420),0)</f>
        <v>0</v>
      </c>
      <c r="S420" s="5" t="n">
        <f aca="false">(M420*(D420-R420)+(Q420*R420))/D420</f>
        <v>800</v>
      </c>
      <c r="T420" s="6" t="n">
        <f aca="false">(Q420-M420)*R420*24/12.1/1000</f>
        <v>-0</v>
      </c>
    </row>
    <row r="421" customFormat="false" ht="14.35" hidden="false" customHeight="false" outlineLevel="0" collapsed="false">
      <c r="A421" s="4" t="n">
        <v>20545</v>
      </c>
      <c r="B421" s="15" t="n">
        <f aca="false">IF(C421&lt;=9,YEAR(A421),YEAR(A421)+1)</f>
        <v>1956</v>
      </c>
      <c r="C421" s="15" t="n">
        <f aca="false">MONTH(A421)</f>
        <v>3</v>
      </c>
      <c r="D421" s="15" t="n">
        <f aca="false">DAY(A421)</f>
        <v>31</v>
      </c>
      <c r="E421" s="15" t="n">
        <f aca="false">VLOOKUP(B421,WYT!$A$2:$L$97,12)</f>
        <v>0</v>
      </c>
      <c r="F421" s="15" t="n">
        <f aca="false">IF(C421=$W$5,1,0)</f>
        <v>0</v>
      </c>
      <c r="G421" s="15" t="n">
        <f aca="false">IF(C421=10,0,IF(F421=1,1,G420))</f>
        <v>1</v>
      </c>
      <c r="H421" s="5" t="n">
        <f aca="false">VA_base_426_data!B421</f>
        <v>6410.00690670392</v>
      </c>
      <c r="I421" s="5" t="n">
        <f aca="false">IF(AND(E421=1,OR(C421=4,C421=5)),25*12.1/24/D421*1000,0)</f>
        <v>0</v>
      </c>
      <c r="J421" s="5" t="n">
        <f aca="false">VA_base_426_data!C421</f>
        <v>1700</v>
      </c>
      <c r="K421" s="5" t="n">
        <f aca="false">H421+I421-J421</f>
        <v>4710.00690670392</v>
      </c>
      <c r="L421" s="5" t="n">
        <f aca="false">MIN($W$7,J421+K421)</f>
        <v>2000</v>
      </c>
      <c r="M421" s="5" t="n">
        <f aca="false">VA_base_426_data!D421</f>
        <v>800</v>
      </c>
      <c r="N421" s="5" t="n">
        <f aca="false">IF(AND(C421=10,E421=1),$W$6,N420-P420)</f>
        <v>0</v>
      </c>
      <c r="O421" s="5" t="n">
        <f aca="false">IF(ABS(M421-L421)&gt;1,MIN(N421/((L421-M421)*24/12.1/1000),D421),D421)</f>
        <v>0</v>
      </c>
      <c r="P421" s="5" t="n">
        <f aca="false">MIN(IF(AND(G421,E421),(L421-M421)*24/12.1*O421/1000,0),N421)</f>
        <v>0</v>
      </c>
      <c r="Q421" s="5" t="n">
        <f aca="false">IF(P421&gt;0,P421/O421*12.1/24*1000+M421,0)</f>
        <v>0</v>
      </c>
      <c r="R421" s="0" t="n">
        <f aca="false">IF(Q421&gt;0,TRUNC(O421),0)</f>
        <v>0</v>
      </c>
      <c r="S421" s="5" t="n">
        <f aca="false">(M421*(D421-R421)+(Q421*R421))/D421</f>
        <v>800</v>
      </c>
      <c r="T421" s="6" t="n">
        <f aca="false">(Q421-M421)*R421*24/12.1/1000</f>
        <v>-0</v>
      </c>
    </row>
    <row r="422" customFormat="false" ht="14.35" hidden="false" customHeight="false" outlineLevel="0" collapsed="false">
      <c r="A422" s="4" t="n">
        <v>20575</v>
      </c>
      <c r="B422" s="15" t="n">
        <f aca="false">IF(C422&lt;=9,YEAR(A422),YEAR(A422)+1)</f>
        <v>1956</v>
      </c>
      <c r="C422" s="15" t="n">
        <f aca="false">MONTH(A422)</f>
        <v>4</v>
      </c>
      <c r="D422" s="15" t="n">
        <f aca="false">DAY(A422)</f>
        <v>30</v>
      </c>
      <c r="E422" s="15" t="n">
        <f aca="false">VLOOKUP(B422,WYT!$A$2:$L$97,12)</f>
        <v>0</v>
      </c>
      <c r="F422" s="15" t="n">
        <f aca="false">IF(C422=$W$5,1,0)</f>
        <v>0</v>
      </c>
      <c r="G422" s="15" t="n">
        <f aca="false">IF(C422=10,0,IF(F422=1,1,G421))</f>
        <v>1</v>
      </c>
      <c r="H422" s="5" t="n">
        <f aca="false">VA_base_426_data!B422</f>
        <v>3236.99001617919</v>
      </c>
      <c r="I422" s="5" t="n">
        <f aca="false">IF(AND(E422=1,OR(C422=4,C422=5)),25*12.1/24/D422*1000,0)</f>
        <v>0</v>
      </c>
      <c r="J422" s="5" t="n">
        <f aca="false">VA_base_426_data!C422</f>
        <v>1000</v>
      </c>
      <c r="K422" s="5" t="n">
        <f aca="false">H422+I422-J422</f>
        <v>2236.99001617919</v>
      </c>
      <c r="L422" s="5" t="n">
        <f aca="false">MIN($W$7,J422+K422)</f>
        <v>2000</v>
      </c>
      <c r="M422" s="5" t="n">
        <f aca="false">VA_base_426_data!D422</f>
        <v>700</v>
      </c>
      <c r="N422" s="5" t="n">
        <f aca="false">IF(AND(C422=10,E422=1),$W$6,N421-P421)</f>
        <v>0</v>
      </c>
      <c r="O422" s="5" t="n">
        <f aca="false">IF(ABS(M422-L422)&gt;1,MIN(N422/((L422-M422)*24/12.1/1000),D422),D422)</f>
        <v>0</v>
      </c>
      <c r="P422" s="5" t="n">
        <f aca="false">MIN(IF(AND(G422,E422),(L422-M422)*24/12.1*O422/1000,0),N422)</f>
        <v>0</v>
      </c>
      <c r="Q422" s="5" t="n">
        <f aca="false">IF(P422&gt;0,P422/O422*12.1/24*1000+M422,0)</f>
        <v>0</v>
      </c>
      <c r="R422" s="0" t="n">
        <f aca="false">IF(Q422&gt;0,TRUNC(O422),0)</f>
        <v>0</v>
      </c>
      <c r="S422" s="5" t="n">
        <f aca="false">(M422*(D422-R422)+(Q422*R422))/D422</f>
        <v>700</v>
      </c>
      <c r="T422" s="6" t="n">
        <f aca="false">(Q422-M422)*R422*24/12.1/1000</f>
        <v>-0</v>
      </c>
    </row>
    <row r="423" customFormat="false" ht="14.35" hidden="false" customHeight="false" outlineLevel="0" collapsed="false">
      <c r="A423" s="4" t="n">
        <v>20606</v>
      </c>
      <c r="B423" s="15" t="n">
        <f aca="false">IF(C423&lt;=9,YEAR(A423),YEAR(A423)+1)</f>
        <v>1956</v>
      </c>
      <c r="C423" s="15" t="n">
        <f aca="false">MONTH(A423)</f>
        <v>5</v>
      </c>
      <c r="D423" s="15" t="n">
        <f aca="false">DAY(A423)</f>
        <v>31</v>
      </c>
      <c r="E423" s="15" t="n">
        <f aca="false">VLOOKUP(B423,WYT!$A$2:$L$97,12)</f>
        <v>0</v>
      </c>
      <c r="F423" s="15" t="n">
        <f aca="false">IF(C423=$W$5,1,0)</f>
        <v>0</v>
      </c>
      <c r="G423" s="15" t="n">
        <f aca="false">IF(C423=10,0,IF(F423=1,1,G422))</f>
        <v>1</v>
      </c>
      <c r="H423" s="5" t="n">
        <f aca="false">VA_base_426_data!B423</f>
        <v>10828.1952935464</v>
      </c>
      <c r="I423" s="5" t="n">
        <f aca="false">IF(AND(E423=1,OR(C423=4,C423=5)),25*12.1/24/D423*1000,0)</f>
        <v>0</v>
      </c>
      <c r="J423" s="5" t="n">
        <f aca="false">VA_base_426_data!C423</f>
        <v>1000</v>
      </c>
      <c r="K423" s="5" t="n">
        <f aca="false">H423+I423-J423</f>
        <v>9828.19529354635</v>
      </c>
      <c r="L423" s="5" t="n">
        <f aca="false">MIN($W$7,J423+K423)</f>
        <v>2000</v>
      </c>
      <c r="M423" s="5" t="n">
        <f aca="false">VA_base_426_data!D423</f>
        <v>700</v>
      </c>
      <c r="N423" s="5" t="n">
        <f aca="false">IF(AND(C423=10,E423=1),$W$6,N422-P422)</f>
        <v>0</v>
      </c>
      <c r="O423" s="5" t="n">
        <f aca="false">IF(ABS(M423-L423)&gt;1,MIN(N423/((L423-M423)*24/12.1/1000),D423),D423)</f>
        <v>0</v>
      </c>
      <c r="P423" s="5" t="n">
        <f aca="false">MIN(IF(AND(G423,E423),(L423-M423)*24/12.1*O423/1000,0),N423)</f>
        <v>0</v>
      </c>
      <c r="Q423" s="5" t="n">
        <f aca="false">IF(P423&gt;0,P423/O423*12.1/24*1000+M423,0)</f>
        <v>0</v>
      </c>
      <c r="R423" s="0" t="n">
        <f aca="false">IF(Q423&gt;0,TRUNC(O423),0)</f>
        <v>0</v>
      </c>
      <c r="S423" s="5" t="n">
        <f aca="false">(M423*(D423-R423)+(Q423*R423))/D423</f>
        <v>700</v>
      </c>
      <c r="T423" s="6" t="n">
        <f aca="false">(Q423-M423)*R423*24/12.1/1000</f>
        <v>-0</v>
      </c>
    </row>
    <row r="424" customFormat="false" ht="14.35" hidden="false" customHeight="false" outlineLevel="0" collapsed="false">
      <c r="A424" s="4" t="n">
        <v>20636</v>
      </c>
      <c r="B424" s="15" t="n">
        <f aca="false">IF(C424&lt;=9,YEAR(A424),YEAR(A424)+1)</f>
        <v>1956</v>
      </c>
      <c r="C424" s="15" t="n">
        <f aca="false">MONTH(A424)</f>
        <v>6</v>
      </c>
      <c r="D424" s="15" t="n">
        <f aca="false">DAY(A424)</f>
        <v>30</v>
      </c>
      <c r="E424" s="15" t="n">
        <f aca="false">VLOOKUP(B424,WYT!$A$2:$L$97,12)</f>
        <v>0</v>
      </c>
      <c r="F424" s="15" t="n">
        <f aca="false">IF(C424=$W$5,1,0)</f>
        <v>0</v>
      </c>
      <c r="G424" s="15" t="n">
        <f aca="false">IF(C424=10,0,IF(F424=1,1,G423))</f>
        <v>1</v>
      </c>
      <c r="H424" s="5" t="n">
        <f aca="false">VA_base_426_data!B424</f>
        <v>4355.89382238917</v>
      </c>
      <c r="I424" s="5" t="n">
        <f aca="false">IF(AND(E424=1,OR(C424=4,C424=5)),25*12.1/24/D424*1000,0)</f>
        <v>0</v>
      </c>
      <c r="J424" s="5" t="n">
        <f aca="false">VA_base_426_data!C424</f>
        <v>1000</v>
      </c>
      <c r="K424" s="5" t="n">
        <f aca="false">H424+I424-J424</f>
        <v>3355.89382238917</v>
      </c>
      <c r="L424" s="5" t="n">
        <f aca="false">MIN($W$7,J424+K424)</f>
        <v>2000</v>
      </c>
      <c r="M424" s="5" t="n">
        <f aca="false">VA_base_426_data!D424</f>
        <v>700</v>
      </c>
      <c r="N424" s="5" t="n">
        <f aca="false">IF(AND(C424=10,E424=1),$W$6,N423-P423)</f>
        <v>0</v>
      </c>
      <c r="O424" s="5" t="n">
        <f aca="false">IF(ABS(M424-L424)&gt;1,MIN(N424/((L424-M424)*24/12.1/1000),D424),D424)</f>
        <v>0</v>
      </c>
      <c r="P424" s="5" t="n">
        <f aca="false">MIN(IF(AND(G424,E424),(L424-M424)*24/12.1*O424/1000,0),N424)</f>
        <v>0</v>
      </c>
      <c r="Q424" s="5" t="n">
        <f aca="false">IF(P424&gt;0,P424/O424*12.1/24*1000+M424,0)</f>
        <v>0</v>
      </c>
      <c r="R424" s="0" t="n">
        <f aca="false">IF(Q424&gt;0,TRUNC(O424),0)</f>
        <v>0</v>
      </c>
      <c r="S424" s="5" t="n">
        <f aca="false">(M424*(D424-R424)+(Q424*R424))/D424</f>
        <v>700</v>
      </c>
      <c r="T424" s="6" t="n">
        <f aca="false">(Q424-M424)*R424*24/12.1/1000</f>
        <v>-0</v>
      </c>
    </row>
    <row r="425" customFormat="false" ht="14.35" hidden="false" customHeight="false" outlineLevel="0" collapsed="false">
      <c r="A425" s="4" t="n">
        <v>20667</v>
      </c>
      <c r="B425" s="15" t="n">
        <f aca="false">IF(C425&lt;=9,YEAR(A425),YEAR(A425)+1)</f>
        <v>1956</v>
      </c>
      <c r="C425" s="15" t="n">
        <f aca="false">MONTH(A425)</f>
        <v>7</v>
      </c>
      <c r="D425" s="15" t="n">
        <f aca="false">DAY(A425)</f>
        <v>31</v>
      </c>
      <c r="E425" s="15" t="n">
        <f aca="false">VLOOKUP(B425,WYT!$A$2:$L$97,12)</f>
        <v>0</v>
      </c>
      <c r="F425" s="15" t="n">
        <f aca="false">IF(C425=$W$5,1,0)</f>
        <v>0</v>
      </c>
      <c r="G425" s="15" t="n">
        <f aca="false">IF(C425=10,0,IF(F425=1,1,G424))</f>
        <v>1</v>
      </c>
      <c r="H425" s="5" t="n">
        <f aca="false">VA_base_426_data!B425</f>
        <v>8529.58608511987</v>
      </c>
      <c r="I425" s="5" t="n">
        <f aca="false">IF(AND(E425=1,OR(C425=4,C425=5)),25*12.1/24/D425*1000,0)</f>
        <v>0</v>
      </c>
      <c r="J425" s="5" t="n">
        <f aca="false">VA_base_426_data!C425</f>
        <v>1000</v>
      </c>
      <c r="K425" s="5" t="n">
        <f aca="false">H425+I425-J425</f>
        <v>7529.58608511987</v>
      </c>
      <c r="L425" s="5" t="n">
        <f aca="false">MIN($W$7,J425+K425)</f>
        <v>2000</v>
      </c>
      <c r="M425" s="5" t="n">
        <f aca="false">VA_base_426_data!D425</f>
        <v>700</v>
      </c>
      <c r="N425" s="5" t="n">
        <f aca="false">IF(AND(C425=10,E425=1),$W$6,N424-P424)</f>
        <v>0</v>
      </c>
      <c r="O425" s="5" t="n">
        <f aca="false">IF(ABS(M425-L425)&gt;1,MIN(N425/((L425-M425)*24/12.1/1000),D425),D425)</f>
        <v>0</v>
      </c>
      <c r="P425" s="5" t="n">
        <f aca="false">MIN(IF(AND(G425,E425),(L425-M425)*24/12.1*O425/1000,0),N425)</f>
        <v>0</v>
      </c>
      <c r="Q425" s="5" t="n">
        <f aca="false">IF(P425&gt;0,P425/O425*12.1/24*1000+M425,0)</f>
        <v>0</v>
      </c>
      <c r="R425" s="0" t="n">
        <f aca="false">IF(Q425&gt;0,TRUNC(O425),0)</f>
        <v>0</v>
      </c>
      <c r="S425" s="5" t="n">
        <f aca="false">(M425*(D425-R425)+(Q425*R425))/D425</f>
        <v>700</v>
      </c>
      <c r="T425" s="6" t="n">
        <f aca="false">(Q425-M425)*R425*24/12.1/1000</f>
        <v>-0</v>
      </c>
    </row>
    <row r="426" customFormat="false" ht="14.35" hidden="false" customHeight="false" outlineLevel="0" collapsed="false">
      <c r="A426" s="4" t="n">
        <v>20698</v>
      </c>
      <c r="B426" s="15" t="n">
        <f aca="false">IF(C426&lt;=9,YEAR(A426),YEAR(A426)+1)</f>
        <v>1956</v>
      </c>
      <c r="C426" s="15" t="n">
        <f aca="false">MONTH(A426)</f>
        <v>8</v>
      </c>
      <c r="D426" s="15" t="n">
        <f aca="false">DAY(A426)</f>
        <v>31</v>
      </c>
      <c r="E426" s="15" t="n">
        <f aca="false">VLOOKUP(B426,WYT!$A$2:$L$97,12)</f>
        <v>0</v>
      </c>
      <c r="F426" s="15" t="n">
        <f aca="false">IF(C426=$W$5,1,0)</f>
        <v>0</v>
      </c>
      <c r="G426" s="15" t="n">
        <f aca="false">IF(C426=10,0,IF(F426=1,1,G425))</f>
        <v>1</v>
      </c>
      <c r="H426" s="5" t="n">
        <f aca="false">VA_base_426_data!B426</f>
        <v>3339.97607718315</v>
      </c>
      <c r="I426" s="5" t="n">
        <f aca="false">IF(AND(E426=1,OR(C426=4,C426=5)),25*12.1/24/D426*1000,0)</f>
        <v>0</v>
      </c>
      <c r="J426" s="5" t="n">
        <f aca="false">VA_base_426_data!C426</f>
        <v>1000</v>
      </c>
      <c r="K426" s="5" t="n">
        <f aca="false">H426+I426-J426</f>
        <v>2339.97607718315</v>
      </c>
      <c r="L426" s="5" t="n">
        <f aca="false">MIN($W$7,J426+K426)</f>
        <v>2000</v>
      </c>
      <c r="M426" s="5" t="n">
        <f aca="false">VA_base_426_data!D426</f>
        <v>700</v>
      </c>
      <c r="N426" s="5" t="n">
        <f aca="false">IF(AND(C426=10,E426=1),$W$6,N425-P425)</f>
        <v>0</v>
      </c>
      <c r="O426" s="5" t="n">
        <f aca="false">IF(ABS(M426-L426)&gt;1,MIN(N426/((L426-M426)*24/12.1/1000),D426),D426)</f>
        <v>0</v>
      </c>
      <c r="P426" s="5" t="n">
        <f aca="false">MIN(IF(AND(G426,E426),(L426-M426)*24/12.1*O426/1000,0),N426)</f>
        <v>0</v>
      </c>
      <c r="Q426" s="5" t="n">
        <f aca="false">IF(P426&gt;0,P426/O426*12.1/24*1000+M426,0)</f>
        <v>0</v>
      </c>
      <c r="R426" s="0" t="n">
        <f aca="false">IF(Q426&gt;0,TRUNC(O426),0)</f>
        <v>0</v>
      </c>
      <c r="S426" s="5" t="n">
        <f aca="false">(M426*(D426-R426)+(Q426*R426))/D426</f>
        <v>700</v>
      </c>
      <c r="T426" s="6" t="n">
        <f aca="false">(Q426-M426)*R426*24/12.1/1000</f>
        <v>-0</v>
      </c>
    </row>
    <row r="427" customFormat="false" ht="14.35" hidden="false" customHeight="false" outlineLevel="0" collapsed="false">
      <c r="A427" s="4" t="n">
        <v>20728</v>
      </c>
      <c r="B427" s="15" t="n">
        <f aca="false">IF(C427&lt;=9,YEAR(A427),YEAR(A427)+1)</f>
        <v>1956</v>
      </c>
      <c r="C427" s="15" t="n">
        <f aca="false">MONTH(A427)</f>
        <v>9</v>
      </c>
      <c r="D427" s="15" t="n">
        <f aca="false">DAY(A427)</f>
        <v>30</v>
      </c>
      <c r="E427" s="15" t="n">
        <f aca="false">VLOOKUP(B427,WYT!$A$2:$L$97,12)</f>
        <v>0</v>
      </c>
      <c r="F427" s="15" t="n">
        <f aca="false">IF(C427=$W$5,1,0)</f>
        <v>0</v>
      </c>
      <c r="G427" s="15" t="n">
        <f aca="false">IF(C427=10,0,IF(F427=1,1,G426))</f>
        <v>1</v>
      </c>
      <c r="H427" s="5" t="n">
        <f aca="false">VA_base_426_data!B427</f>
        <v>9804.99520874032</v>
      </c>
      <c r="I427" s="5" t="n">
        <f aca="false">IF(AND(E427=1,OR(C427=4,C427=5)),25*12.1/24/D427*1000,0)</f>
        <v>0</v>
      </c>
      <c r="J427" s="5" t="n">
        <f aca="false">VA_base_426_data!C427</f>
        <v>1000</v>
      </c>
      <c r="K427" s="5" t="n">
        <f aca="false">H427+I427-J427</f>
        <v>8804.99520874032</v>
      </c>
      <c r="L427" s="5" t="n">
        <f aca="false">MIN($W$7,J427+K427)</f>
        <v>2000</v>
      </c>
      <c r="M427" s="5" t="n">
        <f aca="false">VA_base_426_data!D427</f>
        <v>773.3333333</v>
      </c>
      <c r="N427" s="5" t="n">
        <f aca="false">IF(AND(C427=10,E427=1),$W$6,N426-P426)</f>
        <v>0</v>
      </c>
      <c r="O427" s="5" t="n">
        <f aca="false">IF(ABS(M427-L427)&gt;1,MIN(N427/((L427-M427)*24/12.1/1000),D427),D427)</f>
        <v>0</v>
      </c>
      <c r="P427" s="5" t="n">
        <f aca="false">MIN(IF(AND(G427,E427),(L427-M427)*24/12.1*O427/1000,0),N427)</f>
        <v>0</v>
      </c>
      <c r="Q427" s="5" t="n">
        <f aca="false">IF(P427&gt;0,P427/O427*12.1/24*1000+M427,0)</f>
        <v>0</v>
      </c>
      <c r="R427" s="0" t="n">
        <f aca="false">IF(Q427&gt;0,TRUNC(O427),0)</f>
        <v>0</v>
      </c>
      <c r="S427" s="5" t="n">
        <f aca="false">(M427*(D427-R427)+(Q427*R427))/D427</f>
        <v>773.3333333</v>
      </c>
      <c r="T427" s="6" t="n">
        <f aca="false">(Q427-M427)*R427*24/12.1/1000</f>
        <v>-0</v>
      </c>
    </row>
    <row r="428" customFormat="false" ht="14.35" hidden="false" customHeight="false" outlineLevel="0" collapsed="false">
      <c r="A428" s="4" t="n">
        <v>20759</v>
      </c>
      <c r="B428" s="15" t="n">
        <f aca="false">IF(C428&lt;=9,YEAR(A428),YEAR(A428)+1)</f>
        <v>1957</v>
      </c>
      <c r="C428" s="15" t="n">
        <f aca="false">MONTH(A428)</f>
        <v>10</v>
      </c>
      <c r="D428" s="15" t="n">
        <f aca="false">DAY(A428)</f>
        <v>31</v>
      </c>
      <c r="E428" s="15" t="n">
        <f aca="false">VLOOKUP(B428,WYT!$A$2:$L$97,12)</f>
        <v>1</v>
      </c>
      <c r="F428" s="15" t="n">
        <f aca="false">IF(C428=$W$5,1,0)</f>
        <v>0</v>
      </c>
      <c r="G428" s="15" t="n">
        <f aca="false">IF(C428=10,0,IF(F428=1,1,G427))</f>
        <v>0</v>
      </c>
      <c r="H428" s="5" t="n">
        <f aca="false">VA_base_426_data!B428</f>
        <v>4000</v>
      </c>
      <c r="I428" s="5" t="n">
        <f aca="false">IF(AND(E428=1,OR(C428=4,C428=5)),25*12.1/24/D428*1000,0)</f>
        <v>0</v>
      </c>
      <c r="J428" s="5" t="n">
        <f aca="false">VA_base_426_data!C428</f>
        <v>1700</v>
      </c>
      <c r="K428" s="5" t="n">
        <f aca="false">H428+I428-J428</f>
        <v>2300</v>
      </c>
      <c r="L428" s="5" t="n">
        <f aca="false">MIN($W$7,J428+K428)</f>
        <v>2000</v>
      </c>
      <c r="M428" s="5" t="n">
        <f aca="false">VA_base_426_data!D428</f>
        <v>800</v>
      </c>
      <c r="N428" s="5" t="n">
        <f aca="false">IF(AND(C428=10,E428=1),$W$6,N427-P427)</f>
        <v>43</v>
      </c>
      <c r="O428" s="5" t="n">
        <f aca="false">IF(ABS(M428-L428)&gt;1,MIN(N428/((L428-M428)*24/12.1/1000),D428),D428)</f>
        <v>18.0659722222222</v>
      </c>
      <c r="P428" s="5" t="n">
        <f aca="false">MIN(IF(AND(G428,E428),(L428-M428)*24/12.1*O428/1000,0),N428)</f>
        <v>0</v>
      </c>
      <c r="Q428" s="5" t="n">
        <f aca="false">IF(P428&gt;0,P428/O428*12.1/24*1000+M428,0)</f>
        <v>0</v>
      </c>
      <c r="R428" s="0" t="n">
        <f aca="false">IF(Q428&gt;0,TRUNC(O428),0)</f>
        <v>0</v>
      </c>
      <c r="S428" s="5" t="n">
        <f aca="false">(M428*(D428-R428)+(Q428*R428))/D428</f>
        <v>800</v>
      </c>
      <c r="T428" s="6" t="n">
        <f aca="false">(Q428-M428)*R428*24/12.1/1000</f>
        <v>-0</v>
      </c>
    </row>
    <row r="429" customFormat="false" ht="14.35" hidden="false" customHeight="false" outlineLevel="0" collapsed="false">
      <c r="A429" s="4" t="n">
        <v>20789</v>
      </c>
      <c r="B429" s="15" t="n">
        <f aca="false">IF(C429&lt;=9,YEAR(A429),YEAR(A429)+1)</f>
        <v>1957</v>
      </c>
      <c r="C429" s="15" t="n">
        <f aca="false">MONTH(A429)</f>
        <v>11</v>
      </c>
      <c r="D429" s="15" t="n">
        <f aca="false">DAY(A429)</f>
        <v>30</v>
      </c>
      <c r="E429" s="15" t="n">
        <f aca="false">VLOOKUP(B429,WYT!$A$2:$L$97,12)</f>
        <v>1</v>
      </c>
      <c r="F429" s="15" t="n">
        <f aca="false">IF(C429=$W$5,1,0)</f>
        <v>0</v>
      </c>
      <c r="G429" s="15" t="n">
        <f aca="false">IF(C429=10,0,IF(F429=1,1,G428))</f>
        <v>0</v>
      </c>
      <c r="H429" s="5" t="n">
        <f aca="false">VA_base_426_data!B429</f>
        <v>2500</v>
      </c>
      <c r="I429" s="5" t="n">
        <f aca="false">IF(AND(E429=1,OR(C429=4,C429=5)),25*12.1/24/D429*1000,0)</f>
        <v>0</v>
      </c>
      <c r="J429" s="5" t="n">
        <f aca="false">VA_base_426_data!C429</f>
        <v>1700</v>
      </c>
      <c r="K429" s="5" t="n">
        <f aca="false">H429+I429-J429</f>
        <v>800</v>
      </c>
      <c r="L429" s="5" t="n">
        <f aca="false">MIN($W$7,J429+K429)</f>
        <v>2000</v>
      </c>
      <c r="M429" s="5" t="n">
        <f aca="false">VA_base_426_data!D429</f>
        <v>800</v>
      </c>
      <c r="N429" s="5" t="n">
        <f aca="false">IF(AND(C429=10,E429=1),$W$6,N428-P428)</f>
        <v>43</v>
      </c>
      <c r="O429" s="5" t="n">
        <f aca="false">IF(ABS(M429-L429)&gt;1,MIN(N429/((L429-M429)*24/12.1/1000),D429),D429)</f>
        <v>18.0659722222222</v>
      </c>
      <c r="P429" s="5" t="n">
        <f aca="false">MIN(IF(AND(G429,E429),(L429-M429)*24/12.1*O429/1000,0),N429)</f>
        <v>0</v>
      </c>
      <c r="Q429" s="5" t="n">
        <f aca="false">IF(P429&gt;0,P429/O429*12.1/24*1000+M429,0)</f>
        <v>0</v>
      </c>
      <c r="R429" s="0" t="n">
        <f aca="false">IF(Q429&gt;0,TRUNC(O429),0)</f>
        <v>0</v>
      </c>
      <c r="S429" s="5" t="n">
        <f aca="false">(M429*(D429-R429)+(Q429*R429))/D429</f>
        <v>800</v>
      </c>
      <c r="T429" s="6" t="n">
        <f aca="false">(Q429-M429)*R429*24/12.1/1000</f>
        <v>-0</v>
      </c>
    </row>
    <row r="430" customFormat="false" ht="14.35" hidden="false" customHeight="false" outlineLevel="0" collapsed="false">
      <c r="A430" s="4" t="n">
        <v>20820</v>
      </c>
      <c r="B430" s="15" t="n">
        <f aca="false">IF(C430&lt;=9,YEAR(A430),YEAR(A430)+1)</f>
        <v>1957</v>
      </c>
      <c r="C430" s="15" t="n">
        <f aca="false">MONTH(A430)</f>
        <v>12</v>
      </c>
      <c r="D430" s="15" t="n">
        <f aca="false">DAY(A430)</f>
        <v>31</v>
      </c>
      <c r="E430" s="15" t="n">
        <f aca="false">VLOOKUP(B430,WYT!$A$2:$L$97,12)</f>
        <v>1</v>
      </c>
      <c r="F430" s="15" t="n">
        <f aca="false">IF(C430=$W$5,1,0)</f>
        <v>0</v>
      </c>
      <c r="G430" s="15" t="n">
        <f aca="false">IF(C430=10,0,IF(F430=1,1,G429))</f>
        <v>0</v>
      </c>
      <c r="H430" s="5" t="n">
        <f aca="false">VA_base_426_data!B430</f>
        <v>6009.97915754661</v>
      </c>
      <c r="I430" s="5" t="n">
        <f aca="false">IF(AND(E430=1,OR(C430=4,C430=5)),25*12.1/24/D430*1000,0)</f>
        <v>0</v>
      </c>
      <c r="J430" s="5" t="n">
        <f aca="false">VA_base_426_data!C430</f>
        <v>1700</v>
      </c>
      <c r="K430" s="5" t="n">
        <f aca="false">H430+I430-J430</f>
        <v>4309.97915754661</v>
      </c>
      <c r="L430" s="5" t="n">
        <f aca="false">MIN($W$7,J430+K430)</f>
        <v>2000</v>
      </c>
      <c r="M430" s="5" t="n">
        <f aca="false">VA_base_426_data!D430</f>
        <v>800</v>
      </c>
      <c r="N430" s="5" t="n">
        <f aca="false">IF(AND(C430=10,E430=1),$W$6,N429-P429)</f>
        <v>43</v>
      </c>
      <c r="O430" s="5" t="n">
        <f aca="false">IF(ABS(M430-L430)&gt;1,MIN(N430/((L430-M430)*24/12.1/1000),D430),D430)</f>
        <v>18.0659722222222</v>
      </c>
      <c r="P430" s="5" t="n">
        <f aca="false">MIN(IF(AND(G430,E430),(L430-M430)*24/12.1*O430/1000,0),N430)</f>
        <v>0</v>
      </c>
      <c r="Q430" s="5" t="n">
        <f aca="false">IF(P430&gt;0,P430/O430*12.1/24*1000+M430,0)</f>
        <v>0</v>
      </c>
      <c r="R430" s="0" t="n">
        <f aca="false">IF(Q430&gt;0,TRUNC(O430),0)</f>
        <v>0</v>
      </c>
      <c r="S430" s="5" t="n">
        <f aca="false">(M430*(D430-R430)+(Q430*R430))/D430</f>
        <v>800</v>
      </c>
      <c r="T430" s="6" t="n">
        <f aca="false">(Q430-M430)*R430*24/12.1/1000</f>
        <v>-0</v>
      </c>
    </row>
    <row r="431" customFormat="false" ht="14.35" hidden="false" customHeight="false" outlineLevel="0" collapsed="false">
      <c r="A431" s="4" t="n">
        <v>20851</v>
      </c>
      <c r="B431" s="15" t="n">
        <f aca="false">IF(C431&lt;=9,YEAR(A431),YEAR(A431)+1)</f>
        <v>1957</v>
      </c>
      <c r="C431" s="15" t="n">
        <f aca="false">MONTH(A431)</f>
        <v>1</v>
      </c>
      <c r="D431" s="15" t="n">
        <f aca="false">DAY(A431)</f>
        <v>31</v>
      </c>
      <c r="E431" s="15" t="n">
        <f aca="false">VLOOKUP(B431,WYT!$A$2:$L$97,12)</f>
        <v>1</v>
      </c>
      <c r="F431" s="15" t="n">
        <f aca="false">IF(C431=$W$5,1,0)</f>
        <v>0</v>
      </c>
      <c r="G431" s="15" t="n">
        <f aca="false">IF(C431=10,0,IF(F431=1,1,G430))</f>
        <v>0</v>
      </c>
      <c r="H431" s="5" t="n">
        <f aca="false">VA_base_426_data!B431</f>
        <v>1700</v>
      </c>
      <c r="I431" s="5" t="n">
        <f aca="false">IF(AND(E431=1,OR(C431=4,C431=5)),25*12.1/24/D431*1000,0)</f>
        <v>0</v>
      </c>
      <c r="J431" s="5" t="n">
        <f aca="false">VA_base_426_data!C431</f>
        <v>1700</v>
      </c>
      <c r="K431" s="5" t="n">
        <f aca="false">H431+I431-J431</f>
        <v>0</v>
      </c>
      <c r="L431" s="5" t="n">
        <f aca="false">MIN($W$7,J431+K431)</f>
        <v>1700</v>
      </c>
      <c r="M431" s="5" t="n">
        <f aca="false">VA_base_426_data!D431</f>
        <v>800</v>
      </c>
      <c r="N431" s="5" t="n">
        <f aca="false">IF(AND(C431=10,E431=1),$W$6,N430-P430)</f>
        <v>43</v>
      </c>
      <c r="O431" s="5" t="n">
        <f aca="false">IF(ABS(M431-L431)&gt;1,MIN(N431/((L431-M431)*24/12.1/1000),D431),D431)</f>
        <v>24.087962962963</v>
      </c>
      <c r="P431" s="5" t="n">
        <f aca="false">MIN(IF(AND(G431,E431),(L431-M431)*24/12.1*O431/1000,0),N431)</f>
        <v>0</v>
      </c>
      <c r="Q431" s="5" t="n">
        <f aca="false">IF(P431&gt;0,P431/O431*12.1/24*1000+M431,0)</f>
        <v>0</v>
      </c>
      <c r="R431" s="0" t="n">
        <f aca="false">IF(Q431&gt;0,TRUNC(O431),0)</f>
        <v>0</v>
      </c>
      <c r="S431" s="5" t="n">
        <f aca="false">(M431*(D431-R431)+(Q431*R431))/D431</f>
        <v>800</v>
      </c>
      <c r="T431" s="6" t="n">
        <f aca="false">(Q431-M431)*R431*24/12.1/1000</f>
        <v>-0</v>
      </c>
    </row>
    <row r="432" customFormat="false" ht="14.35" hidden="false" customHeight="false" outlineLevel="0" collapsed="false">
      <c r="A432" s="4" t="n">
        <v>20879</v>
      </c>
      <c r="B432" s="15" t="n">
        <f aca="false">IF(C432&lt;=9,YEAR(A432),YEAR(A432)+1)</f>
        <v>1957</v>
      </c>
      <c r="C432" s="15" t="n">
        <f aca="false">MONTH(A432)</f>
        <v>2</v>
      </c>
      <c r="D432" s="15" t="n">
        <f aca="false">DAY(A432)</f>
        <v>28</v>
      </c>
      <c r="E432" s="15" t="n">
        <f aca="false">VLOOKUP(B432,WYT!$A$2:$L$97,12)</f>
        <v>1</v>
      </c>
      <c r="F432" s="15" t="n">
        <f aca="false">IF(C432=$W$5,1,0)</f>
        <v>1</v>
      </c>
      <c r="G432" s="15" t="n">
        <f aca="false">IF(C432=10,0,IF(F432=1,1,G431))</f>
        <v>1</v>
      </c>
      <c r="H432" s="5" t="n">
        <f aca="false">VA_base_426_data!B432</f>
        <v>4893.23862909421</v>
      </c>
      <c r="I432" s="5" t="n">
        <f aca="false">IF(AND(E432=1,OR(C432=4,C432=5)),25*12.1/24/D432*1000,0)</f>
        <v>0</v>
      </c>
      <c r="J432" s="5" t="n">
        <f aca="false">VA_base_426_data!C432</f>
        <v>1700</v>
      </c>
      <c r="K432" s="5" t="n">
        <f aca="false">H432+I432-J432</f>
        <v>3193.23862909421</v>
      </c>
      <c r="L432" s="5" t="n">
        <f aca="false">MIN($W$7,J432+K432)</f>
        <v>2000</v>
      </c>
      <c r="M432" s="5" t="n">
        <f aca="false">VA_base_426_data!D432</f>
        <v>800</v>
      </c>
      <c r="N432" s="5" t="n">
        <f aca="false">IF(AND(C432=10,E432=1),$W$6,N431-P431)</f>
        <v>43</v>
      </c>
      <c r="O432" s="5" t="n">
        <f aca="false">IF(ABS(M432-L432)&gt;1,MIN(N432/((L432-M432)*24/12.1/1000),D432),D432)</f>
        <v>18.0659722222222</v>
      </c>
      <c r="P432" s="5" t="n">
        <f aca="false">MIN(IF(AND(G432,E432),(L432-M432)*24/12.1*O432/1000,0),N432)</f>
        <v>43</v>
      </c>
      <c r="Q432" s="5" t="n">
        <f aca="false">IF(P432&gt;0,P432/O432*12.1/24*1000+M432,0)</f>
        <v>2000</v>
      </c>
      <c r="R432" s="0" t="n">
        <f aca="false">IF(Q432&gt;0,TRUNC(O432),0)</f>
        <v>18</v>
      </c>
      <c r="S432" s="5" t="n">
        <f aca="false">(M432*(D432-R432)+(Q432*R432))/D432</f>
        <v>1571.42857142857</v>
      </c>
      <c r="T432" s="6" t="n">
        <f aca="false">(Q432-M432)*R432*24/12.1/1000</f>
        <v>42.8429752066116</v>
      </c>
    </row>
    <row r="433" customFormat="false" ht="14.35" hidden="false" customHeight="false" outlineLevel="0" collapsed="false">
      <c r="A433" s="4" t="n">
        <v>20910</v>
      </c>
      <c r="B433" s="15" t="n">
        <f aca="false">IF(C433&lt;=9,YEAR(A433),YEAR(A433)+1)</f>
        <v>1957</v>
      </c>
      <c r="C433" s="15" t="n">
        <f aca="false">MONTH(A433)</f>
        <v>3</v>
      </c>
      <c r="D433" s="15" t="n">
        <f aca="false">DAY(A433)</f>
        <v>31</v>
      </c>
      <c r="E433" s="15" t="n">
        <f aca="false">VLOOKUP(B433,WYT!$A$2:$L$97,12)</f>
        <v>1</v>
      </c>
      <c r="F433" s="15" t="n">
        <f aca="false">IF(C433=$W$5,1,0)</f>
        <v>0</v>
      </c>
      <c r="G433" s="15" t="n">
        <f aca="false">IF(C433=10,0,IF(F433=1,1,G432))</f>
        <v>1</v>
      </c>
      <c r="H433" s="5" t="n">
        <f aca="false">VA_base_426_data!B433</f>
        <v>1700</v>
      </c>
      <c r="I433" s="5" t="n">
        <f aca="false">IF(AND(E433=1,OR(C433=4,C433=5)),25*12.1/24/D433*1000,0)</f>
        <v>0</v>
      </c>
      <c r="J433" s="5" t="n">
        <f aca="false">VA_base_426_data!C433</f>
        <v>1700</v>
      </c>
      <c r="K433" s="5" t="n">
        <f aca="false">H433+I433-J433</f>
        <v>0</v>
      </c>
      <c r="L433" s="5" t="n">
        <f aca="false">MIN($W$7,J433+K433)</f>
        <v>1700</v>
      </c>
      <c r="M433" s="5" t="n">
        <f aca="false">VA_base_426_data!D433</f>
        <v>800</v>
      </c>
      <c r="N433" s="5" t="n">
        <f aca="false">IF(AND(C433=10,E433=1),$W$6,N432-P432)</f>
        <v>0</v>
      </c>
      <c r="O433" s="5" t="n">
        <f aca="false">IF(ABS(M433-L433)&gt;1,MIN(N433/((L433-M433)*24/12.1/1000),D433),D433)</f>
        <v>0</v>
      </c>
      <c r="P433" s="5" t="n">
        <f aca="false">MIN(IF(AND(G433,E433),(L433-M433)*24/12.1*O433/1000,0),N433)</f>
        <v>0</v>
      </c>
      <c r="Q433" s="5" t="n">
        <f aca="false">IF(P433&gt;0,P433/O433*12.1/24*1000+M433,0)</f>
        <v>0</v>
      </c>
      <c r="R433" s="0" t="n">
        <f aca="false">IF(Q433&gt;0,TRUNC(O433),0)</f>
        <v>0</v>
      </c>
      <c r="S433" s="5" t="n">
        <f aca="false">(M433*(D433-R433)+(Q433*R433))/D433</f>
        <v>800</v>
      </c>
      <c r="T433" s="6" t="n">
        <f aca="false">(Q433-M433)*R433*24/12.1/1000</f>
        <v>-0</v>
      </c>
    </row>
    <row r="434" customFormat="false" ht="14.35" hidden="false" customHeight="false" outlineLevel="0" collapsed="false">
      <c r="A434" s="4" t="n">
        <v>20940</v>
      </c>
      <c r="B434" s="15" t="n">
        <f aca="false">IF(C434&lt;=9,YEAR(A434),YEAR(A434)+1)</f>
        <v>1957</v>
      </c>
      <c r="C434" s="15" t="n">
        <f aca="false">MONTH(A434)</f>
        <v>4</v>
      </c>
      <c r="D434" s="15" t="n">
        <f aca="false">DAY(A434)</f>
        <v>30</v>
      </c>
      <c r="E434" s="15" t="n">
        <f aca="false">VLOOKUP(B434,WYT!$A$2:$L$97,12)</f>
        <v>1</v>
      </c>
      <c r="F434" s="15" t="n">
        <f aca="false">IF(C434=$W$5,1,0)</f>
        <v>0</v>
      </c>
      <c r="G434" s="15" t="n">
        <f aca="false">IF(C434=10,0,IF(F434=1,1,G433))</f>
        <v>1</v>
      </c>
      <c r="H434" s="5" t="n">
        <f aca="false">VA_base_426_data!B434</f>
        <v>1000</v>
      </c>
      <c r="I434" s="5" t="n">
        <f aca="false">IF(AND(E434=1,OR(C434=4,C434=5)),25*12.1/24/D434*1000,0)</f>
        <v>420.138888888889</v>
      </c>
      <c r="J434" s="5" t="n">
        <f aca="false">VA_base_426_data!C434</f>
        <v>1000</v>
      </c>
      <c r="K434" s="5" t="n">
        <f aca="false">H434+I434-J434</f>
        <v>420.138888888889</v>
      </c>
      <c r="L434" s="5" t="n">
        <f aca="false">MIN($W$7,J434+K434)</f>
        <v>1420.13888888889</v>
      </c>
      <c r="M434" s="5" t="n">
        <f aca="false">VA_base_426_data!D434</f>
        <v>700</v>
      </c>
      <c r="N434" s="5" t="n">
        <f aca="false">IF(AND(C434=10,E434=1),$W$6,N433-P433)</f>
        <v>0</v>
      </c>
      <c r="O434" s="5" t="n">
        <f aca="false">IF(ABS(M434-L434)&gt;1,MIN(N434/((L434-M434)*24/12.1/1000),D434),D434)</f>
        <v>0</v>
      </c>
      <c r="P434" s="5" t="n">
        <f aca="false">MIN(IF(AND(G434,E434),(L434-M434)*24/12.1*O434/1000,0),N434)</f>
        <v>0</v>
      </c>
      <c r="Q434" s="5" t="n">
        <f aca="false">IF(P434&gt;0,P434/O434*12.1/24*1000+M434,0)</f>
        <v>0</v>
      </c>
      <c r="R434" s="0" t="n">
        <f aca="false">IF(Q434&gt;0,TRUNC(O434),0)</f>
        <v>0</v>
      </c>
      <c r="S434" s="5" t="n">
        <f aca="false">(M434*(D434-R434)+(Q434*R434))/D434</f>
        <v>700</v>
      </c>
      <c r="T434" s="6" t="n">
        <f aca="false">(Q434-M434)*R434*24/12.1/1000</f>
        <v>-0</v>
      </c>
    </row>
    <row r="435" customFormat="false" ht="14.35" hidden="false" customHeight="false" outlineLevel="0" collapsed="false">
      <c r="A435" s="4" t="n">
        <v>20971</v>
      </c>
      <c r="B435" s="15" t="n">
        <f aca="false">IF(C435&lt;=9,YEAR(A435),YEAR(A435)+1)</f>
        <v>1957</v>
      </c>
      <c r="C435" s="15" t="n">
        <f aca="false">MONTH(A435)</f>
        <v>5</v>
      </c>
      <c r="D435" s="15" t="n">
        <f aca="false">DAY(A435)</f>
        <v>31</v>
      </c>
      <c r="E435" s="15" t="n">
        <f aca="false">VLOOKUP(B435,WYT!$A$2:$L$97,12)</f>
        <v>1</v>
      </c>
      <c r="F435" s="15" t="n">
        <f aca="false">IF(C435=$W$5,1,0)</f>
        <v>0</v>
      </c>
      <c r="G435" s="15" t="n">
        <f aca="false">IF(C435=10,0,IF(F435=1,1,G434))</f>
        <v>1</v>
      </c>
      <c r="H435" s="5" t="n">
        <f aca="false">VA_base_426_data!B435</f>
        <v>1000</v>
      </c>
      <c r="I435" s="5" t="n">
        <f aca="false">IF(AND(E435=1,OR(C435=4,C435=5)),25*12.1/24/D435*1000,0)</f>
        <v>406.586021505376</v>
      </c>
      <c r="J435" s="5" t="n">
        <f aca="false">VA_base_426_data!C435</f>
        <v>1000</v>
      </c>
      <c r="K435" s="5" t="n">
        <f aca="false">H435+I435-J435</f>
        <v>406.586021505376</v>
      </c>
      <c r="L435" s="5" t="n">
        <f aca="false">MIN($W$7,J435+K435)</f>
        <v>1406.58602150538</v>
      </c>
      <c r="M435" s="5" t="n">
        <f aca="false">VA_base_426_data!D435</f>
        <v>700</v>
      </c>
      <c r="N435" s="5" t="n">
        <f aca="false">IF(AND(C435=10,E435=1),$W$6,N434-P434)</f>
        <v>0</v>
      </c>
      <c r="O435" s="5" t="n">
        <f aca="false">IF(ABS(M435-L435)&gt;1,MIN(N435/((L435-M435)*24/12.1/1000),D435),D435)</f>
        <v>0</v>
      </c>
      <c r="P435" s="5" t="n">
        <f aca="false">MIN(IF(AND(G435,E435),(L435-M435)*24/12.1*O435/1000,0),N435)</f>
        <v>0</v>
      </c>
      <c r="Q435" s="5" t="n">
        <f aca="false">IF(P435&gt;0,P435/O435*12.1/24*1000+M435,0)</f>
        <v>0</v>
      </c>
      <c r="R435" s="0" t="n">
        <f aca="false">IF(Q435&gt;0,TRUNC(O435),0)</f>
        <v>0</v>
      </c>
      <c r="S435" s="5" t="n">
        <f aca="false">(M435*(D435-R435)+(Q435*R435))/D435</f>
        <v>700</v>
      </c>
      <c r="T435" s="6" t="n">
        <f aca="false">(Q435-M435)*R435*24/12.1/1000</f>
        <v>-0</v>
      </c>
    </row>
    <row r="436" customFormat="false" ht="14.35" hidden="false" customHeight="false" outlineLevel="0" collapsed="false">
      <c r="A436" s="4" t="n">
        <v>21001</v>
      </c>
      <c r="B436" s="15" t="n">
        <f aca="false">IF(C436&lt;=9,YEAR(A436),YEAR(A436)+1)</f>
        <v>1957</v>
      </c>
      <c r="C436" s="15" t="n">
        <f aca="false">MONTH(A436)</f>
        <v>6</v>
      </c>
      <c r="D436" s="15" t="n">
        <f aca="false">DAY(A436)</f>
        <v>30</v>
      </c>
      <c r="E436" s="15" t="n">
        <f aca="false">VLOOKUP(B436,WYT!$A$2:$L$97,12)</f>
        <v>1</v>
      </c>
      <c r="F436" s="15" t="n">
        <f aca="false">IF(C436=$W$5,1,0)</f>
        <v>0</v>
      </c>
      <c r="G436" s="15" t="n">
        <f aca="false">IF(C436=10,0,IF(F436=1,1,G435))</f>
        <v>1</v>
      </c>
      <c r="H436" s="5" t="n">
        <f aca="false">VA_base_426_data!B436</f>
        <v>1787.30391957424</v>
      </c>
      <c r="I436" s="5" t="n">
        <f aca="false">IF(AND(E436=1,OR(C436=4,C436=5)),25*12.1/24/D436*1000,0)</f>
        <v>0</v>
      </c>
      <c r="J436" s="5" t="n">
        <f aca="false">VA_base_426_data!C436</f>
        <v>1000</v>
      </c>
      <c r="K436" s="5" t="n">
        <f aca="false">H436+I436-J436</f>
        <v>787.303919574242</v>
      </c>
      <c r="L436" s="5" t="n">
        <f aca="false">MIN($W$7,J436+K436)</f>
        <v>1787.30391957424</v>
      </c>
      <c r="M436" s="5" t="n">
        <f aca="false">VA_base_426_data!D436</f>
        <v>700</v>
      </c>
      <c r="N436" s="5" t="n">
        <f aca="false">IF(AND(C436=10,E436=1),$W$6,N435-P435)</f>
        <v>0</v>
      </c>
      <c r="O436" s="5" t="n">
        <f aca="false">IF(ABS(M436-L436)&gt;1,MIN(N436/((L436-M436)*24/12.1/1000),D436),D436)</f>
        <v>0</v>
      </c>
      <c r="P436" s="5" t="n">
        <f aca="false">MIN(IF(AND(G436,E436),(L436-M436)*24/12.1*O436/1000,0),N436)</f>
        <v>0</v>
      </c>
      <c r="Q436" s="5" t="n">
        <f aca="false">IF(P436&gt;0,P436/O436*12.1/24*1000+M436,0)</f>
        <v>0</v>
      </c>
      <c r="R436" s="0" t="n">
        <f aca="false">IF(Q436&gt;0,TRUNC(O436),0)</f>
        <v>0</v>
      </c>
      <c r="S436" s="5" t="n">
        <f aca="false">(M436*(D436-R436)+(Q436*R436))/D436</f>
        <v>700</v>
      </c>
      <c r="T436" s="6" t="n">
        <f aca="false">(Q436-M436)*R436*24/12.1/1000</f>
        <v>-0</v>
      </c>
    </row>
    <row r="437" customFormat="false" ht="14.35" hidden="false" customHeight="false" outlineLevel="0" collapsed="false">
      <c r="A437" s="4" t="n">
        <v>21032</v>
      </c>
      <c r="B437" s="15" t="n">
        <f aca="false">IF(C437&lt;=9,YEAR(A437),YEAR(A437)+1)</f>
        <v>1957</v>
      </c>
      <c r="C437" s="15" t="n">
        <f aca="false">MONTH(A437)</f>
        <v>7</v>
      </c>
      <c r="D437" s="15" t="n">
        <f aca="false">DAY(A437)</f>
        <v>31</v>
      </c>
      <c r="E437" s="15" t="n">
        <f aca="false">VLOOKUP(B437,WYT!$A$2:$L$97,12)</f>
        <v>1</v>
      </c>
      <c r="F437" s="15" t="n">
        <f aca="false">IF(C437=$W$5,1,0)</f>
        <v>0</v>
      </c>
      <c r="G437" s="15" t="n">
        <f aca="false">IF(C437=10,0,IF(F437=1,1,G436))</f>
        <v>1</v>
      </c>
      <c r="H437" s="5" t="n">
        <f aca="false">VA_base_426_data!B437</f>
        <v>8751.80639709699</v>
      </c>
      <c r="I437" s="5" t="n">
        <f aca="false">IF(AND(E437=1,OR(C437=4,C437=5)),25*12.1/24/D437*1000,0)</f>
        <v>0</v>
      </c>
      <c r="J437" s="5" t="n">
        <f aca="false">VA_base_426_data!C437</f>
        <v>1000</v>
      </c>
      <c r="K437" s="5" t="n">
        <f aca="false">H437+I437-J437</f>
        <v>7751.80639709699</v>
      </c>
      <c r="L437" s="5" t="n">
        <f aca="false">MIN($W$7,J437+K437)</f>
        <v>2000</v>
      </c>
      <c r="M437" s="5" t="n">
        <f aca="false">VA_base_426_data!D437</f>
        <v>700</v>
      </c>
      <c r="N437" s="5" t="n">
        <f aca="false">IF(AND(C437=10,E437=1),$W$6,N436-P436)</f>
        <v>0</v>
      </c>
      <c r="O437" s="5" t="n">
        <f aca="false">IF(ABS(M437-L437)&gt;1,MIN(N437/((L437-M437)*24/12.1/1000),D437),D437)</f>
        <v>0</v>
      </c>
      <c r="P437" s="5" t="n">
        <f aca="false">MIN(IF(AND(G437,E437),(L437-M437)*24/12.1*O437/1000,0),N437)</f>
        <v>0</v>
      </c>
      <c r="Q437" s="5" t="n">
        <f aca="false">IF(P437&gt;0,P437/O437*12.1/24*1000+M437,0)</f>
        <v>0</v>
      </c>
      <c r="R437" s="0" t="n">
        <f aca="false">IF(Q437&gt;0,TRUNC(O437),0)</f>
        <v>0</v>
      </c>
      <c r="S437" s="5" t="n">
        <f aca="false">(M437*(D437-R437)+(Q437*R437))/D437</f>
        <v>700</v>
      </c>
      <c r="T437" s="6" t="n">
        <f aca="false">(Q437-M437)*R437*24/12.1/1000</f>
        <v>-0</v>
      </c>
    </row>
    <row r="438" customFormat="false" ht="14.35" hidden="false" customHeight="false" outlineLevel="0" collapsed="false">
      <c r="A438" s="4" t="n">
        <v>21063</v>
      </c>
      <c r="B438" s="15" t="n">
        <f aca="false">IF(C438&lt;=9,YEAR(A438),YEAR(A438)+1)</f>
        <v>1957</v>
      </c>
      <c r="C438" s="15" t="n">
        <f aca="false">MONTH(A438)</f>
        <v>8</v>
      </c>
      <c r="D438" s="15" t="n">
        <f aca="false">DAY(A438)</f>
        <v>31</v>
      </c>
      <c r="E438" s="15" t="n">
        <f aca="false">VLOOKUP(B438,WYT!$A$2:$L$97,12)</f>
        <v>1</v>
      </c>
      <c r="F438" s="15" t="n">
        <f aca="false">IF(C438=$W$5,1,0)</f>
        <v>0</v>
      </c>
      <c r="G438" s="15" t="n">
        <f aca="false">IF(C438=10,0,IF(F438=1,1,G437))</f>
        <v>1</v>
      </c>
      <c r="H438" s="5" t="n">
        <f aca="false">VA_base_426_data!B438</f>
        <v>7454.45771767196</v>
      </c>
      <c r="I438" s="5" t="n">
        <f aca="false">IF(AND(E438=1,OR(C438=4,C438=5)),25*12.1/24/D438*1000,0)</f>
        <v>0</v>
      </c>
      <c r="J438" s="5" t="n">
        <f aca="false">VA_base_426_data!C438</f>
        <v>1000</v>
      </c>
      <c r="K438" s="5" t="n">
        <f aca="false">H438+I438-J438</f>
        <v>6454.45771767196</v>
      </c>
      <c r="L438" s="5" t="n">
        <f aca="false">MIN($W$7,J438+K438)</f>
        <v>2000</v>
      </c>
      <c r="M438" s="5" t="n">
        <f aca="false">VA_base_426_data!D438</f>
        <v>700</v>
      </c>
      <c r="N438" s="5" t="n">
        <f aca="false">IF(AND(C438=10,E438=1),$W$6,N437-P437)</f>
        <v>0</v>
      </c>
      <c r="O438" s="5" t="n">
        <f aca="false">IF(ABS(M438-L438)&gt;1,MIN(N438/((L438-M438)*24/12.1/1000),D438),D438)</f>
        <v>0</v>
      </c>
      <c r="P438" s="5" t="n">
        <f aca="false">MIN(IF(AND(G438,E438),(L438-M438)*24/12.1*O438/1000,0),N438)</f>
        <v>0</v>
      </c>
      <c r="Q438" s="5" t="n">
        <f aca="false">IF(P438&gt;0,P438/O438*12.1/24*1000+M438,0)</f>
        <v>0</v>
      </c>
      <c r="R438" s="0" t="n">
        <f aca="false">IF(Q438&gt;0,TRUNC(O438),0)</f>
        <v>0</v>
      </c>
      <c r="S438" s="5" t="n">
        <f aca="false">(M438*(D438-R438)+(Q438*R438))/D438</f>
        <v>700</v>
      </c>
      <c r="T438" s="6" t="n">
        <f aca="false">(Q438-M438)*R438*24/12.1/1000</f>
        <v>-0</v>
      </c>
    </row>
    <row r="439" customFormat="false" ht="14.35" hidden="false" customHeight="false" outlineLevel="0" collapsed="false">
      <c r="A439" s="4" t="n">
        <v>21093</v>
      </c>
      <c r="B439" s="15" t="n">
        <f aca="false">IF(C439&lt;=9,YEAR(A439),YEAR(A439)+1)</f>
        <v>1957</v>
      </c>
      <c r="C439" s="15" t="n">
        <f aca="false">MONTH(A439)</f>
        <v>9</v>
      </c>
      <c r="D439" s="15" t="n">
        <f aca="false">DAY(A439)</f>
        <v>30</v>
      </c>
      <c r="E439" s="15" t="n">
        <f aca="false">VLOOKUP(B439,WYT!$A$2:$L$97,12)</f>
        <v>1</v>
      </c>
      <c r="F439" s="15" t="n">
        <f aca="false">IF(C439=$W$5,1,0)</f>
        <v>0</v>
      </c>
      <c r="G439" s="15" t="n">
        <f aca="false">IF(C439=10,0,IF(F439=1,1,G438))</f>
        <v>1</v>
      </c>
      <c r="H439" s="5" t="n">
        <f aca="false">VA_base_426_data!B439</f>
        <v>8062.44589727075</v>
      </c>
      <c r="I439" s="5" t="n">
        <f aca="false">IF(AND(E439=1,OR(C439=4,C439=5)),25*12.1/24/D439*1000,0)</f>
        <v>0</v>
      </c>
      <c r="J439" s="5" t="n">
        <f aca="false">VA_base_426_data!C439</f>
        <v>1000</v>
      </c>
      <c r="K439" s="5" t="n">
        <f aca="false">H439+I439-J439</f>
        <v>7062.44589727075</v>
      </c>
      <c r="L439" s="5" t="n">
        <f aca="false">MIN($W$7,J439+K439)</f>
        <v>2000</v>
      </c>
      <c r="M439" s="5" t="n">
        <f aca="false">VA_base_426_data!D439</f>
        <v>773.3333333</v>
      </c>
      <c r="N439" s="5" t="n">
        <f aca="false">IF(AND(C439=10,E439=1),$W$6,N438-P438)</f>
        <v>0</v>
      </c>
      <c r="O439" s="5" t="n">
        <f aca="false">IF(ABS(M439-L439)&gt;1,MIN(N439/((L439-M439)*24/12.1/1000),D439),D439)</f>
        <v>0</v>
      </c>
      <c r="P439" s="5" t="n">
        <f aca="false">MIN(IF(AND(G439,E439),(L439-M439)*24/12.1*O439/1000,0),N439)</f>
        <v>0</v>
      </c>
      <c r="Q439" s="5" t="n">
        <f aca="false">IF(P439&gt;0,P439/O439*12.1/24*1000+M439,0)</f>
        <v>0</v>
      </c>
      <c r="R439" s="0" t="n">
        <f aca="false">IF(Q439&gt;0,TRUNC(O439),0)</f>
        <v>0</v>
      </c>
      <c r="S439" s="5" t="n">
        <f aca="false">(M439*(D439-R439)+(Q439*R439))/D439</f>
        <v>773.3333333</v>
      </c>
      <c r="T439" s="6" t="n">
        <f aca="false">(Q439-M439)*R439*24/12.1/1000</f>
        <v>-0</v>
      </c>
    </row>
    <row r="440" customFormat="false" ht="14.35" hidden="false" customHeight="false" outlineLevel="0" collapsed="false">
      <c r="A440" s="4" t="n">
        <v>21124</v>
      </c>
      <c r="B440" s="15" t="n">
        <f aca="false">IF(C440&lt;=9,YEAR(A440),YEAR(A440)+1)</f>
        <v>1958</v>
      </c>
      <c r="C440" s="15" t="n">
        <f aca="false">MONTH(A440)</f>
        <v>10</v>
      </c>
      <c r="D440" s="15" t="n">
        <f aca="false">DAY(A440)</f>
        <v>31</v>
      </c>
      <c r="E440" s="15" t="n">
        <f aca="false">VLOOKUP(B440,WYT!$A$2:$L$97,12)</f>
        <v>0</v>
      </c>
      <c r="F440" s="15" t="n">
        <f aca="false">IF(C440=$W$5,1,0)</f>
        <v>0</v>
      </c>
      <c r="G440" s="15" t="n">
        <f aca="false">IF(C440=10,0,IF(F440=1,1,G439))</f>
        <v>0</v>
      </c>
      <c r="H440" s="5" t="n">
        <f aca="false">VA_base_426_data!B440</f>
        <v>1700</v>
      </c>
      <c r="I440" s="5" t="n">
        <f aca="false">IF(AND(E440=1,OR(C440=4,C440=5)),25*12.1/24/D440*1000,0)</f>
        <v>0</v>
      </c>
      <c r="J440" s="5" t="n">
        <f aca="false">VA_base_426_data!C440</f>
        <v>1700</v>
      </c>
      <c r="K440" s="5" t="n">
        <f aca="false">H440+I440-J440</f>
        <v>0</v>
      </c>
      <c r="L440" s="5" t="n">
        <f aca="false">MIN($W$7,J440+K440)</f>
        <v>1700</v>
      </c>
      <c r="M440" s="5" t="n">
        <f aca="false">VA_base_426_data!D440</f>
        <v>800</v>
      </c>
      <c r="N440" s="5" t="n">
        <f aca="false">IF(AND(C440=10,E440=1),$W$6,N439-P439)</f>
        <v>0</v>
      </c>
      <c r="O440" s="5" t="n">
        <f aca="false">IF(ABS(M440-L440)&gt;1,MIN(N440/((L440-M440)*24/12.1/1000),D440),D440)</f>
        <v>0</v>
      </c>
      <c r="P440" s="5" t="n">
        <f aca="false">MIN(IF(AND(G440,E440),(L440-M440)*24/12.1*O440/1000,0),N440)</f>
        <v>0</v>
      </c>
      <c r="Q440" s="5" t="n">
        <f aca="false">IF(P440&gt;0,P440/O440*12.1/24*1000+M440,0)</f>
        <v>0</v>
      </c>
      <c r="R440" s="0" t="n">
        <f aca="false">IF(Q440&gt;0,TRUNC(O440),0)</f>
        <v>0</v>
      </c>
      <c r="S440" s="5" t="n">
        <f aca="false">(M440*(D440-R440)+(Q440*R440))/D440</f>
        <v>800</v>
      </c>
      <c r="T440" s="6" t="n">
        <f aca="false">(Q440-M440)*R440*24/12.1/1000</f>
        <v>-0</v>
      </c>
    </row>
    <row r="441" customFormat="false" ht="14.35" hidden="false" customHeight="false" outlineLevel="0" collapsed="false">
      <c r="A441" s="4" t="n">
        <v>21154</v>
      </c>
      <c r="B441" s="15" t="n">
        <f aca="false">IF(C441&lt;=9,YEAR(A441),YEAR(A441)+1)</f>
        <v>1958</v>
      </c>
      <c r="C441" s="15" t="n">
        <f aca="false">MONTH(A441)</f>
        <v>11</v>
      </c>
      <c r="D441" s="15" t="n">
        <f aca="false">DAY(A441)</f>
        <v>30</v>
      </c>
      <c r="E441" s="15" t="n">
        <f aca="false">VLOOKUP(B441,WYT!$A$2:$L$97,12)</f>
        <v>0</v>
      </c>
      <c r="F441" s="15" t="n">
        <f aca="false">IF(C441=$W$5,1,0)</f>
        <v>0</v>
      </c>
      <c r="G441" s="15" t="n">
        <f aca="false">IF(C441=10,0,IF(F441=1,1,G440))</f>
        <v>0</v>
      </c>
      <c r="H441" s="5" t="n">
        <f aca="false">VA_base_426_data!B441</f>
        <v>2278.39174215452</v>
      </c>
      <c r="I441" s="5" t="n">
        <f aca="false">IF(AND(E441=1,OR(C441=4,C441=5)),25*12.1/24/D441*1000,0)</f>
        <v>0</v>
      </c>
      <c r="J441" s="5" t="n">
        <f aca="false">VA_base_426_data!C441</f>
        <v>1700</v>
      </c>
      <c r="K441" s="5" t="n">
        <f aca="false">H441+I441-J441</f>
        <v>578.391742154523</v>
      </c>
      <c r="L441" s="5" t="n">
        <f aca="false">MIN($W$7,J441+K441)</f>
        <v>2000</v>
      </c>
      <c r="M441" s="5" t="n">
        <f aca="false">VA_base_426_data!D441</f>
        <v>800</v>
      </c>
      <c r="N441" s="5" t="n">
        <f aca="false">IF(AND(C441=10,E441=1),$W$6,N440-P440)</f>
        <v>0</v>
      </c>
      <c r="O441" s="5" t="n">
        <f aca="false">IF(ABS(M441-L441)&gt;1,MIN(N441/((L441-M441)*24/12.1/1000),D441),D441)</f>
        <v>0</v>
      </c>
      <c r="P441" s="5" t="n">
        <f aca="false">MIN(IF(AND(G441,E441),(L441-M441)*24/12.1*O441/1000,0),N441)</f>
        <v>0</v>
      </c>
      <c r="Q441" s="5" t="n">
        <f aca="false">IF(P441&gt;0,P441/O441*12.1/24*1000+M441,0)</f>
        <v>0</v>
      </c>
      <c r="R441" s="0" t="n">
        <f aca="false">IF(Q441&gt;0,TRUNC(O441),0)</f>
        <v>0</v>
      </c>
      <c r="S441" s="5" t="n">
        <f aca="false">(M441*(D441-R441)+(Q441*R441))/D441</f>
        <v>800</v>
      </c>
      <c r="T441" s="6" t="n">
        <f aca="false">(Q441-M441)*R441*24/12.1/1000</f>
        <v>-0</v>
      </c>
    </row>
    <row r="442" customFormat="false" ht="14.35" hidden="false" customHeight="false" outlineLevel="0" collapsed="false">
      <c r="A442" s="4" t="n">
        <v>21185</v>
      </c>
      <c r="B442" s="15" t="n">
        <f aca="false">IF(C442&lt;=9,YEAR(A442),YEAR(A442)+1)</f>
        <v>1958</v>
      </c>
      <c r="C442" s="15" t="n">
        <f aca="false">MONTH(A442)</f>
        <v>12</v>
      </c>
      <c r="D442" s="15" t="n">
        <f aca="false">DAY(A442)</f>
        <v>31</v>
      </c>
      <c r="E442" s="15" t="n">
        <f aca="false">VLOOKUP(B442,WYT!$A$2:$L$97,12)</f>
        <v>0</v>
      </c>
      <c r="F442" s="15" t="n">
        <f aca="false">IF(C442=$W$5,1,0)</f>
        <v>0</v>
      </c>
      <c r="G442" s="15" t="n">
        <f aca="false">IF(C442=10,0,IF(F442=1,1,G441))</f>
        <v>0</v>
      </c>
      <c r="H442" s="5" t="n">
        <f aca="false">VA_base_426_data!B442</f>
        <v>1700</v>
      </c>
      <c r="I442" s="5" t="n">
        <f aca="false">IF(AND(E442=1,OR(C442=4,C442=5)),25*12.1/24/D442*1000,0)</f>
        <v>0</v>
      </c>
      <c r="J442" s="5" t="n">
        <f aca="false">VA_base_426_data!C442</f>
        <v>1700</v>
      </c>
      <c r="K442" s="5" t="n">
        <f aca="false">H442+I442-J442</f>
        <v>0</v>
      </c>
      <c r="L442" s="5" t="n">
        <f aca="false">MIN($W$7,J442+K442)</f>
        <v>1700</v>
      </c>
      <c r="M442" s="5" t="n">
        <f aca="false">VA_base_426_data!D442</f>
        <v>800</v>
      </c>
      <c r="N442" s="5" t="n">
        <f aca="false">IF(AND(C442=10,E442=1),$W$6,N441-P441)</f>
        <v>0</v>
      </c>
      <c r="O442" s="5" t="n">
        <f aca="false">IF(ABS(M442-L442)&gt;1,MIN(N442/((L442-M442)*24/12.1/1000),D442),D442)</f>
        <v>0</v>
      </c>
      <c r="P442" s="5" t="n">
        <f aca="false">MIN(IF(AND(G442,E442),(L442-M442)*24/12.1*O442/1000,0),N442)</f>
        <v>0</v>
      </c>
      <c r="Q442" s="5" t="n">
        <f aca="false">IF(P442&gt;0,P442/O442*12.1/24*1000+M442,0)</f>
        <v>0</v>
      </c>
      <c r="R442" s="0" t="n">
        <f aca="false">IF(Q442&gt;0,TRUNC(O442),0)</f>
        <v>0</v>
      </c>
      <c r="S442" s="5" t="n">
        <f aca="false">(M442*(D442-R442)+(Q442*R442))/D442</f>
        <v>800</v>
      </c>
      <c r="T442" s="6" t="n">
        <f aca="false">(Q442-M442)*R442*24/12.1/1000</f>
        <v>-0</v>
      </c>
    </row>
    <row r="443" customFormat="false" ht="14.35" hidden="false" customHeight="false" outlineLevel="0" collapsed="false">
      <c r="A443" s="4" t="n">
        <v>21216</v>
      </c>
      <c r="B443" s="15" t="n">
        <f aca="false">IF(C443&lt;=9,YEAR(A443),YEAR(A443)+1)</f>
        <v>1958</v>
      </c>
      <c r="C443" s="15" t="n">
        <f aca="false">MONTH(A443)</f>
        <v>1</v>
      </c>
      <c r="D443" s="15" t="n">
        <f aca="false">DAY(A443)</f>
        <v>31</v>
      </c>
      <c r="E443" s="15" t="n">
        <f aca="false">VLOOKUP(B443,WYT!$A$2:$L$97,12)</f>
        <v>0</v>
      </c>
      <c r="F443" s="15" t="n">
        <f aca="false">IF(C443=$W$5,1,0)</f>
        <v>0</v>
      </c>
      <c r="G443" s="15" t="n">
        <f aca="false">IF(C443=10,0,IF(F443=1,1,G442))</f>
        <v>0</v>
      </c>
      <c r="H443" s="5" t="n">
        <f aca="false">VA_base_426_data!B443</f>
        <v>1699.99999999997</v>
      </c>
      <c r="I443" s="5" t="n">
        <f aca="false">IF(AND(E443=1,OR(C443=4,C443=5)),25*12.1/24/D443*1000,0)</f>
        <v>0</v>
      </c>
      <c r="J443" s="5" t="n">
        <f aca="false">VA_base_426_data!C443</f>
        <v>1700</v>
      </c>
      <c r="K443" s="5" t="n">
        <f aca="false">H443+I443-J443</f>
        <v>-3.18323145620525E-011</v>
      </c>
      <c r="L443" s="5" t="n">
        <f aca="false">MIN($W$7,J443+K443)</f>
        <v>1699.99999999997</v>
      </c>
      <c r="M443" s="5" t="n">
        <f aca="false">VA_base_426_data!D443</f>
        <v>800</v>
      </c>
      <c r="N443" s="5" t="n">
        <f aca="false">IF(AND(C443=10,E443=1),$W$6,N442-P442)</f>
        <v>0</v>
      </c>
      <c r="O443" s="5" t="n">
        <f aca="false">IF(ABS(M443-L443)&gt;1,MIN(N443/((L443-M443)*24/12.1/1000),D443),D443)</f>
        <v>0</v>
      </c>
      <c r="P443" s="5" t="n">
        <f aca="false">MIN(IF(AND(G443,E443),(L443-M443)*24/12.1*O443/1000,0),N443)</f>
        <v>0</v>
      </c>
      <c r="Q443" s="5" t="n">
        <f aca="false">IF(P443&gt;0,P443/O443*12.1/24*1000+M443,0)</f>
        <v>0</v>
      </c>
      <c r="R443" s="0" t="n">
        <f aca="false">IF(Q443&gt;0,TRUNC(O443),0)</f>
        <v>0</v>
      </c>
      <c r="S443" s="5" t="n">
        <f aca="false">(M443*(D443-R443)+(Q443*R443))/D443</f>
        <v>800</v>
      </c>
      <c r="T443" s="6" t="n">
        <f aca="false">(Q443-M443)*R443*24/12.1/1000</f>
        <v>-0</v>
      </c>
    </row>
    <row r="444" customFormat="false" ht="14.35" hidden="false" customHeight="false" outlineLevel="0" collapsed="false">
      <c r="A444" s="4" t="n">
        <v>21244</v>
      </c>
      <c r="B444" s="15" t="n">
        <f aca="false">IF(C444&lt;=9,YEAR(A444),YEAR(A444)+1)</f>
        <v>1958</v>
      </c>
      <c r="C444" s="15" t="n">
        <f aca="false">MONTH(A444)</f>
        <v>2</v>
      </c>
      <c r="D444" s="15" t="n">
        <f aca="false">DAY(A444)</f>
        <v>28</v>
      </c>
      <c r="E444" s="15" t="n">
        <f aca="false">VLOOKUP(B444,WYT!$A$2:$L$97,12)</f>
        <v>0</v>
      </c>
      <c r="F444" s="15" t="n">
        <f aca="false">IF(C444=$W$5,1,0)</f>
        <v>1</v>
      </c>
      <c r="G444" s="15" t="n">
        <f aca="false">IF(C444=10,0,IF(F444=1,1,G443))</f>
        <v>1</v>
      </c>
      <c r="H444" s="5" t="n">
        <f aca="false">VA_base_426_data!B444</f>
        <v>9060.97488190173</v>
      </c>
      <c r="I444" s="5" t="n">
        <f aca="false">IF(AND(E444=1,OR(C444=4,C444=5)),25*12.1/24/D444*1000,0)</f>
        <v>0</v>
      </c>
      <c r="J444" s="5" t="n">
        <f aca="false">VA_base_426_data!C444</f>
        <v>1700</v>
      </c>
      <c r="K444" s="5" t="n">
        <f aca="false">H444+I444-J444</f>
        <v>7360.97488190173</v>
      </c>
      <c r="L444" s="5" t="n">
        <f aca="false">MIN($W$7,J444+K444)</f>
        <v>2000</v>
      </c>
      <c r="M444" s="5" t="n">
        <f aca="false">VA_base_426_data!D444</f>
        <v>800</v>
      </c>
      <c r="N444" s="5" t="n">
        <f aca="false">IF(AND(C444=10,E444=1),$W$6,N443-P443)</f>
        <v>0</v>
      </c>
      <c r="O444" s="5" t="n">
        <f aca="false">IF(ABS(M444-L444)&gt;1,MIN(N444/((L444-M444)*24/12.1/1000),D444),D444)</f>
        <v>0</v>
      </c>
      <c r="P444" s="5" t="n">
        <f aca="false">MIN(IF(AND(G444,E444),(L444-M444)*24/12.1*O444/1000,0),N444)</f>
        <v>0</v>
      </c>
      <c r="Q444" s="5" t="n">
        <f aca="false">IF(P444&gt;0,P444/O444*12.1/24*1000+M444,0)</f>
        <v>0</v>
      </c>
      <c r="R444" s="0" t="n">
        <f aca="false">IF(Q444&gt;0,TRUNC(O444),0)</f>
        <v>0</v>
      </c>
      <c r="S444" s="5" t="n">
        <f aca="false">(M444*(D444-R444)+(Q444*R444))/D444</f>
        <v>800</v>
      </c>
      <c r="T444" s="6" t="n">
        <f aca="false">(Q444-M444)*R444*24/12.1/1000</f>
        <v>-0</v>
      </c>
    </row>
    <row r="445" customFormat="false" ht="14.35" hidden="false" customHeight="false" outlineLevel="0" collapsed="false">
      <c r="A445" s="4" t="n">
        <v>21275</v>
      </c>
      <c r="B445" s="15" t="n">
        <f aca="false">IF(C445&lt;=9,YEAR(A445),YEAR(A445)+1)</f>
        <v>1958</v>
      </c>
      <c r="C445" s="15" t="n">
        <f aca="false">MONTH(A445)</f>
        <v>3</v>
      </c>
      <c r="D445" s="15" t="n">
        <f aca="false">DAY(A445)</f>
        <v>31</v>
      </c>
      <c r="E445" s="15" t="n">
        <f aca="false">VLOOKUP(B445,WYT!$A$2:$L$97,12)</f>
        <v>0</v>
      </c>
      <c r="F445" s="15" t="n">
        <f aca="false">IF(C445=$W$5,1,0)</f>
        <v>0</v>
      </c>
      <c r="G445" s="15" t="n">
        <f aca="false">IF(C445=10,0,IF(F445=1,1,G444))</f>
        <v>1</v>
      </c>
      <c r="H445" s="5" t="n">
        <f aca="false">VA_base_426_data!B445</f>
        <v>11899.2926664114</v>
      </c>
      <c r="I445" s="5" t="n">
        <f aca="false">IF(AND(E445=1,OR(C445=4,C445=5)),25*12.1/24/D445*1000,0)</f>
        <v>0</v>
      </c>
      <c r="J445" s="5" t="n">
        <f aca="false">VA_base_426_data!C445</f>
        <v>1700</v>
      </c>
      <c r="K445" s="5" t="n">
        <f aca="false">H445+I445-J445</f>
        <v>10199.2926664114</v>
      </c>
      <c r="L445" s="5" t="n">
        <f aca="false">MIN($W$7,J445+K445)</f>
        <v>2000</v>
      </c>
      <c r="M445" s="5" t="n">
        <f aca="false">VA_base_426_data!D445</f>
        <v>800</v>
      </c>
      <c r="N445" s="5" t="n">
        <f aca="false">IF(AND(C445=10,E445=1),$W$6,N444-P444)</f>
        <v>0</v>
      </c>
      <c r="O445" s="5" t="n">
        <f aca="false">IF(ABS(M445-L445)&gt;1,MIN(N445/((L445-M445)*24/12.1/1000),D445),D445)</f>
        <v>0</v>
      </c>
      <c r="P445" s="5" t="n">
        <f aca="false">MIN(IF(AND(G445,E445),(L445-M445)*24/12.1*O445/1000,0),N445)</f>
        <v>0</v>
      </c>
      <c r="Q445" s="5" t="n">
        <f aca="false">IF(P445&gt;0,P445/O445*12.1/24*1000+M445,0)</f>
        <v>0</v>
      </c>
      <c r="R445" s="0" t="n">
        <f aca="false">IF(Q445&gt;0,TRUNC(O445),0)</f>
        <v>0</v>
      </c>
      <c r="S445" s="5" t="n">
        <f aca="false">(M445*(D445-R445)+(Q445*R445))/D445</f>
        <v>800</v>
      </c>
      <c r="T445" s="6" t="n">
        <f aca="false">(Q445-M445)*R445*24/12.1/1000</f>
        <v>-0</v>
      </c>
    </row>
    <row r="446" customFormat="false" ht="14.35" hidden="false" customHeight="false" outlineLevel="0" collapsed="false">
      <c r="A446" s="4" t="n">
        <v>21305</v>
      </c>
      <c r="B446" s="15" t="n">
        <f aca="false">IF(C446&lt;=9,YEAR(A446),YEAR(A446)+1)</f>
        <v>1958</v>
      </c>
      <c r="C446" s="15" t="n">
        <f aca="false">MONTH(A446)</f>
        <v>4</v>
      </c>
      <c r="D446" s="15" t="n">
        <f aca="false">DAY(A446)</f>
        <v>30</v>
      </c>
      <c r="E446" s="15" t="n">
        <f aca="false">VLOOKUP(B446,WYT!$A$2:$L$97,12)</f>
        <v>0</v>
      </c>
      <c r="F446" s="15" t="n">
        <f aca="false">IF(C446=$W$5,1,0)</f>
        <v>0</v>
      </c>
      <c r="G446" s="15" t="n">
        <f aca="false">IF(C446=10,0,IF(F446=1,1,G445))</f>
        <v>1</v>
      </c>
      <c r="H446" s="5" t="n">
        <f aca="false">VA_base_426_data!B446</f>
        <v>7677.77211793537</v>
      </c>
      <c r="I446" s="5" t="n">
        <f aca="false">IF(AND(E446=1,OR(C446=4,C446=5)),25*12.1/24/D446*1000,0)</f>
        <v>0</v>
      </c>
      <c r="J446" s="5" t="n">
        <f aca="false">VA_base_426_data!C446</f>
        <v>1000</v>
      </c>
      <c r="K446" s="5" t="n">
        <f aca="false">H446+I446-J446</f>
        <v>6677.77211793537</v>
      </c>
      <c r="L446" s="5" t="n">
        <f aca="false">MIN($W$7,J446+K446)</f>
        <v>2000</v>
      </c>
      <c r="M446" s="5" t="n">
        <f aca="false">VA_base_426_data!D446</f>
        <v>700</v>
      </c>
      <c r="N446" s="5" t="n">
        <f aca="false">IF(AND(C446=10,E446=1),$W$6,N445-P445)</f>
        <v>0</v>
      </c>
      <c r="O446" s="5" t="n">
        <f aca="false">IF(ABS(M446-L446)&gt;1,MIN(N446/((L446-M446)*24/12.1/1000),D446),D446)</f>
        <v>0</v>
      </c>
      <c r="P446" s="5" t="n">
        <f aca="false">MIN(IF(AND(G446,E446),(L446-M446)*24/12.1*O446/1000,0),N446)</f>
        <v>0</v>
      </c>
      <c r="Q446" s="5" t="n">
        <f aca="false">IF(P446&gt;0,P446/O446*12.1/24*1000+M446,0)</f>
        <v>0</v>
      </c>
      <c r="R446" s="0" t="n">
        <f aca="false">IF(Q446&gt;0,TRUNC(O446),0)</f>
        <v>0</v>
      </c>
      <c r="S446" s="5" t="n">
        <f aca="false">(M446*(D446-R446)+(Q446*R446))/D446</f>
        <v>700</v>
      </c>
      <c r="T446" s="6" t="n">
        <f aca="false">(Q446-M446)*R446*24/12.1/1000</f>
        <v>-0</v>
      </c>
    </row>
    <row r="447" customFormat="false" ht="14.35" hidden="false" customHeight="false" outlineLevel="0" collapsed="false">
      <c r="A447" s="4" t="n">
        <v>21336</v>
      </c>
      <c r="B447" s="15" t="n">
        <f aca="false">IF(C447&lt;=9,YEAR(A447),YEAR(A447)+1)</f>
        <v>1958</v>
      </c>
      <c r="C447" s="15" t="n">
        <f aca="false">MONTH(A447)</f>
        <v>5</v>
      </c>
      <c r="D447" s="15" t="n">
        <f aca="false">DAY(A447)</f>
        <v>31</v>
      </c>
      <c r="E447" s="15" t="n">
        <f aca="false">VLOOKUP(B447,WYT!$A$2:$L$97,12)</f>
        <v>0</v>
      </c>
      <c r="F447" s="15" t="n">
        <f aca="false">IF(C447=$W$5,1,0)</f>
        <v>0</v>
      </c>
      <c r="G447" s="15" t="n">
        <f aca="false">IF(C447=10,0,IF(F447=1,1,G446))</f>
        <v>1</v>
      </c>
      <c r="H447" s="5" t="n">
        <f aca="false">VA_base_426_data!B447</f>
        <v>10506.7374479738</v>
      </c>
      <c r="I447" s="5" t="n">
        <f aca="false">IF(AND(E447=1,OR(C447=4,C447=5)),25*12.1/24/D447*1000,0)</f>
        <v>0</v>
      </c>
      <c r="J447" s="5" t="n">
        <f aca="false">VA_base_426_data!C447</f>
        <v>1000</v>
      </c>
      <c r="K447" s="5" t="n">
        <f aca="false">H447+I447-J447</f>
        <v>9506.73744797379</v>
      </c>
      <c r="L447" s="5" t="n">
        <f aca="false">MIN($W$7,J447+K447)</f>
        <v>2000</v>
      </c>
      <c r="M447" s="5" t="n">
        <f aca="false">VA_base_426_data!D447</f>
        <v>700</v>
      </c>
      <c r="N447" s="5" t="n">
        <f aca="false">IF(AND(C447=10,E447=1),$W$6,N446-P446)</f>
        <v>0</v>
      </c>
      <c r="O447" s="5" t="n">
        <f aca="false">IF(ABS(M447-L447)&gt;1,MIN(N447/((L447-M447)*24/12.1/1000),D447),D447)</f>
        <v>0</v>
      </c>
      <c r="P447" s="5" t="n">
        <f aca="false">MIN(IF(AND(G447,E447),(L447-M447)*24/12.1*O447/1000,0),N447)</f>
        <v>0</v>
      </c>
      <c r="Q447" s="5" t="n">
        <f aca="false">IF(P447&gt;0,P447/O447*12.1/24*1000+M447,0)</f>
        <v>0</v>
      </c>
      <c r="R447" s="0" t="n">
        <f aca="false">IF(Q447&gt;0,TRUNC(O447),0)</f>
        <v>0</v>
      </c>
      <c r="S447" s="5" t="n">
        <f aca="false">(M447*(D447-R447)+(Q447*R447))/D447</f>
        <v>700</v>
      </c>
      <c r="T447" s="6" t="n">
        <f aca="false">(Q447-M447)*R447*24/12.1/1000</f>
        <v>-0</v>
      </c>
    </row>
    <row r="448" customFormat="false" ht="14.35" hidden="false" customHeight="false" outlineLevel="0" collapsed="false">
      <c r="A448" s="4" t="n">
        <v>21366</v>
      </c>
      <c r="B448" s="15" t="n">
        <f aca="false">IF(C448&lt;=9,YEAR(A448),YEAR(A448)+1)</f>
        <v>1958</v>
      </c>
      <c r="C448" s="15" t="n">
        <f aca="false">MONTH(A448)</f>
        <v>6</v>
      </c>
      <c r="D448" s="15" t="n">
        <f aca="false">DAY(A448)</f>
        <v>30</v>
      </c>
      <c r="E448" s="15" t="n">
        <f aca="false">VLOOKUP(B448,WYT!$A$2:$L$97,12)</f>
        <v>0</v>
      </c>
      <c r="F448" s="15" t="n">
        <f aca="false">IF(C448=$W$5,1,0)</f>
        <v>0</v>
      </c>
      <c r="G448" s="15" t="n">
        <f aca="false">IF(C448=10,0,IF(F448=1,1,G447))</f>
        <v>1</v>
      </c>
      <c r="H448" s="5" t="n">
        <f aca="false">VA_base_426_data!B448</f>
        <v>6741.40853807776</v>
      </c>
      <c r="I448" s="5" t="n">
        <f aca="false">IF(AND(E448=1,OR(C448=4,C448=5)),25*12.1/24/D448*1000,0)</f>
        <v>0</v>
      </c>
      <c r="J448" s="5" t="n">
        <f aca="false">VA_base_426_data!C448</f>
        <v>1000</v>
      </c>
      <c r="K448" s="5" t="n">
        <f aca="false">H448+I448-J448</f>
        <v>5741.40853807776</v>
      </c>
      <c r="L448" s="5" t="n">
        <f aca="false">MIN($W$7,J448+K448)</f>
        <v>2000</v>
      </c>
      <c r="M448" s="5" t="n">
        <f aca="false">VA_base_426_data!D448</f>
        <v>700</v>
      </c>
      <c r="N448" s="5" t="n">
        <f aca="false">IF(AND(C448=10,E448=1),$W$6,N447-P447)</f>
        <v>0</v>
      </c>
      <c r="O448" s="5" t="n">
        <f aca="false">IF(ABS(M448-L448)&gt;1,MIN(N448/((L448-M448)*24/12.1/1000),D448),D448)</f>
        <v>0</v>
      </c>
      <c r="P448" s="5" t="n">
        <f aca="false">MIN(IF(AND(G448,E448),(L448-M448)*24/12.1*O448/1000,0),N448)</f>
        <v>0</v>
      </c>
      <c r="Q448" s="5" t="n">
        <f aca="false">IF(P448&gt;0,P448/O448*12.1/24*1000+M448,0)</f>
        <v>0</v>
      </c>
      <c r="R448" s="0" t="n">
        <f aca="false">IF(Q448&gt;0,TRUNC(O448),0)</f>
        <v>0</v>
      </c>
      <c r="S448" s="5" t="n">
        <f aca="false">(M448*(D448-R448)+(Q448*R448))/D448</f>
        <v>700</v>
      </c>
      <c r="T448" s="6" t="n">
        <f aca="false">(Q448-M448)*R448*24/12.1/1000</f>
        <v>-0</v>
      </c>
    </row>
    <row r="449" customFormat="false" ht="14.35" hidden="false" customHeight="false" outlineLevel="0" collapsed="false">
      <c r="A449" s="4" t="n">
        <v>21397</v>
      </c>
      <c r="B449" s="15" t="n">
        <f aca="false">IF(C449&lt;=9,YEAR(A449),YEAR(A449)+1)</f>
        <v>1958</v>
      </c>
      <c r="C449" s="15" t="n">
        <f aca="false">MONTH(A449)</f>
        <v>7</v>
      </c>
      <c r="D449" s="15" t="n">
        <f aca="false">DAY(A449)</f>
        <v>31</v>
      </c>
      <c r="E449" s="15" t="n">
        <f aca="false">VLOOKUP(B449,WYT!$A$2:$L$97,12)</f>
        <v>0</v>
      </c>
      <c r="F449" s="15" t="n">
        <f aca="false">IF(C449=$W$5,1,0)</f>
        <v>0</v>
      </c>
      <c r="G449" s="15" t="n">
        <f aca="false">IF(C449=10,0,IF(F449=1,1,G448))</f>
        <v>1</v>
      </c>
      <c r="H449" s="5" t="n">
        <f aca="false">VA_base_426_data!B449</f>
        <v>3284.41472900163</v>
      </c>
      <c r="I449" s="5" t="n">
        <f aca="false">IF(AND(E449=1,OR(C449=4,C449=5)),25*12.1/24/D449*1000,0)</f>
        <v>0</v>
      </c>
      <c r="J449" s="5" t="n">
        <f aca="false">VA_base_426_data!C449</f>
        <v>1000</v>
      </c>
      <c r="K449" s="5" t="n">
        <f aca="false">H449+I449-J449</f>
        <v>2284.41472900163</v>
      </c>
      <c r="L449" s="5" t="n">
        <f aca="false">MIN($W$7,J449+K449)</f>
        <v>2000</v>
      </c>
      <c r="M449" s="5" t="n">
        <f aca="false">VA_base_426_data!D449</f>
        <v>700</v>
      </c>
      <c r="N449" s="5" t="n">
        <f aca="false">IF(AND(C449=10,E449=1),$W$6,N448-P448)</f>
        <v>0</v>
      </c>
      <c r="O449" s="5" t="n">
        <f aca="false">IF(ABS(M449-L449)&gt;1,MIN(N449/((L449-M449)*24/12.1/1000),D449),D449)</f>
        <v>0</v>
      </c>
      <c r="P449" s="5" t="n">
        <f aca="false">MIN(IF(AND(G449,E449),(L449-M449)*24/12.1*O449/1000,0),N449)</f>
        <v>0</v>
      </c>
      <c r="Q449" s="5" t="n">
        <f aca="false">IF(P449&gt;0,P449/O449*12.1/24*1000+M449,0)</f>
        <v>0</v>
      </c>
      <c r="R449" s="0" t="n">
        <f aca="false">IF(Q449&gt;0,TRUNC(O449),0)</f>
        <v>0</v>
      </c>
      <c r="S449" s="5" t="n">
        <f aca="false">(M449*(D449-R449)+(Q449*R449))/D449</f>
        <v>700</v>
      </c>
      <c r="T449" s="6" t="n">
        <f aca="false">(Q449-M449)*R449*24/12.1/1000</f>
        <v>-0</v>
      </c>
    </row>
    <row r="450" customFormat="false" ht="14.35" hidden="false" customHeight="false" outlineLevel="0" collapsed="false">
      <c r="A450" s="4" t="n">
        <v>21428</v>
      </c>
      <c r="B450" s="15" t="n">
        <f aca="false">IF(C450&lt;=9,YEAR(A450),YEAR(A450)+1)</f>
        <v>1958</v>
      </c>
      <c r="C450" s="15" t="n">
        <f aca="false">MONTH(A450)</f>
        <v>8</v>
      </c>
      <c r="D450" s="15" t="n">
        <f aca="false">DAY(A450)</f>
        <v>31</v>
      </c>
      <c r="E450" s="15" t="n">
        <f aca="false">VLOOKUP(B450,WYT!$A$2:$L$97,12)</f>
        <v>0</v>
      </c>
      <c r="F450" s="15" t="n">
        <f aca="false">IF(C450=$W$5,1,0)</f>
        <v>0</v>
      </c>
      <c r="G450" s="15" t="n">
        <f aca="false">IF(C450=10,0,IF(F450=1,1,G449))</f>
        <v>1</v>
      </c>
      <c r="H450" s="5" t="n">
        <f aca="false">VA_base_426_data!B450</f>
        <v>1396.53324645576</v>
      </c>
      <c r="I450" s="5" t="n">
        <f aca="false">IF(AND(E450=1,OR(C450=4,C450=5)),25*12.1/24/D450*1000,0)</f>
        <v>0</v>
      </c>
      <c r="J450" s="5" t="n">
        <f aca="false">VA_base_426_data!C450</f>
        <v>1000</v>
      </c>
      <c r="K450" s="5" t="n">
        <f aca="false">H450+I450-J450</f>
        <v>396.533246455755</v>
      </c>
      <c r="L450" s="5" t="n">
        <f aca="false">MIN($W$7,J450+K450)</f>
        <v>1396.53324645576</v>
      </c>
      <c r="M450" s="5" t="n">
        <f aca="false">VA_base_426_data!D450</f>
        <v>700</v>
      </c>
      <c r="N450" s="5" t="n">
        <f aca="false">IF(AND(C450=10,E450=1),$W$6,N449-P449)</f>
        <v>0</v>
      </c>
      <c r="O450" s="5" t="n">
        <f aca="false">IF(ABS(M450-L450)&gt;1,MIN(N450/((L450-M450)*24/12.1/1000),D450),D450)</f>
        <v>0</v>
      </c>
      <c r="P450" s="5" t="n">
        <f aca="false">MIN(IF(AND(G450,E450),(L450-M450)*24/12.1*O450/1000,0),N450)</f>
        <v>0</v>
      </c>
      <c r="Q450" s="5" t="n">
        <f aca="false">IF(P450&gt;0,P450/O450*12.1/24*1000+M450,0)</f>
        <v>0</v>
      </c>
      <c r="R450" s="0" t="n">
        <f aca="false">IF(Q450&gt;0,TRUNC(O450),0)</f>
        <v>0</v>
      </c>
      <c r="S450" s="5" t="n">
        <f aca="false">(M450*(D450-R450)+(Q450*R450))/D450</f>
        <v>700</v>
      </c>
      <c r="T450" s="6" t="n">
        <f aca="false">(Q450-M450)*R450*24/12.1/1000</f>
        <v>-0</v>
      </c>
    </row>
    <row r="451" customFormat="false" ht="14.35" hidden="false" customHeight="false" outlineLevel="0" collapsed="false">
      <c r="A451" s="4" t="n">
        <v>21458</v>
      </c>
      <c r="B451" s="15" t="n">
        <f aca="false">IF(C451&lt;=9,YEAR(A451),YEAR(A451)+1)</f>
        <v>1958</v>
      </c>
      <c r="C451" s="15" t="n">
        <f aca="false">MONTH(A451)</f>
        <v>9</v>
      </c>
      <c r="D451" s="15" t="n">
        <f aca="false">DAY(A451)</f>
        <v>30</v>
      </c>
      <c r="E451" s="15" t="n">
        <f aca="false">VLOOKUP(B451,WYT!$A$2:$L$97,12)</f>
        <v>0</v>
      </c>
      <c r="F451" s="15" t="n">
        <f aca="false">IF(C451=$W$5,1,0)</f>
        <v>0</v>
      </c>
      <c r="G451" s="15" t="n">
        <f aca="false">IF(C451=10,0,IF(F451=1,1,G450))</f>
        <v>1</v>
      </c>
      <c r="H451" s="5" t="n">
        <f aca="false">VA_base_426_data!B451</f>
        <v>9441.43123015564</v>
      </c>
      <c r="I451" s="5" t="n">
        <f aca="false">IF(AND(E451=1,OR(C451=4,C451=5)),25*12.1/24/D451*1000,0)</f>
        <v>0</v>
      </c>
      <c r="J451" s="5" t="n">
        <f aca="false">VA_base_426_data!C451</f>
        <v>1000</v>
      </c>
      <c r="K451" s="5" t="n">
        <f aca="false">H451+I451-J451</f>
        <v>8441.43123015564</v>
      </c>
      <c r="L451" s="5" t="n">
        <f aca="false">MIN($W$7,J451+K451)</f>
        <v>2000</v>
      </c>
      <c r="M451" s="5" t="n">
        <f aca="false">VA_base_426_data!D451</f>
        <v>773.3333333</v>
      </c>
      <c r="N451" s="5" t="n">
        <f aca="false">IF(AND(C451=10,E451=1),$W$6,N450-P450)</f>
        <v>0</v>
      </c>
      <c r="O451" s="5" t="n">
        <f aca="false">IF(ABS(M451-L451)&gt;1,MIN(N451/((L451-M451)*24/12.1/1000),D451),D451)</f>
        <v>0</v>
      </c>
      <c r="P451" s="5" t="n">
        <f aca="false">MIN(IF(AND(G451,E451),(L451-M451)*24/12.1*O451/1000,0),N451)</f>
        <v>0</v>
      </c>
      <c r="Q451" s="5" t="n">
        <f aca="false">IF(P451&gt;0,P451/O451*12.1/24*1000+M451,0)</f>
        <v>0</v>
      </c>
      <c r="R451" s="0" t="n">
        <f aca="false">IF(Q451&gt;0,TRUNC(O451),0)</f>
        <v>0</v>
      </c>
      <c r="S451" s="5" t="n">
        <f aca="false">(M451*(D451-R451)+(Q451*R451))/D451</f>
        <v>773.3333333</v>
      </c>
      <c r="T451" s="6" t="n">
        <f aca="false">(Q451-M451)*R451*24/12.1/1000</f>
        <v>-0</v>
      </c>
    </row>
    <row r="452" customFormat="false" ht="14.35" hidden="false" customHeight="false" outlineLevel="0" collapsed="false">
      <c r="A452" s="4" t="n">
        <v>21489</v>
      </c>
      <c r="B452" s="15" t="n">
        <f aca="false">IF(C452&lt;=9,YEAR(A452),YEAR(A452)+1)</f>
        <v>1959</v>
      </c>
      <c r="C452" s="15" t="n">
        <f aca="false">MONTH(A452)</f>
        <v>10</v>
      </c>
      <c r="D452" s="15" t="n">
        <f aca="false">DAY(A452)</f>
        <v>31</v>
      </c>
      <c r="E452" s="15" t="n">
        <f aca="false">VLOOKUP(B452,WYT!$A$2:$L$97,12)</f>
        <v>1</v>
      </c>
      <c r="F452" s="15" t="n">
        <f aca="false">IF(C452=$W$5,1,0)</f>
        <v>0</v>
      </c>
      <c r="G452" s="15" t="n">
        <f aca="false">IF(C452=10,0,IF(F452=1,1,G451))</f>
        <v>0</v>
      </c>
      <c r="H452" s="5" t="n">
        <f aca="false">VA_base_426_data!B452</f>
        <v>4000</v>
      </c>
      <c r="I452" s="5" t="n">
        <f aca="false">IF(AND(E452=1,OR(C452=4,C452=5)),25*12.1/24/D452*1000,0)</f>
        <v>0</v>
      </c>
      <c r="J452" s="5" t="n">
        <f aca="false">VA_base_426_data!C452</f>
        <v>1700</v>
      </c>
      <c r="K452" s="5" t="n">
        <f aca="false">H452+I452-J452</f>
        <v>2300</v>
      </c>
      <c r="L452" s="5" t="n">
        <f aca="false">MIN($W$7,J452+K452)</f>
        <v>2000</v>
      </c>
      <c r="M452" s="5" t="n">
        <f aca="false">VA_base_426_data!D452</f>
        <v>800</v>
      </c>
      <c r="N452" s="5" t="n">
        <f aca="false">IF(AND(C452=10,E452=1),$W$6,N451-P451)</f>
        <v>43</v>
      </c>
      <c r="O452" s="5" t="n">
        <f aca="false">IF(ABS(M452-L452)&gt;1,MIN(N452/((L452-M452)*24/12.1/1000),D452),D452)</f>
        <v>18.0659722222222</v>
      </c>
      <c r="P452" s="5" t="n">
        <f aca="false">MIN(IF(AND(G452,E452),(L452-M452)*24/12.1*O452/1000,0),N452)</f>
        <v>0</v>
      </c>
      <c r="Q452" s="5" t="n">
        <f aca="false">IF(P452&gt;0,P452/O452*12.1/24*1000+M452,0)</f>
        <v>0</v>
      </c>
      <c r="R452" s="0" t="n">
        <f aca="false">IF(Q452&gt;0,TRUNC(O452),0)</f>
        <v>0</v>
      </c>
      <c r="S452" s="5" t="n">
        <f aca="false">(M452*(D452-R452)+(Q452*R452))/D452</f>
        <v>800</v>
      </c>
      <c r="T452" s="6" t="n">
        <f aca="false">(Q452-M452)*R452*24/12.1/1000</f>
        <v>-0</v>
      </c>
    </row>
    <row r="453" customFormat="false" ht="14.35" hidden="false" customHeight="false" outlineLevel="0" collapsed="false">
      <c r="A453" s="4" t="n">
        <v>21519</v>
      </c>
      <c r="B453" s="15" t="n">
        <f aca="false">IF(C453&lt;=9,YEAR(A453),YEAR(A453)+1)</f>
        <v>1959</v>
      </c>
      <c r="C453" s="15" t="n">
        <f aca="false">MONTH(A453)</f>
        <v>11</v>
      </c>
      <c r="D453" s="15" t="n">
        <f aca="false">DAY(A453)</f>
        <v>30</v>
      </c>
      <c r="E453" s="15" t="n">
        <f aca="false">VLOOKUP(B453,WYT!$A$2:$L$97,12)</f>
        <v>1</v>
      </c>
      <c r="F453" s="15" t="n">
        <f aca="false">IF(C453=$W$5,1,0)</f>
        <v>0</v>
      </c>
      <c r="G453" s="15" t="n">
        <f aca="false">IF(C453=10,0,IF(F453=1,1,G452))</f>
        <v>0</v>
      </c>
      <c r="H453" s="5" t="n">
        <f aca="false">VA_base_426_data!B453</f>
        <v>2500</v>
      </c>
      <c r="I453" s="5" t="n">
        <f aca="false">IF(AND(E453=1,OR(C453=4,C453=5)),25*12.1/24/D453*1000,0)</f>
        <v>0</v>
      </c>
      <c r="J453" s="5" t="n">
        <f aca="false">VA_base_426_data!C453</f>
        <v>1700</v>
      </c>
      <c r="K453" s="5" t="n">
        <f aca="false">H453+I453-J453</f>
        <v>800</v>
      </c>
      <c r="L453" s="5" t="n">
        <f aca="false">MIN($W$7,J453+K453)</f>
        <v>2000</v>
      </c>
      <c r="M453" s="5" t="n">
        <f aca="false">VA_base_426_data!D453</f>
        <v>800</v>
      </c>
      <c r="N453" s="5" t="n">
        <f aca="false">IF(AND(C453=10,E453=1),$W$6,N452-P452)</f>
        <v>43</v>
      </c>
      <c r="O453" s="5" t="n">
        <f aca="false">IF(ABS(M453-L453)&gt;1,MIN(N453/((L453-M453)*24/12.1/1000),D453),D453)</f>
        <v>18.0659722222222</v>
      </c>
      <c r="P453" s="5" t="n">
        <f aca="false">MIN(IF(AND(G453,E453),(L453-M453)*24/12.1*O453/1000,0),N453)</f>
        <v>0</v>
      </c>
      <c r="Q453" s="5" t="n">
        <f aca="false">IF(P453&gt;0,P453/O453*12.1/24*1000+M453,0)</f>
        <v>0</v>
      </c>
      <c r="R453" s="0" t="n">
        <f aca="false">IF(Q453&gt;0,TRUNC(O453),0)</f>
        <v>0</v>
      </c>
      <c r="S453" s="5" t="n">
        <f aca="false">(M453*(D453-R453)+(Q453*R453))/D453</f>
        <v>800</v>
      </c>
      <c r="T453" s="6" t="n">
        <f aca="false">(Q453-M453)*R453*24/12.1/1000</f>
        <v>-0</v>
      </c>
    </row>
    <row r="454" customFormat="false" ht="14.35" hidden="false" customHeight="false" outlineLevel="0" collapsed="false">
      <c r="A454" s="4" t="n">
        <v>21550</v>
      </c>
      <c r="B454" s="15" t="n">
        <f aca="false">IF(C454&lt;=9,YEAR(A454),YEAR(A454)+1)</f>
        <v>1959</v>
      </c>
      <c r="C454" s="15" t="n">
        <f aca="false">MONTH(A454)</f>
        <v>12</v>
      </c>
      <c r="D454" s="15" t="n">
        <f aca="false">DAY(A454)</f>
        <v>31</v>
      </c>
      <c r="E454" s="15" t="n">
        <f aca="false">VLOOKUP(B454,WYT!$A$2:$L$97,12)</f>
        <v>1</v>
      </c>
      <c r="F454" s="15" t="n">
        <f aca="false">IF(C454=$W$5,1,0)</f>
        <v>0</v>
      </c>
      <c r="G454" s="15" t="n">
        <f aca="false">IF(C454=10,0,IF(F454=1,1,G453))</f>
        <v>0</v>
      </c>
      <c r="H454" s="5" t="n">
        <f aca="false">VA_base_426_data!B454</f>
        <v>5691.9063786457</v>
      </c>
      <c r="I454" s="5" t="n">
        <f aca="false">IF(AND(E454=1,OR(C454=4,C454=5)),25*12.1/24/D454*1000,0)</f>
        <v>0</v>
      </c>
      <c r="J454" s="5" t="n">
        <f aca="false">VA_base_426_data!C454</f>
        <v>1700</v>
      </c>
      <c r="K454" s="5" t="n">
        <f aca="false">H454+I454-J454</f>
        <v>3991.9063786457</v>
      </c>
      <c r="L454" s="5" t="n">
        <f aca="false">MIN($W$7,J454+K454)</f>
        <v>2000</v>
      </c>
      <c r="M454" s="5" t="n">
        <f aca="false">VA_base_426_data!D454</f>
        <v>800</v>
      </c>
      <c r="N454" s="5" t="n">
        <f aca="false">IF(AND(C454=10,E454=1),$W$6,N453-P453)</f>
        <v>43</v>
      </c>
      <c r="O454" s="5" t="n">
        <f aca="false">IF(ABS(M454-L454)&gt;1,MIN(N454/((L454-M454)*24/12.1/1000),D454),D454)</f>
        <v>18.0659722222222</v>
      </c>
      <c r="P454" s="5" t="n">
        <f aca="false">MIN(IF(AND(G454,E454),(L454-M454)*24/12.1*O454/1000,0),N454)</f>
        <v>0</v>
      </c>
      <c r="Q454" s="5" t="n">
        <f aca="false">IF(P454&gt;0,P454/O454*12.1/24*1000+M454,0)</f>
        <v>0</v>
      </c>
      <c r="R454" s="0" t="n">
        <f aca="false">IF(Q454&gt;0,TRUNC(O454),0)</f>
        <v>0</v>
      </c>
      <c r="S454" s="5" t="n">
        <f aca="false">(M454*(D454-R454)+(Q454*R454))/D454</f>
        <v>800</v>
      </c>
      <c r="T454" s="6" t="n">
        <f aca="false">(Q454-M454)*R454*24/12.1/1000</f>
        <v>-0</v>
      </c>
    </row>
    <row r="455" customFormat="false" ht="14.35" hidden="false" customHeight="false" outlineLevel="0" collapsed="false">
      <c r="A455" s="4" t="n">
        <v>21581</v>
      </c>
      <c r="B455" s="15" t="n">
        <f aca="false">IF(C455&lt;=9,YEAR(A455),YEAR(A455)+1)</f>
        <v>1959</v>
      </c>
      <c r="C455" s="15" t="n">
        <f aca="false">MONTH(A455)</f>
        <v>1</v>
      </c>
      <c r="D455" s="15" t="n">
        <f aca="false">DAY(A455)</f>
        <v>31</v>
      </c>
      <c r="E455" s="15" t="n">
        <f aca="false">VLOOKUP(B455,WYT!$A$2:$L$97,12)</f>
        <v>1</v>
      </c>
      <c r="F455" s="15" t="n">
        <f aca="false">IF(C455=$W$5,1,0)</f>
        <v>0</v>
      </c>
      <c r="G455" s="15" t="n">
        <f aca="false">IF(C455=10,0,IF(F455=1,1,G454))</f>
        <v>0</v>
      </c>
      <c r="H455" s="5" t="n">
        <f aca="false">VA_base_426_data!B455</f>
        <v>1700</v>
      </c>
      <c r="I455" s="5" t="n">
        <f aca="false">IF(AND(E455=1,OR(C455=4,C455=5)),25*12.1/24/D455*1000,0)</f>
        <v>0</v>
      </c>
      <c r="J455" s="5" t="n">
        <f aca="false">VA_base_426_data!C455</f>
        <v>1700</v>
      </c>
      <c r="K455" s="5" t="n">
        <f aca="false">H455+I455-J455</f>
        <v>0</v>
      </c>
      <c r="L455" s="5" t="n">
        <f aca="false">MIN($W$7,J455+K455)</f>
        <v>1700</v>
      </c>
      <c r="M455" s="5" t="n">
        <f aca="false">VA_base_426_data!D455</f>
        <v>800</v>
      </c>
      <c r="N455" s="5" t="n">
        <f aca="false">IF(AND(C455=10,E455=1),$W$6,N454-P454)</f>
        <v>43</v>
      </c>
      <c r="O455" s="5" t="n">
        <f aca="false">IF(ABS(M455-L455)&gt;1,MIN(N455/((L455-M455)*24/12.1/1000),D455),D455)</f>
        <v>24.087962962963</v>
      </c>
      <c r="P455" s="5" t="n">
        <f aca="false">MIN(IF(AND(G455,E455),(L455-M455)*24/12.1*O455/1000,0),N455)</f>
        <v>0</v>
      </c>
      <c r="Q455" s="5" t="n">
        <f aca="false">IF(P455&gt;0,P455/O455*12.1/24*1000+M455,0)</f>
        <v>0</v>
      </c>
      <c r="R455" s="0" t="n">
        <f aca="false">IF(Q455&gt;0,TRUNC(O455),0)</f>
        <v>0</v>
      </c>
      <c r="S455" s="5" t="n">
        <f aca="false">(M455*(D455-R455)+(Q455*R455))/D455</f>
        <v>800</v>
      </c>
      <c r="T455" s="6" t="n">
        <f aca="false">(Q455-M455)*R455*24/12.1/1000</f>
        <v>-0</v>
      </c>
    </row>
    <row r="456" customFormat="false" ht="14.35" hidden="false" customHeight="false" outlineLevel="0" collapsed="false">
      <c r="A456" s="4" t="n">
        <v>21609</v>
      </c>
      <c r="B456" s="15" t="n">
        <f aca="false">IF(C456&lt;=9,YEAR(A456),YEAR(A456)+1)</f>
        <v>1959</v>
      </c>
      <c r="C456" s="15" t="n">
        <f aca="false">MONTH(A456)</f>
        <v>2</v>
      </c>
      <c r="D456" s="15" t="n">
        <f aca="false">DAY(A456)</f>
        <v>28</v>
      </c>
      <c r="E456" s="15" t="n">
        <f aca="false">VLOOKUP(B456,WYT!$A$2:$L$97,12)</f>
        <v>1</v>
      </c>
      <c r="F456" s="15" t="n">
        <f aca="false">IF(C456=$W$5,1,0)</f>
        <v>1</v>
      </c>
      <c r="G456" s="15" t="n">
        <f aca="false">IF(C456=10,0,IF(F456=1,1,G455))</f>
        <v>1</v>
      </c>
      <c r="H456" s="5" t="n">
        <f aca="false">VA_base_426_data!B456</f>
        <v>2756.15143109703</v>
      </c>
      <c r="I456" s="5" t="n">
        <f aca="false">IF(AND(E456=1,OR(C456=4,C456=5)),25*12.1/24/D456*1000,0)</f>
        <v>0</v>
      </c>
      <c r="J456" s="5" t="n">
        <f aca="false">VA_base_426_data!C456</f>
        <v>1700</v>
      </c>
      <c r="K456" s="5" t="n">
        <f aca="false">H456+I456-J456</f>
        <v>1056.15143109703</v>
      </c>
      <c r="L456" s="5" t="n">
        <f aca="false">MIN($W$7,J456+K456)</f>
        <v>2000</v>
      </c>
      <c r="M456" s="5" t="n">
        <f aca="false">VA_base_426_data!D456</f>
        <v>800</v>
      </c>
      <c r="N456" s="5" t="n">
        <f aca="false">IF(AND(C456=10,E456=1),$W$6,N455-P455)</f>
        <v>43</v>
      </c>
      <c r="O456" s="5" t="n">
        <f aca="false">IF(ABS(M456-L456)&gt;1,MIN(N456/((L456-M456)*24/12.1/1000),D456),D456)</f>
        <v>18.0659722222222</v>
      </c>
      <c r="P456" s="5" t="n">
        <f aca="false">MIN(IF(AND(G456,E456),(L456-M456)*24/12.1*O456/1000,0),N456)</f>
        <v>43</v>
      </c>
      <c r="Q456" s="5" t="n">
        <f aca="false">IF(P456&gt;0,P456/O456*12.1/24*1000+M456,0)</f>
        <v>2000</v>
      </c>
      <c r="R456" s="0" t="n">
        <f aca="false">IF(Q456&gt;0,TRUNC(O456),0)</f>
        <v>18</v>
      </c>
      <c r="S456" s="5" t="n">
        <f aca="false">(M456*(D456-R456)+(Q456*R456))/D456</f>
        <v>1571.42857142857</v>
      </c>
      <c r="T456" s="6" t="n">
        <f aca="false">(Q456-M456)*R456*24/12.1/1000</f>
        <v>42.8429752066116</v>
      </c>
    </row>
    <row r="457" customFormat="false" ht="14.35" hidden="false" customHeight="false" outlineLevel="0" collapsed="false">
      <c r="A457" s="4" t="n">
        <v>21640</v>
      </c>
      <c r="B457" s="15" t="n">
        <f aca="false">IF(C457&lt;=9,YEAR(A457),YEAR(A457)+1)</f>
        <v>1959</v>
      </c>
      <c r="C457" s="15" t="n">
        <f aca="false">MONTH(A457)</f>
        <v>3</v>
      </c>
      <c r="D457" s="15" t="n">
        <f aca="false">DAY(A457)</f>
        <v>31</v>
      </c>
      <c r="E457" s="15" t="n">
        <f aca="false">VLOOKUP(B457,WYT!$A$2:$L$97,12)</f>
        <v>1</v>
      </c>
      <c r="F457" s="15" t="n">
        <f aca="false">IF(C457=$W$5,1,0)</f>
        <v>0</v>
      </c>
      <c r="G457" s="15" t="n">
        <f aca="false">IF(C457=10,0,IF(F457=1,1,G456))</f>
        <v>1</v>
      </c>
      <c r="H457" s="5" t="n">
        <f aca="false">VA_base_426_data!B457</f>
        <v>2247.79871860452</v>
      </c>
      <c r="I457" s="5" t="n">
        <f aca="false">IF(AND(E457=1,OR(C457=4,C457=5)),25*12.1/24/D457*1000,0)</f>
        <v>0</v>
      </c>
      <c r="J457" s="5" t="n">
        <f aca="false">VA_base_426_data!C457</f>
        <v>1700</v>
      </c>
      <c r="K457" s="5" t="n">
        <f aca="false">H457+I457-J457</f>
        <v>547.798718604525</v>
      </c>
      <c r="L457" s="5" t="n">
        <f aca="false">MIN($W$7,J457+K457)</f>
        <v>2000</v>
      </c>
      <c r="M457" s="5" t="n">
        <f aca="false">VA_base_426_data!D457</f>
        <v>800</v>
      </c>
      <c r="N457" s="5" t="n">
        <f aca="false">IF(AND(C457=10,E457=1),$W$6,N456-P456)</f>
        <v>0</v>
      </c>
      <c r="O457" s="5" t="n">
        <f aca="false">IF(ABS(M457-L457)&gt;1,MIN(N457/((L457-M457)*24/12.1/1000),D457),D457)</f>
        <v>0</v>
      </c>
      <c r="P457" s="5" t="n">
        <f aca="false">MIN(IF(AND(G457,E457),(L457-M457)*24/12.1*O457/1000,0),N457)</f>
        <v>0</v>
      </c>
      <c r="Q457" s="5" t="n">
        <f aca="false">IF(P457&gt;0,P457/O457*12.1/24*1000+M457,0)</f>
        <v>0</v>
      </c>
      <c r="R457" s="0" t="n">
        <f aca="false">IF(Q457&gt;0,TRUNC(O457),0)</f>
        <v>0</v>
      </c>
      <c r="S457" s="5" t="n">
        <f aca="false">(M457*(D457-R457)+(Q457*R457))/D457</f>
        <v>800</v>
      </c>
      <c r="T457" s="6" t="n">
        <f aca="false">(Q457-M457)*R457*24/12.1/1000</f>
        <v>-0</v>
      </c>
    </row>
    <row r="458" customFormat="false" ht="14.35" hidden="false" customHeight="false" outlineLevel="0" collapsed="false">
      <c r="A458" s="4" t="n">
        <v>21670</v>
      </c>
      <c r="B458" s="15" t="n">
        <f aca="false">IF(C458&lt;=9,YEAR(A458),YEAR(A458)+1)</f>
        <v>1959</v>
      </c>
      <c r="C458" s="15" t="n">
        <f aca="false">MONTH(A458)</f>
        <v>4</v>
      </c>
      <c r="D458" s="15" t="n">
        <f aca="false">DAY(A458)</f>
        <v>30</v>
      </c>
      <c r="E458" s="15" t="n">
        <f aca="false">VLOOKUP(B458,WYT!$A$2:$L$97,12)</f>
        <v>1</v>
      </c>
      <c r="F458" s="15" t="n">
        <f aca="false">IF(C458=$W$5,1,0)</f>
        <v>0</v>
      </c>
      <c r="G458" s="15" t="n">
        <f aca="false">IF(C458=10,0,IF(F458=1,1,G457))</f>
        <v>1</v>
      </c>
      <c r="H458" s="5" t="n">
        <f aca="false">VA_base_426_data!B458</f>
        <v>1934.56402331141</v>
      </c>
      <c r="I458" s="5" t="n">
        <f aca="false">IF(AND(E458=1,OR(C458=4,C458=5)),25*12.1/24/D458*1000,0)</f>
        <v>420.138888888889</v>
      </c>
      <c r="J458" s="5" t="n">
        <f aca="false">VA_base_426_data!C458</f>
        <v>1000</v>
      </c>
      <c r="K458" s="5" t="n">
        <f aca="false">H458+I458-J458</f>
        <v>1354.7029122003</v>
      </c>
      <c r="L458" s="5" t="n">
        <f aca="false">MIN($W$7,J458+K458)</f>
        <v>2000</v>
      </c>
      <c r="M458" s="5" t="n">
        <f aca="false">VA_base_426_data!D458</f>
        <v>700</v>
      </c>
      <c r="N458" s="5" t="n">
        <f aca="false">IF(AND(C458=10,E458=1),$W$6,N457-P457)</f>
        <v>0</v>
      </c>
      <c r="O458" s="5" t="n">
        <f aca="false">IF(ABS(M458-L458)&gt;1,MIN(N458/((L458-M458)*24/12.1/1000),D458),D458)</f>
        <v>0</v>
      </c>
      <c r="P458" s="5" t="n">
        <f aca="false">MIN(IF(AND(G458,E458),(L458-M458)*24/12.1*O458/1000,0),N458)</f>
        <v>0</v>
      </c>
      <c r="Q458" s="5" t="n">
        <f aca="false">IF(P458&gt;0,P458/O458*12.1/24*1000+M458,0)</f>
        <v>0</v>
      </c>
      <c r="R458" s="0" t="n">
        <f aca="false">IF(Q458&gt;0,TRUNC(O458),0)</f>
        <v>0</v>
      </c>
      <c r="S458" s="5" t="n">
        <f aca="false">(M458*(D458-R458)+(Q458*R458))/D458</f>
        <v>700</v>
      </c>
      <c r="T458" s="6" t="n">
        <f aca="false">(Q458-M458)*R458*24/12.1/1000</f>
        <v>-0</v>
      </c>
    </row>
    <row r="459" customFormat="false" ht="14.35" hidden="false" customHeight="false" outlineLevel="0" collapsed="false">
      <c r="A459" s="4" t="n">
        <v>21701</v>
      </c>
      <c r="B459" s="15" t="n">
        <f aca="false">IF(C459&lt;=9,YEAR(A459),YEAR(A459)+1)</f>
        <v>1959</v>
      </c>
      <c r="C459" s="15" t="n">
        <f aca="false">MONTH(A459)</f>
        <v>5</v>
      </c>
      <c r="D459" s="15" t="n">
        <f aca="false">DAY(A459)</f>
        <v>31</v>
      </c>
      <c r="E459" s="15" t="n">
        <f aca="false">VLOOKUP(B459,WYT!$A$2:$L$97,12)</f>
        <v>1</v>
      </c>
      <c r="F459" s="15" t="n">
        <f aca="false">IF(C459=$W$5,1,0)</f>
        <v>0</v>
      </c>
      <c r="G459" s="15" t="n">
        <f aca="false">IF(C459=10,0,IF(F459=1,1,G458))</f>
        <v>1</v>
      </c>
      <c r="H459" s="5" t="n">
        <f aca="false">VA_base_426_data!B459</f>
        <v>1847.42482258737</v>
      </c>
      <c r="I459" s="5" t="n">
        <f aca="false">IF(AND(E459=1,OR(C459=4,C459=5)),25*12.1/24/D459*1000,0)</f>
        <v>406.586021505376</v>
      </c>
      <c r="J459" s="5" t="n">
        <f aca="false">VA_base_426_data!C459</f>
        <v>1000</v>
      </c>
      <c r="K459" s="5" t="n">
        <f aca="false">H459+I459-J459</f>
        <v>1254.01084409275</v>
      </c>
      <c r="L459" s="5" t="n">
        <f aca="false">MIN($W$7,J459+K459)</f>
        <v>2000</v>
      </c>
      <c r="M459" s="5" t="n">
        <f aca="false">VA_base_426_data!D459</f>
        <v>700</v>
      </c>
      <c r="N459" s="5" t="n">
        <f aca="false">IF(AND(C459=10,E459=1),$W$6,N458-P458)</f>
        <v>0</v>
      </c>
      <c r="O459" s="5" t="n">
        <f aca="false">IF(ABS(M459-L459)&gt;1,MIN(N459/((L459-M459)*24/12.1/1000),D459),D459)</f>
        <v>0</v>
      </c>
      <c r="P459" s="5" t="n">
        <f aca="false">MIN(IF(AND(G459,E459),(L459-M459)*24/12.1*O459/1000,0),N459)</f>
        <v>0</v>
      </c>
      <c r="Q459" s="5" t="n">
        <f aca="false">IF(P459&gt;0,P459/O459*12.1/24*1000+M459,0)</f>
        <v>0</v>
      </c>
      <c r="R459" s="0" t="n">
        <f aca="false">IF(Q459&gt;0,TRUNC(O459),0)</f>
        <v>0</v>
      </c>
      <c r="S459" s="5" t="n">
        <f aca="false">(M459*(D459-R459)+(Q459*R459))/D459</f>
        <v>700</v>
      </c>
      <c r="T459" s="6" t="n">
        <f aca="false">(Q459-M459)*R459*24/12.1/1000</f>
        <v>-0</v>
      </c>
    </row>
    <row r="460" customFormat="false" ht="14.35" hidden="false" customHeight="false" outlineLevel="0" collapsed="false">
      <c r="A460" s="4" t="n">
        <v>21731</v>
      </c>
      <c r="B460" s="15" t="n">
        <f aca="false">IF(C460&lt;=9,YEAR(A460),YEAR(A460)+1)</f>
        <v>1959</v>
      </c>
      <c r="C460" s="15" t="n">
        <f aca="false">MONTH(A460)</f>
        <v>6</v>
      </c>
      <c r="D460" s="15" t="n">
        <f aca="false">DAY(A460)</f>
        <v>30</v>
      </c>
      <c r="E460" s="15" t="n">
        <f aca="false">VLOOKUP(B460,WYT!$A$2:$L$97,12)</f>
        <v>1</v>
      </c>
      <c r="F460" s="15" t="n">
        <f aca="false">IF(C460=$W$5,1,0)</f>
        <v>0</v>
      </c>
      <c r="G460" s="15" t="n">
        <f aca="false">IF(C460=10,0,IF(F460=1,1,G459))</f>
        <v>1</v>
      </c>
      <c r="H460" s="5" t="n">
        <f aca="false">VA_base_426_data!B460</f>
        <v>3995.75587657334</v>
      </c>
      <c r="I460" s="5" t="n">
        <f aca="false">IF(AND(E460=1,OR(C460=4,C460=5)),25*12.1/24/D460*1000,0)</f>
        <v>0</v>
      </c>
      <c r="J460" s="5" t="n">
        <f aca="false">VA_base_426_data!C460</f>
        <v>1000</v>
      </c>
      <c r="K460" s="5" t="n">
        <f aca="false">H460+I460-J460</f>
        <v>2995.75587657334</v>
      </c>
      <c r="L460" s="5" t="n">
        <f aca="false">MIN($W$7,J460+K460)</f>
        <v>2000</v>
      </c>
      <c r="M460" s="5" t="n">
        <f aca="false">VA_base_426_data!D460</f>
        <v>700</v>
      </c>
      <c r="N460" s="5" t="n">
        <f aca="false">IF(AND(C460=10,E460=1),$W$6,N459-P459)</f>
        <v>0</v>
      </c>
      <c r="O460" s="5" t="n">
        <f aca="false">IF(ABS(M460-L460)&gt;1,MIN(N460/((L460-M460)*24/12.1/1000),D460),D460)</f>
        <v>0</v>
      </c>
      <c r="P460" s="5" t="n">
        <f aca="false">MIN(IF(AND(G460,E460),(L460-M460)*24/12.1*O460/1000,0),N460)</f>
        <v>0</v>
      </c>
      <c r="Q460" s="5" t="n">
        <f aca="false">IF(P460&gt;0,P460/O460*12.1/24*1000+M460,0)</f>
        <v>0</v>
      </c>
      <c r="R460" s="0" t="n">
        <f aca="false">IF(Q460&gt;0,TRUNC(O460),0)</f>
        <v>0</v>
      </c>
      <c r="S460" s="5" t="n">
        <f aca="false">(M460*(D460-R460)+(Q460*R460))/D460</f>
        <v>700</v>
      </c>
      <c r="T460" s="6" t="n">
        <f aca="false">(Q460-M460)*R460*24/12.1/1000</f>
        <v>-0</v>
      </c>
    </row>
    <row r="461" customFormat="false" ht="14.35" hidden="false" customHeight="false" outlineLevel="0" collapsed="false">
      <c r="A461" s="4" t="n">
        <v>21762</v>
      </c>
      <c r="B461" s="15" t="n">
        <f aca="false">IF(C461&lt;=9,YEAR(A461),YEAR(A461)+1)</f>
        <v>1959</v>
      </c>
      <c r="C461" s="15" t="n">
        <f aca="false">MONTH(A461)</f>
        <v>7</v>
      </c>
      <c r="D461" s="15" t="n">
        <f aca="false">DAY(A461)</f>
        <v>31</v>
      </c>
      <c r="E461" s="15" t="n">
        <f aca="false">VLOOKUP(B461,WYT!$A$2:$L$97,12)</f>
        <v>1</v>
      </c>
      <c r="F461" s="15" t="n">
        <f aca="false">IF(C461=$W$5,1,0)</f>
        <v>0</v>
      </c>
      <c r="G461" s="15" t="n">
        <f aca="false">IF(C461=10,0,IF(F461=1,1,G460))</f>
        <v>1</v>
      </c>
      <c r="H461" s="5" t="n">
        <f aca="false">VA_base_426_data!B461</f>
        <v>10000</v>
      </c>
      <c r="I461" s="5" t="n">
        <f aca="false">IF(AND(E461=1,OR(C461=4,C461=5)),25*12.1/24/D461*1000,0)</f>
        <v>0</v>
      </c>
      <c r="J461" s="5" t="n">
        <f aca="false">VA_base_426_data!C461</f>
        <v>1000</v>
      </c>
      <c r="K461" s="5" t="n">
        <f aca="false">H461+I461-J461</f>
        <v>9000</v>
      </c>
      <c r="L461" s="5" t="n">
        <f aca="false">MIN($W$7,J461+K461)</f>
        <v>2000</v>
      </c>
      <c r="M461" s="5" t="n">
        <f aca="false">VA_base_426_data!D461</f>
        <v>700</v>
      </c>
      <c r="N461" s="5" t="n">
        <f aca="false">IF(AND(C461=10,E461=1),$W$6,N460-P460)</f>
        <v>0</v>
      </c>
      <c r="O461" s="5" t="n">
        <f aca="false">IF(ABS(M461-L461)&gt;1,MIN(N461/((L461-M461)*24/12.1/1000),D461),D461)</f>
        <v>0</v>
      </c>
      <c r="P461" s="5" t="n">
        <f aca="false">MIN(IF(AND(G461,E461),(L461-M461)*24/12.1*O461/1000,0),N461)</f>
        <v>0</v>
      </c>
      <c r="Q461" s="5" t="n">
        <f aca="false">IF(P461&gt;0,P461/O461*12.1/24*1000+M461,0)</f>
        <v>0</v>
      </c>
      <c r="R461" s="0" t="n">
        <f aca="false">IF(Q461&gt;0,TRUNC(O461),0)</f>
        <v>0</v>
      </c>
      <c r="S461" s="5" t="n">
        <f aca="false">(M461*(D461-R461)+(Q461*R461))/D461</f>
        <v>700</v>
      </c>
      <c r="T461" s="6" t="n">
        <f aca="false">(Q461-M461)*R461*24/12.1/1000</f>
        <v>-0</v>
      </c>
    </row>
    <row r="462" customFormat="false" ht="14.35" hidden="false" customHeight="false" outlineLevel="0" collapsed="false">
      <c r="A462" s="4" t="n">
        <v>21793</v>
      </c>
      <c r="B462" s="15" t="n">
        <f aca="false">IF(C462&lt;=9,YEAR(A462),YEAR(A462)+1)</f>
        <v>1959</v>
      </c>
      <c r="C462" s="15" t="n">
        <f aca="false">MONTH(A462)</f>
        <v>8</v>
      </c>
      <c r="D462" s="15" t="n">
        <f aca="false">DAY(A462)</f>
        <v>31</v>
      </c>
      <c r="E462" s="15" t="n">
        <f aca="false">VLOOKUP(B462,WYT!$A$2:$L$97,12)</f>
        <v>1</v>
      </c>
      <c r="F462" s="15" t="n">
        <f aca="false">IF(C462=$W$5,1,0)</f>
        <v>0</v>
      </c>
      <c r="G462" s="15" t="n">
        <f aca="false">IF(C462=10,0,IF(F462=1,1,G461))</f>
        <v>1</v>
      </c>
      <c r="H462" s="5" t="n">
        <f aca="false">VA_base_426_data!B462</f>
        <v>7905.3193510891</v>
      </c>
      <c r="I462" s="5" t="n">
        <f aca="false">IF(AND(E462=1,OR(C462=4,C462=5)),25*12.1/24/D462*1000,0)</f>
        <v>0</v>
      </c>
      <c r="J462" s="5" t="n">
        <f aca="false">VA_base_426_data!C462</f>
        <v>1000</v>
      </c>
      <c r="K462" s="5" t="n">
        <f aca="false">H462+I462-J462</f>
        <v>6905.3193510891</v>
      </c>
      <c r="L462" s="5" t="n">
        <f aca="false">MIN($W$7,J462+K462)</f>
        <v>2000</v>
      </c>
      <c r="M462" s="5" t="n">
        <f aca="false">VA_base_426_data!D462</f>
        <v>700</v>
      </c>
      <c r="N462" s="5" t="n">
        <f aca="false">IF(AND(C462=10,E462=1),$W$6,N461-P461)</f>
        <v>0</v>
      </c>
      <c r="O462" s="5" t="n">
        <f aca="false">IF(ABS(M462-L462)&gt;1,MIN(N462/((L462-M462)*24/12.1/1000),D462),D462)</f>
        <v>0</v>
      </c>
      <c r="P462" s="5" t="n">
        <f aca="false">MIN(IF(AND(G462,E462),(L462-M462)*24/12.1*O462/1000,0),N462)</f>
        <v>0</v>
      </c>
      <c r="Q462" s="5" t="n">
        <f aca="false">IF(P462&gt;0,P462/O462*12.1/24*1000+M462,0)</f>
        <v>0</v>
      </c>
      <c r="R462" s="0" t="n">
        <f aca="false">IF(Q462&gt;0,TRUNC(O462),0)</f>
        <v>0</v>
      </c>
      <c r="S462" s="5" t="n">
        <f aca="false">(M462*(D462-R462)+(Q462*R462))/D462</f>
        <v>700</v>
      </c>
      <c r="T462" s="6" t="n">
        <f aca="false">(Q462-M462)*R462*24/12.1/1000</f>
        <v>-0</v>
      </c>
    </row>
    <row r="463" customFormat="false" ht="14.35" hidden="false" customHeight="false" outlineLevel="0" collapsed="false">
      <c r="A463" s="4" t="n">
        <v>21823</v>
      </c>
      <c r="B463" s="15" t="n">
        <f aca="false">IF(C463&lt;=9,YEAR(A463),YEAR(A463)+1)</f>
        <v>1959</v>
      </c>
      <c r="C463" s="15" t="n">
        <f aca="false">MONTH(A463)</f>
        <v>9</v>
      </c>
      <c r="D463" s="15" t="n">
        <f aca="false">DAY(A463)</f>
        <v>30</v>
      </c>
      <c r="E463" s="15" t="n">
        <f aca="false">VLOOKUP(B463,WYT!$A$2:$L$97,12)</f>
        <v>1</v>
      </c>
      <c r="F463" s="15" t="n">
        <f aca="false">IF(C463=$W$5,1,0)</f>
        <v>0</v>
      </c>
      <c r="G463" s="15" t="n">
        <f aca="false">IF(C463=10,0,IF(F463=1,1,G462))</f>
        <v>1</v>
      </c>
      <c r="H463" s="5" t="n">
        <f aca="false">VA_base_426_data!B463</f>
        <v>2409.7621541732</v>
      </c>
      <c r="I463" s="5" t="n">
        <f aca="false">IF(AND(E463=1,OR(C463=4,C463=5)),25*12.1/24/D463*1000,0)</f>
        <v>0</v>
      </c>
      <c r="J463" s="5" t="n">
        <f aca="false">VA_base_426_data!C463</f>
        <v>1000</v>
      </c>
      <c r="K463" s="5" t="n">
        <f aca="false">H463+I463-J463</f>
        <v>1409.7621541732</v>
      </c>
      <c r="L463" s="5" t="n">
        <f aca="false">MIN($W$7,J463+K463)</f>
        <v>2000</v>
      </c>
      <c r="M463" s="5" t="n">
        <f aca="false">VA_base_426_data!D463</f>
        <v>773.3333333</v>
      </c>
      <c r="N463" s="5" t="n">
        <f aca="false">IF(AND(C463=10,E463=1),$W$6,N462-P462)</f>
        <v>0</v>
      </c>
      <c r="O463" s="5" t="n">
        <f aca="false">IF(ABS(M463-L463)&gt;1,MIN(N463/((L463-M463)*24/12.1/1000),D463),D463)</f>
        <v>0</v>
      </c>
      <c r="P463" s="5" t="n">
        <f aca="false">MIN(IF(AND(G463,E463),(L463-M463)*24/12.1*O463/1000,0),N463)</f>
        <v>0</v>
      </c>
      <c r="Q463" s="5" t="n">
        <f aca="false">IF(P463&gt;0,P463/O463*12.1/24*1000+M463,0)</f>
        <v>0</v>
      </c>
      <c r="R463" s="0" t="n">
        <f aca="false">IF(Q463&gt;0,TRUNC(O463),0)</f>
        <v>0</v>
      </c>
      <c r="S463" s="5" t="n">
        <f aca="false">(M463*(D463-R463)+(Q463*R463))/D463</f>
        <v>773.3333333</v>
      </c>
      <c r="T463" s="6" t="n">
        <f aca="false">(Q463-M463)*R463*24/12.1/1000</f>
        <v>-0</v>
      </c>
    </row>
    <row r="464" customFormat="false" ht="14.35" hidden="false" customHeight="false" outlineLevel="0" collapsed="false">
      <c r="A464" s="4" t="n">
        <v>21854</v>
      </c>
      <c r="B464" s="15" t="n">
        <f aca="false">IF(C464&lt;=9,YEAR(A464),YEAR(A464)+1)</f>
        <v>1960</v>
      </c>
      <c r="C464" s="15" t="n">
        <f aca="false">MONTH(A464)</f>
        <v>10</v>
      </c>
      <c r="D464" s="15" t="n">
        <f aca="false">DAY(A464)</f>
        <v>31</v>
      </c>
      <c r="E464" s="15" t="n">
        <f aca="false">VLOOKUP(B464,WYT!$A$2:$L$97,12)</f>
        <v>1</v>
      </c>
      <c r="F464" s="15" t="n">
        <f aca="false">IF(C464=$W$5,1,0)</f>
        <v>0</v>
      </c>
      <c r="G464" s="15" t="n">
        <f aca="false">IF(C464=10,0,IF(F464=1,1,G463))</f>
        <v>0</v>
      </c>
      <c r="H464" s="5" t="n">
        <f aca="false">VA_base_426_data!B464</f>
        <v>1206.27367989169</v>
      </c>
      <c r="I464" s="5" t="n">
        <f aca="false">IF(AND(E464=1,OR(C464=4,C464=5)),25*12.1/24/D464*1000,0)</f>
        <v>0</v>
      </c>
      <c r="J464" s="5" t="n">
        <f aca="false">VA_base_426_data!C464</f>
        <v>1200</v>
      </c>
      <c r="K464" s="5" t="n">
        <f aca="false">H464+I464-J464</f>
        <v>6.27367989169215</v>
      </c>
      <c r="L464" s="5" t="n">
        <f aca="false">MIN($W$7,J464+K464)</f>
        <v>1206.27367989169</v>
      </c>
      <c r="M464" s="5" t="n">
        <f aca="false">VA_base_426_data!D464</f>
        <v>800</v>
      </c>
      <c r="N464" s="5" t="n">
        <f aca="false">IF(AND(C464=10,E464=1),$W$6,N463-P463)</f>
        <v>43</v>
      </c>
      <c r="O464" s="5" t="n">
        <f aca="false">IF(ABS(M464-L464)&gt;1,MIN(N464/((L464-M464)*24/12.1/1000),D464),D464)</f>
        <v>31</v>
      </c>
      <c r="P464" s="5" t="n">
        <f aca="false">MIN(IF(AND(G464,E464),(L464-M464)*24/12.1*O464/1000,0),N464)</f>
        <v>0</v>
      </c>
      <c r="Q464" s="5" t="n">
        <f aca="false">IF(P464&gt;0,P464/O464*12.1/24*1000+M464,0)</f>
        <v>0</v>
      </c>
      <c r="R464" s="0" t="n">
        <f aca="false">IF(Q464&gt;0,TRUNC(O464),0)</f>
        <v>0</v>
      </c>
      <c r="S464" s="5" t="n">
        <f aca="false">(M464*(D464-R464)+(Q464*R464))/D464</f>
        <v>800</v>
      </c>
      <c r="T464" s="6" t="n">
        <f aca="false">(Q464-M464)*R464*24/12.1/1000</f>
        <v>-0</v>
      </c>
    </row>
    <row r="465" customFormat="false" ht="14.35" hidden="false" customHeight="false" outlineLevel="0" collapsed="false">
      <c r="A465" s="4" t="n">
        <v>21884</v>
      </c>
      <c r="B465" s="15" t="n">
        <f aca="false">IF(C465&lt;=9,YEAR(A465),YEAR(A465)+1)</f>
        <v>1960</v>
      </c>
      <c r="C465" s="15" t="n">
        <f aca="false">MONTH(A465)</f>
        <v>11</v>
      </c>
      <c r="D465" s="15" t="n">
        <f aca="false">DAY(A465)</f>
        <v>30</v>
      </c>
      <c r="E465" s="15" t="n">
        <f aca="false">VLOOKUP(B465,WYT!$A$2:$L$97,12)</f>
        <v>1</v>
      </c>
      <c r="F465" s="15" t="n">
        <f aca="false">IF(C465=$W$5,1,0)</f>
        <v>0</v>
      </c>
      <c r="G465" s="15" t="n">
        <f aca="false">IF(C465=10,0,IF(F465=1,1,G464))</f>
        <v>0</v>
      </c>
      <c r="H465" s="5" t="n">
        <f aca="false">VA_base_426_data!B465</f>
        <v>1200</v>
      </c>
      <c r="I465" s="5" t="n">
        <f aca="false">IF(AND(E465=1,OR(C465=4,C465=5)),25*12.1/24/D465*1000,0)</f>
        <v>0</v>
      </c>
      <c r="J465" s="5" t="n">
        <f aca="false">VA_base_426_data!C465</f>
        <v>1200</v>
      </c>
      <c r="K465" s="5" t="n">
        <f aca="false">H465+I465-J465</f>
        <v>0</v>
      </c>
      <c r="L465" s="5" t="n">
        <f aca="false">MIN($W$7,J465+K465)</f>
        <v>1200</v>
      </c>
      <c r="M465" s="5" t="n">
        <f aca="false">VA_base_426_data!D465</f>
        <v>800</v>
      </c>
      <c r="N465" s="5" t="n">
        <f aca="false">IF(AND(C465=10,E465=1),$W$6,N464-P464)</f>
        <v>43</v>
      </c>
      <c r="O465" s="5" t="n">
        <f aca="false">IF(ABS(M465-L465)&gt;1,MIN(N465/((L465-M465)*24/12.1/1000),D465),D465)</f>
        <v>30</v>
      </c>
      <c r="P465" s="5" t="n">
        <f aca="false">MIN(IF(AND(G465,E465),(L465-M465)*24/12.1*O465/1000,0),N465)</f>
        <v>0</v>
      </c>
      <c r="Q465" s="5" t="n">
        <f aca="false">IF(P465&gt;0,P465/O465*12.1/24*1000+M465,0)</f>
        <v>0</v>
      </c>
      <c r="R465" s="0" t="n">
        <f aca="false">IF(Q465&gt;0,TRUNC(O465),0)</f>
        <v>0</v>
      </c>
      <c r="S465" s="5" t="n">
        <f aca="false">(M465*(D465-R465)+(Q465*R465))/D465</f>
        <v>800</v>
      </c>
      <c r="T465" s="6" t="n">
        <f aca="false">(Q465-M465)*R465*24/12.1/1000</f>
        <v>-0</v>
      </c>
    </row>
    <row r="466" customFormat="false" ht="14.35" hidden="false" customHeight="false" outlineLevel="0" collapsed="false">
      <c r="A466" s="4" t="n">
        <v>21915</v>
      </c>
      <c r="B466" s="15" t="n">
        <f aca="false">IF(C466&lt;=9,YEAR(A466),YEAR(A466)+1)</f>
        <v>1960</v>
      </c>
      <c r="C466" s="15" t="n">
        <f aca="false">MONTH(A466)</f>
        <v>12</v>
      </c>
      <c r="D466" s="15" t="n">
        <f aca="false">DAY(A466)</f>
        <v>31</v>
      </c>
      <c r="E466" s="15" t="n">
        <f aca="false">VLOOKUP(B466,WYT!$A$2:$L$97,12)</f>
        <v>1</v>
      </c>
      <c r="F466" s="15" t="n">
        <f aca="false">IF(C466=$W$5,1,0)</f>
        <v>0</v>
      </c>
      <c r="G466" s="15" t="n">
        <f aca="false">IF(C466=10,0,IF(F466=1,1,G465))</f>
        <v>0</v>
      </c>
      <c r="H466" s="5" t="n">
        <f aca="false">VA_base_426_data!B466</f>
        <v>1200</v>
      </c>
      <c r="I466" s="5" t="n">
        <f aca="false">IF(AND(E466=1,OR(C466=4,C466=5)),25*12.1/24/D466*1000,0)</f>
        <v>0</v>
      </c>
      <c r="J466" s="5" t="n">
        <f aca="false">VA_base_426_data!C466</f>
        <v>1200</v>
      </c>
      <c r="K466" s="5" t="n">
        <f aca="false">H466+I466-J466</f>
        <v>0</v>
      </c>
      <c r="L466" s="5" t="n">
        <f aca="false">MIN($W$7,J466+K466)</f>
        <v>1200</v>
      </c>
      <c r="M466" s="5" t="n">
        <f aca="false">VA_base_426_data!D466</f>
        <v>800</v>
      </c>
      <c r="N466" s="5" t="n">
        <f aca="false">IF(AND(C466=10,E466=1),$W$6,N465-P465)</f>
        <v>43</v>
      </c>
      <c r="O466" s="5" t="n">
        <f aca="false">IF(ABS(M466-L466)&gt;1,MIN(N466/((L466-M466)*24/12.1/1000),D466),D466)</f>
        <v>31</v>
      </c>
      <c r="P466" s="5" t="n">
        <f aca="false">MIN(IF(AND(G466,E466),(L466-M466)*24/12.1*O466/1000,0),N466)</f>
        <v>0</v>
      </c>
      <c r="Q466" s="5" t="n">
        <f aca="false">IF(P466&gt;0,P466/O466*12.1/24*1000+M466,0)</f>
        <v>0</v>
      </c>
      <c r="R466" s="0" t="n">
        <f aca="false">IF(Q466&gt;0,TRUNC(O466),0)</f>
        <v>0</v>
      </c>
      <c r="S466" s="5" t="n">
        <f aca="false">(M466*(D466-R466)+(Q466*R466))/D466</f>
        <v>800</v>
      </c>
      <c r="T466" s="6" t="n">
        <f aca="false">(Q466-M466)*R466*24/12.1/1000</f>
        <v>-0</v>
      </c>
    </row>
    <row r="467" customFormat="false" ht="14.35" hidden="false" customHeight="false" outlineLevel="0" collapsed="false">
      <c r="A467" s="4" t="n">
        <v>21946</v>
      </c>
      <c r="B467" s="15" t="n">
        <f aca="false">IF(C467&lt;=9,YEAR(A467),YEAR(A467)+1)</f>
        <v>1960</v>
      </c>
      <c r="C467" s="15" t="n">
        <f aca="false">MONTH(A467)</f>
        <v>1</v>
      </c>
      <c r="D467" s="15" t="n">
        <f aca="false">DAY(A467)</f>
        <v>31</v>
      </c>
      <c r="E467" s="15" t="n">
        <f aca="false">VLOOKUP(B467,WYT!$A$2:$L$97,12)</f>
        <v>1</v>
      </c>
      <c r="F467" s="15" t="n">
        <f aca="false">IF(C467=$W$5,1,0)</f>
        <v>0</v>
      </c>
      <c r="G467" s="15" t="n">
        <f aca="false">IF(C467=10,0,IF(F467=1,1,G466))</f>
        <v>0</v>
      </c>
      <c r="H467" s="5" t="n">
        <f aca="false">VA_base_426_data!B467</f>
        <v>1200</v>
      </c>
      <c r="I467" s="5" t="n">
        <f aca="false">IF(AND(E467=1,OR(C467=4,C467=5)),25*12.1/24/D467*1000,0)</f>
        <v>0</v>
      </c>
      <c r="J467" s="5" t="n">
        <f aca="false">VA_base_426_data!C467</f>
        <v>1200</v>
      </c>
      <c r="K467" s="5" t="n">
        <f aca="false">H467+I467-J467</f>
        <v>0</v>
      </c>
      <c r="L467" s="5" t="n">
        <f aca="false">MIN($W$7,J467+K467)</f>
        <v>1200</v>
      </c>
      <c r="M467" s="5" t="n">
        <f aca="false">VA_base_426_data!D467</f>
        <v>800</v>
      </c>
      <c r="N467" s="5" t="n">
        <f aca="false">IF(AND(C467=10,E467=1),$W$6,N466-P466)</f>
        <v>43</v>
      </c>
      <c r="O467" s="5" t="n">
        <f aca="false">IF(ABS(M467-L467)&gt;1,MIN(N467/((L467-M467)*24/12.1/1000),D467),D467)</f>
        <v>31</v>
      </c>
      <c r="P467" s="5" t="n">
        <f aca="false">MIN(IF(AND(G467,E467),(L467-M467)*24/12.1*O467/1000,0),N467)</f>
        <v>0</v>
      </c>
      <c r="Q467" s="5" t="n">
        <f aca="false">IF(P467&gt;0,P467/O467*12.1/24*1000+M467,0)</f>
        <v>0</v>
      </c>
      <c r="R467" s="0" t="n">
        <f aca="false">IF(Q467&gt;0,TRUNC(O467),0)</f>
        <v>0</v>
      </c>
      <c r="S467" s="5" t="n">
        <f aca="false">(M467*(D467-R467)+(Q467*R467))/D467</f>
        <v>800</v>
      </c>
      <c r="T467" s="6" t="n">
        <f aca="false">(Q467-M467)*R467*24/12.1/1000</f>
        <v>-0</v>
      </c>
    </row>
    <row r="468" customFormat="false" ht="14.35" hidden="false" customHeight="false" outlineLevel="0" collapsed="false">
      <c r="A468" s="4" t="n">
        <v>21975</v>
      </c>
      <c r="B468" s="15" t="n">
        <f aca="false">IF(C468&lt;=9,YEAR(A468),YEAR(A468)+1)</f>
        <v>1960</v>
      </c>
      <c r="C468" s="15" t="n">
        <f aca="false">MONTH(A468)</f>
        <v>2</v>
      </c>
      <c r="D468" s="15" t="n">
        <f aca="false">DAY(A468)</f>
        <v>29</v>
      </c>
      <c r="E468" s="15" t="n">
        <f aca="false">VLOOKUP(B468,WYT!$A$2:$L$97,12)</f>
        <v>1</v>
      </c>
      <c r="F468" s="15" t="n">
        <f aca="false">IF(C468=$W$5,1,0)</f>
        <v>1</v>
      </c>
      <c r="G468" s="15" t="n">
        <f aca="false">IF(C468=10,0,IF(F468=1,1,G467))</f>
        <v>1</v>
      </c>
      <c r="H468" s="5" t="n">
        <f aca="false">VA_base_426_data!B468</f>
        <v>1200</v>
      </c>
      <c r="I468" s="5" t="n">
        <f aca="false">IF(AND(E468=1,OR(C468=4,C468=5)),25*12.1/24/D468*1000,0)</f>
        <v>0</v>
      </c>
      <c r="J468" s="5" t="n">
        <f aca="false">VA_base_426_data!C468</f>
        <v>1200</v>
      </c>
      <c r="K468" s="5" t="n">
        <f aca="false">H468+I468-J468</f>
        <v>0</v>
      </c>
      <c r="L468" s="5" t="n">
        <f aca="false">MIN($W$7,J468+K468)</f>
        <v>1200</v>
      </c>
      <c r="M468" s="5" t="n">
        <f aca="false">VA_base_426_data!D468</f>
        <v>800</v>
      </c>
      <c r="N468" s="5" t="n">
        <f aca="false">IF(AND(C468=10,E468=1),$W$6,N467-P467)</f>
        <v>43</v>
      </c>
      <c r="O468" s="5" t="n">
        <f aca="false">IF(ABS(M468-L468)&gt;1,MIN(N468/((L468-M468)*24/12.1/1000),D468),D468)</f>
        <v>29</v>
      </c>
      <c r="P468" s="5" t="n">
        <f aca="false">MIN(IF(AND(G468,E468),(L468-M468)*24/12.1*O468/1000,0),N468)</f>
        <v>23.0082644628099</v>
      </c>
      <c r="Q468" s="5" t="n">
        <f aca="false">IF(P468&gt;0,P468/O468*12.1/24*1000+M468,0)</f>
        <v>1200</v>
      </c>
      <c r="R468" s="0" t="n">
        <f aca="false">IF(Q468&gt;0,TRUNC(O468),0)</f>
        <v>29</v>
      </c>
      <c r="S468" s="5" t="n">
        <f aca="false">(M468*(D468-R468)+(Q468*R468))/D468</f>
        <v>1200</v>
      </c>
      <c r="T468" s="6" t="n">
        <f aca="false">(Q468-M468)*R468*24/12.1/1000</f>
        <v>23.0082644628099</v>
      </c>
    </row>
    <row r="469" customFormat="false" ht="14.35" hidden="false" customHeight="false" outlineLevel="0" collapsed="false">
      <c r="A469" s="4" t="n">
        <v>22006</v>
      </c>
      <c r="B469" s="15" t="n">
        <f aca="false">IF(C469&lt;=9,YEAR(A469),YEAR(A469)+1)</f>
        <v>1960</v>
      </c>
      <c r="C469" s="15" t="n">
        <f aca="false">MONTH(A469)</f>
        <v>3</v>
      </c>
      <c r="D469" s="15" t="n">
        <f aca="false">DAY(A469)</f>
        <v>31</v>
      </c>
      <c r="E469" s="15" t="n">
        <f aca="false">VLOOKUP(B469,WYT!$A$2:$L$97,12)</f>
        <v>1</v>
      </c>
      <c r="F469" s="15" t="n">
        <f aca="false">IF(C469=$W$5,1,0)</f>
        <v>0</v>
      </c>
      <c r="G469" s="15" t="n">
        <f aca="false">IF(C469=10,0,IF(F469=1,1,G468))</f>
        <v>1</v>
      </c>
      <c r="H469" s="5" t="n">
        <f aca="false">VA_base_426_data!B469</f>
        <v>1000</v>
      </c>
      <c r="I469" s="5" t="n">
        <f aca="false">IF(AND(E469=1,OR(C469=4,C469=5)),25*12.1/24/D469*1000,0)</f>
        <v>0</v>
      </c>
      <c r="J469" s="5" t="n">
        <f aca="false">VA_base_426_data!C469</f>
        <v>1000</v>
      </c>
      <c r="K469" s="5" t="n">
        <f aca="false">H469+I469-J469</f>
        <v>0</v>
      </c>
      <c r="L469" s="5" t="n">
        <f aca="false">MIN($W$7,J469+K469)</f>
        <v>1000</v>
      </c>
      <c r="M469" s="5" t="n">
        <f aca="false">VA_base_426_data!D469</f>
        <v>800</v>
      </c>
      <c r="N469" s="5" t="n">
        <f aca="false">IF(AND(C469=10,E469=1),$W$6,N468-P468)</f>
        <v>19.9917355371901</v>
      </c>
      <c r="O469" s="5" t="n">
        <f aca="false">IF(ABS(M469-L469)&gt;1,MIN(N469/((L469-M469)*24/12.1/1000),D469),D469)</f>
        <v>31</v>
      </c>
      <c r="P469" s="5" t="n">
        <f aca="false">MIN(IF(AND(G469,E469),(L469-M469)*24/12.1*O469/1000,0),N469)</f>
        <v>12.297520661157</v>
      </c>
      <c r="Q469" s="5" t="n">
        <f aca="false">IF(P469&gt;0,P469/O469*12.1/24*1000+M469,0)</f>
        <v>1000</v>
      </c>
      <c r="R469" s="0" t="n">
        <f aca="false">IF(Q469&gt;0,TRUNC(O469),0)</f>
        <v>31</v>
      </c>
      <c r="S469" s="5" t="n">
        <f aca="false">(M469*(D469-R469)+(Q469*R469))/D469</f>
        <v>1000</v>
      </c>
      <c r="T469" s="6" t="n">
        <f aca="false">(Q469-M469)*R469*24/12.1/1000</f>
        <v>12.297520661157</v>
      </c>
    </row>
    <row r="470" customFormat="false" ht="14.35" hidden="false" customHeight="false" outlineLevel="0" collapsed="false">
      <c r="A470" s="4" t="n">
        <v>22036</v>
      </c>
      <c r="B470" s="15" t="n">
        <f aca="false">IF(C470&lt;=9,YEAR(A470),YEAR(A470)+1)</f>
        <v>1960</v>
      </c>
      <c r="C470" s="15" t="n">
        <f aca="false">MONTH(A470)</f>
        <v>4</v>
      </c>
      <c r="D470" s="15" t="n">
        <f aca="false">DAY(A470)</f>
        <v>30</v>
      </c>
      <c r="E470" s="15" t="n">
        <f aca="false">VLOOKUP(B470,WYT!$A$2:$L$97,12)</f>
        <v>1</v>
      </c>
      <c r="F470" s="15" t="n">
        <f aca="false">IF(C470=$W$5,1,0)</f>
        <v>0</v>
      </c>
      <c r="G470" s="15" t="n">
        <f aca="false">IF(C470=10,0,IF(F470=1,1,G469))</f>
        <v>1</v>
      </c>
      <c r="H470" s="5" t="n">
        <f aca="false">VA_base_426_data!B470</f>
        <v>1015.22450681011</v>
      </c>
      <c r="I470" s="5" t="n">
        <f aca="false">IF(AND(E470=1,OR(C470=4,C470=5)),25*12.1/24/D470*1000,0)</f>
        <v>420.138888888889</v>
      </c>
      <c r="J470" s="5" t="n">
        <f aca="false">VA_base_426_data!C470</f>
        <v>1000</v>
      </c>
      <c r="K470" s="5" t="n">
        <f aca="false">H470+I470-J470</f>
        <v>435.363395699002</v>
      </c>
      <c r="L470" s="5" t="n">
        <f aca="false">MIN($W$7,J470+K470)</f>
        <v>1435.363395699</v>
      </c>
      <c r="M470" s="5" t="n">
        <f aca="false">VA_base_426_data!D470</f>
        <v>700</v>
      </c>
      <c r="N470" s="5" t="n">
        <f aca="false">IF(AND(C470=10,E470=1),$W$6,N469-P469)</f>
        <v>7.69421487603306</v>
      </c>
      <c r="O470" s="5" t="n">
        <f aca="false">IF(ABS(M470-L470)&gt;1,MIN(N470/((L470-M470)*24/12.1/1000),D470),D470)</f>
        <v>5.27516964993792</v>
      </c>
      <c r="P470" s="5" t="n">
        <f aca="false">MIN(IF(AND(G470,E470),(L470-M470)*24/12.1*O470/1000,0),N470)</f>
        <v>7.69421487603306</v>
      </c>
      <c r="Q470" s="5" t="n">
        <f aca="false">IF(P470&gt;0,P470/O470*12.1/24*1000+M470,0)</f>
        <v>1435.363395699</v>
      </c>
      <c r="R470" s="0" t="n">
        <f aca="false">IF(Q470&gt;0,TRUNC(O470),0)</f>
        <v>5</v>
      </c>
      <c r="S470" s="5" t="n">
        <f aca="false">(M470*(D470-R470)+(Q470*R470))/D470</f>
        <v>822.560565949834</v>
      </c>
      <c r="T470" s="6" t="n">
        <f aca="false">(Q470-M470)*R470*24/12.1/1000</f>
        <v>7.29286012263473</v>
      </c>
    </row>
    <row r="471" customFormat="false" ht="14.35" hidden="false" customHeight="false" outlineLevel="0" collapsed="false">
      <c r="A471" s="4" t="n">
        <v>22067</v>
      </c>
      <c r="B471" s="15" t="n">
        <f aca="false">IF(C471&lt;=9,YEAR(A471),YEAR(A471)+1)</f>
        <v>1960</v>
      </c>
      <c r="C471" s="15" t="n">
        <f aca="false">MONTH(A471)</f>
        <v>5</v>
      </c>
      <c r="D471" s="15" t="n">
        <f aca="false">DAY(A471)</f>
        <v>31</v>
      </c>
      <c r="E471" s="15" t="n">
        <f aca="false">VLOOKUP(B471,WYT!$A$2:$L$97,12)</f>
        <v>1</v>
      </c>
      <c r="F471" s="15" t="n">
        <f aca="false">IF(C471=$W$5,1,0)</f>
        <v>0</v>
      </c>
      <c r="G471" s="15" t="n">
        <f aca="false">IF(C471=10,0,IF(F471=1,1,G470))</f>
        <v>1</v>
      </c>
      <c r="H471" s="5" t="n">
        <f aca="false">VA_base_426_data!B471</f>
        <v>1593.55060134354</v>
      </c>
      <c r="I471" s="5" t="n">
        <f aca="false">IF(AND(E471=1,OR(C471=4,C471=5)),25*12.1/24/D471*1000,0)</f>
        <v>406.586021505376</v>
      </c>
      <c r="J471" s="5" t="n">
        <f aca="false">VA_base_426_data!C471</f>
        <v>1000</v>
      </c>
      <c r="K471" s="5" t="n">
        <f aca="false">H471+I471-J471</f>
        <v>1000.13662284891</v>
      </c>
      <c r="L471" s="5" t="n">
        <f aca="false">MIN($W$7,J471+K471)</f>
        <v>2000</v>
      </c>
      <c r="M471" s="5" t="n">
        <f aca="false">VA_base_426_data!D471</f>
        <v>700</v>
      </c>
      <c r="N471" s="5" t="n">
        <f aca="false">IF(AND(C471=10,E471=1),$W$6,N470-P470)</f>
        <v>0</v>
      </c>
      <c r="O471" s="5" t="n">
        <f aca="false">IF(ABS(M471-L471)&gt;1,MIN(N471/((L471-M471)*24/12.1/1000),D471),D471)</f>
        <v>0</v>
      </c>
      <c r="P471" s="5" t="n">
        <f aca="false">MIN(IF(AND(G471,E471),(L471-M471)*24/12.1*O471/1000,0),N471)</f>
        <v>0</v>
      </c>
      <c r="Q471" s="5" t="n">
        <f aca="false">IF(P471&gt;0,P471/O471*12.1/24*1000+M471,0)</f>
        <v>0</v>
      </c>
      <c r="R471" s="0" t="n">
        <f aca="false">IF(Q471&gt;0,TRUNC(O471),0)</f>
        <v>0</v>
      </c>
      <c r="S471" s="5" t="n">
        <f aca="false">(M471*(D471-R471)+(Q471*R471))/D471</f>
        <v>700</v>
      </c>
      <c r="T471" s="6" t="n">
        <f aca="false">(Q471-M471)*R471*24/12.1/1000</f>
        <v>-0</v>
      </c>
    </row>
    <row r="472" customFormat="false" ht="14.35" hidden="false" customHeight="false" outlineLevel="0" collapsed="false">
      <c r="A472" s="4" t="n">
        <v>22097</v>
      </c>
      <c r="B472" s="15" t="n">
        <f aca="false">IF(C472&lt;=9,YEAR(A472),YEAR(A472)+1)</f>
        <v>1960</v>
      </c>
      <c r="C472" s="15" t="n">
        <f aca="false">MONTH(A472)</f>
        <v>6</v>
      </c>
      <c r="D472" s="15" t="n">
        <f aca="false">DAY(A472)</f>
        <v>30</v>
      </c>
      <c r="E472" s="15" t="n">
        <f aca="false">VLOOKUP(B472,WYT!$A$2:$L$97,12)</f>
        <v>1</v>
      </c>
      <c r="F472" s="15" t="n">
        <f aca="false">IF(C472=$W$5,1,0)</f>
        <v>0</v>
      </c>
      <c r="G472" s="15" t="n">
        <f aca="false">IF(C472=10,0,IF(F472=1,1,G471))</f>
        <v>1</v>
      </c>
      <c r="H472" s="5" t="n">
        <f aca="false">VA_base_426_data!B472</f>
        <v>4776.07477855645</v>
      </c>
      <c r="I472" s="5" t="n">
        <f aca="false">IF(AND(E472=1,OR(C472=4,C472=5)),25*12.1/24/D472*1000,0)</f>
        <v>0</v>
      </c>
      <c r="J472" s="5" t="n">
        <f aca="false">VA_base_426_data!C472</f>
        <v>1000</v>
      </c>
      <c r="K472" s="5" t="n">
        <f aca="false">H472+I472-J472</f>
        <v>3776.07477855645</v>
      </c>
      <c r="L472" s="5" t="n">
        <f aca="false">MIN($W$7,J472+K472)</f>
        <v>2000</v>
      </c>
      <c r="M472" s="5" t="n">
        <f aca="false">VA_base_426_data!D472</f>
        <v>700</v>
      </c>
      <c r="N472" s="5" t="n">
        <f aca="false">IF(AND(C472=10,E472=1),$W$6,N471-P471)</f>
        <v>0</v>
      </c>
      <c r="O472" s="5" t="n">
        <f aca="false">IF(ABS(M472-L472)&gt;1,MIN(N472/((L472-M472)*24/12.1/1000),D472),D472)</f>
        <v>0</v>
      </c>
      <c r="P472" s="5" t="n">
        <f aca="false">MIN(IF(AND(G472,E472),(L472-M472)*24/12.1*O472/1000,0),N472)</f>
        <v>0</v>
      </c>
      <c r="Q472" s="5" t="n">
        <f aca="false">IF(P472&gt;0,P472/O472*12.1/24*1000+M472,0)</f>
        <v>0</v>
      </c>
      <c r="R472" s="0" t="n">
        <f aca="false">IF(Q472&gt;0,TRUNC(O472),0)</f>
        <v>0</v>
      </c>
      <c r="S472" s="5" t="n">
        <f aca="false">(M472*(D472-R472)+(Q472*R472))/D472</f>
        <v>700</v>
      </c>
      <c r="T472" s="6" t="n">
        <f aca="false">(Q472-M472)*R472*24/12.1/1000</f>
        <v>-0</v>
      </c>
    </row>
    <row r="473" customFormat="false" ht="14.35" hidden="false" customHeight="false" outlineLevel="0" collapsed="false">
      <c r="A473" s="4" t="n">
        <v>22128</v>
      </c>
      <c r="B473" s="15" t="n">
        <f aca="false">IF(C473&lt;=9,YEAR(A473),YEAR(A473)+1)</f>
        <v>1960</v>
      </c>
      <c r="C473" s="15" t="n">
        <f aca="false">MONTH(A473)</f>
        <v>7</v>
      </c>
      <c r="D473" s="15" t="n">
        <f aca="false">DAY(A473)</f>
        <v>31</v>
      </c>
      <c r="E473" s="15" t="n">
        <f aca="false">VLOOKUP(B473,WYT!$A$2:$L$97,12)</f>
        <v>1</v>
      </c>
      <c r="F473" s="15" t="n">
        <f aca="false">IF(C473=$W$5,1,0)</f>
        <v>0</v>
      </c>
      <c r="G473" s="15" t="n">
        <f aca="false">IF(C473=10,0,IF(F473=1,1,G472))</f>
        <v>1</v>
      </c>
      <c r="H473" s="5" t="n">
        <f aca="false">VA_base_426_data!B473</f>
        <v>9822.87079390568</v>
      </c>
      <c r="I473" s="5" t="n">
        <f aca="false">IF(AND(E473=1,OR(C473=4,C473=5)),25*12.1/24/D473*1000,0)</f>
        <v>0</v>
      </c>
      <c r="J473" s="5" t="n">
        <f aca="false">VA_base_426_data!C473</f>
        <v>1000</v>
      </c>
      <c r="K473" s="5" t="n">
        <f aca="false">H473+I473-J473</f>
        <v>8822.87079390568</v>
      </c>
      <c r="L473" s="5" t="n">
        <f aca="false">MIN($W$7,J473+K473)</f>
        <v>2000</v>
      </c>
      <c r="M473" s="5" t="n">
        <f aca="false">VA_base_426_data!D473</f>
        <v>700</v>
      </c>
      <c r="N473" s="5" t="n">
        <f aca="false">IF(AND(C473=10,E473=1),$W$6,N472-P472)</f>
        <v>0</v>
      </c>
      <c r="O473" s="5" t="n">
        <f aca="false">IF(ABS(M473-L473)&gt;1,MIN(N473/((L473-M473)*24/12.1/1000),D473),D473)</f>
        <v>0</v>
      </c>
      <c r="P473" s="5" t="n">
        <f aca="false">MIN(IF(AND(G473,E473),(L473-M473)*24/12.1*O473/1000,0),N473)</f>
        <v>0</v>
      </c>
      <c r="Q473" s="5" t="n">
        <f aca="false">IF(P473&gt;0,P473/O473*12.1/24*1000+M473,0)</f>
        <v>0</v>
      </c>
      <c r="R473" s="0" t="n">
        <f aca="false">IF(Q473&gt;0,TRUNC(O473),0)</f>
        <v>0</v>
      </c>
      <c r="S473" s="5" t="n">
        <f aca="false">(M473*(D473-R473)+(Q473*R473))/D473</f>
        <v>700</v>
      </c>
      <c r="T473" s="6" t="n">
        <f aca="false">(Q473-M473)*R473*24/12.1/1000</f>
        <v>-0</v>
      </c>
    </row>
    <row r="474" customFormat="false" ht="14.35" hidden="false" customHeight="false" outlineLevel="0" collapsed="false">
      <c r="A474" s="4" t="n">
        <v>22159</v>
      </c>
      <c r="B474" s="15" t="n">
        <f aca="false">IF(C474&lt;=9,YEAR(A474),YEAR(A474)+1)</f>
        <v>1960</v>
      </c>
      <c r="C474" s="15" t="n">
        <f aca="false">MONTH(A474)</f>
        <v>8</v>
      </c>
      <c r="D474" s="15" t="n">
        <f aca="false">DAY(A474)</f>
        <v>31</v>
      </c>
      <c r="E474" s="15" t="n">
        <f aca="false">VLOOKUP(B474,WYT!$A$2:$L$97,12)</f>
        <v>1</v>
      </c>
      <c r="F474" s="15" t="n">
        <f aca="false">IF(C474=$W$5,1,0)</f>
        <v>0</v>
      </c>
      <c r="G474" s="15" t="n">
        <f aca="false">IF(C474=10,0,IF(F474=1,1,G473))</f>
        <v>1</v>
      </c>
      <c r="H474" s="5" t="n">
        <f aca="false">VA_base_426_data!B474</f>
        <v>4739.91531259664</v>
      </c>
      <c r="I474" s="5" t="n">
        <f aca="false">IF(AND(E474=1,OR(C474=4,C474=5)),25*12.1/24/D474*1000,0)</f>
        <v>0</v>
      </c>
      <c r="J474" s="5" t="n">
        <f aca="false">VA_base_426_data!C474</f>
        <v>1000</v>
      </c>
      <c r="K474" s="5" t="n">
        <f aca="false">H474+I474-J474</f>
        <v>3739.91531259664</v>
      </c>
      <c r="L474" s="5" t="n">
        <f aca="false">MIN($W$7,J474+K474)</f>
        <v>2000</v>
      </c>
      <c r="M474" s="5" t="n">
        <f aca="false">VA_base_426_data!D474</f>
        <v>700</v>
      </c>
      <c r="N474" s="5" t="n">
        <f aca="false">IF(AND(C474=10,E474=1),$W$6,N473-P473)</f>
        <v>0</v>
      </c>
      <c r="O474" s="5" t="n">
        <f aca="false">IF(ABS(M474-L474)&gt;1,MIN(N474/((L474-M474)*24/12.1/1000),D474),D474)</f>
        <v>0</v>
      </c>
      <c r="P474" s="5" t="n">
        <f aca="false">MIN(IF(AND(G474,E474),(L474-M474)*24/12.1*O474/1000,0),N474)</f>
        <v>0</v>
      </c>
      <c r="Q474" s="5" t="n">
        <f aca="false">IF(P474&gt;0,P474/O474*12.1/24*1000+M474,0)</f>
        <v>0</v>
      </c>
      <c r="R474" s="0" t="n">
        <f aca="false">IF(Q474&gt;0,TRUNC(O474),0)</f>
        <v>0</v>
      </c>
      <c r="S474" s="5" t="n">
        <f aca="false">(M474*(D474-R474)+(Q474*R474))/D474</f>
        <v>700</v>
      </c>
      <c r="T474" s="6" t="n">
        <f aca="false">(Q474-M474)*R474*24/12.1/1000</f>
        <v>-0</v>
      </c>
    </row>
    <row r="475" customFormat="false" ht="14.35" hidden="false" customHeight="false" outlineLevel="0" collapsed="false">
      <c r="A475" s="4" t="n">
        <v>22189</v>
      </c>
      <c r="B475" s="15" t="n">
        <f aca="false">IF(C475&lt;=9,YEAR(A475),YEAR(A475)+1)</f>
        <v>1960</v>
      </c>
      <c r="C475" s="15" t="n">
        <f aca="false">MONTH(A475)</f>
        <v>9</v>
      </c>
      <c r="D475" s="15" t="n">
        <f aca="false">DAY(A475)</f>
        <v>30</v>
      </c>
      <c r="E475" s="15" t="n">
        <f aca="false">VLOOKUP(B475,WYT!$A$2:$L$97,12)</f>
        <v>1</v>
      </c>
      <c r="F475" s="15" t="n">
        <f aca="false">IF(C475=$W$5,1,0)</f>
        <v>0</v>
      </c>
      <c r="G475" s="15" t="n">
        <f aca="false">IF(C475=10,0,IF(F475=1,1,G474))</f>
        <v>1</v>
      </c>
      <c r="H475" s="5" t="n">
        <f aca="false">VA_base_426_data!B475</f>
        <v>1256.44179116815</v>
      </c>
      <c r="I475" s="5" t="n">
        <f aca="false">IF(AND(E475=1,OR(C475=4,C475=5)),25*12.1/24/D475*1000,0)</f>
        <v>0</v>
      </c>
      <c r="J475" s="5" t="n">
        <f aca="false">VA_base_426_data!C475</f>
        <v>1000</v>
      </c>
      <c r="K475" s="5" t="n">
        <f aca="false">H475+I475-J475</f>
        <v>256.441791168149</v>
      </c>
      <c r="L475" s="5" t="n">
        <f aca="false">MIN($W$7,J475+K475)</f>
        <v>1256.44179116815</v>
      </c>
      <c r="M475" s="5" t="n">
        <f aca="false">VA_base_426_data!D475</f>
        <v>773.3333333</v>
      </c>
      <c r="N475" s="5" t="n">
        <f aca="false">IF(AND(C475=10,E475=1),$W$6,N474-P474)</f>
        <v>0</v>
      </c>
      <c r="O475" s="5" t="n">
        <f aca="false">IF(ABS(M475-L475)&gt;1,MIN(N475/((L475-M475)*24/12.1/1000),D475),D475)</f>
        <v>0</v>
      </c>
      <c r="P475" s="5" t="n">
        <f aca="false">MIN(IF(AND(G475,E475),(L475-M475)*24/12.1*O475/1000,0),N475)</f>
        <v>0</v>
      </c>
      <c r="Q475" s="5" t="n">
        <f aca="false">IF(P475&gt;0,P475/O475*12.1/24*1000+M475,0)</f>
        <v>0</v>
      </c>
      <c r="R475" s="0" t="n">
        <f aca="false">IF(Q475&gt;0,TRUNC(O475),0)</f>
        <v>0</v>
      </c>
      <c r="S475" s="5" t="n">
        <f aca="false">(M475*(D475-R475)+(Q475*R475))/D475</f>
        <v>773.3333333</v>
      </c>
      <c r="T475" s="6" t="n">
        <f aca="false">(Q475-M475)*R475*24/12.1/1000</f>
        <v>-0</v>
      </c>
    </row>
    <row r="476" customFormat="false" ht="14.35" hidden="false" customHeight="false" outlineLevel="0" collapsed="false">
      <c r="A476" s="4" t="n">
        <v>22220</v>
      </c>
      <c r="B476" s="15" t="n">
        <f aca="false">IF(C476&lt;=9,YEAR(A476),YEAR(A476)+1)</f>
        <v>1961</v>
      </c>
      <c r="C476" s="15" t="n">
        <f aca="false">MONTH(A476)</f>
        <v>10</v>
      </c>
      <c r="D476" s="15" t="n">
        <f aca="false">DAY(A476)</f>
        <v>31</v>
      </c>
      <c r="E476" s="15" t="n">
        <f aca="false">VLOOKUP(B476,WYT!$A$2:$L$97,12)</f>
        <v>1</v>
      </c>
      <c r="F476" s="15" t="n">
        <f aca="false">IF(C476=$W$5,1,0)</f>
        <v>0</v>
      </c>
      <c r="G476" s="15" t="n">
        <f aca="false">IF(C476=10,0,IF(F476=1,1,G475))</f>
        <v>0</v>
      </c>
      <c r="H476" s="5" t="n">
        <f aca="false">VA_base_426_data!B476</f>
        <v>1199.99999999998</v>
      </c>
      <c r="I476" s="5" t="n">
        <f aca="false">IF(AND(E476=1,OR(C476=4,C476=5)),25*12.1/24/D476*1000,0)</f>
        <v>0</v>
      </c>
      <c r="J476" s="5" t="n">
        <f aca="false">VA_base_426_data!C476</f>
        <v>1200</v>
      </c>
      <c r="K476" s="5" t="n">
        <f aca="false">H476+I476-J476</f>
        <v>-2.1600499167107E-011</v>
      </c>
      <c r="L476" s="5" t="n">
        <f aca="false">MIN($W$7,J476+K476)</f>
        <v>1199.99999999998</v>
      </c>
      <c r="M476" s="5" t="n">
        <f aca="false">VA_base_426_data!D476</f>
        <v>800</v>
      </c>
      <c r="N476" s="5" t="n">
        <f aca="false">IF(AND(C476=10,E476=1),$W$6,N475-P475)</f>
        <v>43</v>
      </c>
      <c r="O476" s="5" t="n">
        <f aca="false">IF(ABS(M476-L476)&gt;1,MIN(N476/((L476-M476)*24/12.1/1000),D476),D476)</f>
        <v>31</v>
      </c>
      <c r="P476" s="5" t="n">
        <f aca="false">MIN(IF(AND(G476,E476),(L476-M476)*24/12.1*O476/1000,0),N476)</f>
        <v>0</v>
      </c>
      <c r="Q476" s="5" t="n">
        <f aca="false">IF(P476&gt;0,P476/O476*12.1/24*1000+M476,0)</f>
        <v>0</v>
      </c>
      <c r="R476" s="0" t="n">
        <f aca="false">IF(Q476&gt;0,TRUNC(O476),0)</f>
        <v>0</v>
      </c>
      <c r="S476" s="5" t="n">
        <f aca="false">(M476*(D476-R476)+(Q476*R476))/D476</f>
        <v>800</v>
      </c>
      <c r="T476" s="6" t="n">
        <f aca="false">(Q476-M476)*R476*24/12.1/1000</f>
        <v>-0</v>
      </c>
    </row>
    <row r="477" customFormat="false" ht="14.35" hidden="false" customHeight="false" outlineLevel="0" collapsed="false">
      <c r="A477" s="4" t="n">
        <v>22250</v>
      </c>
      <c r="B477" s="15" t="n">
        <f aca="false">IF(C477&lt;=9,YEAR(A477),YEAR(A477)+1)</f>
        <v>1961</v>
      </c>
      <c r="C477" s="15" t="n">
        <f aca="false">MONTH(A477)</f>
        <v>11</v>
      </c>
      <c r="D477" s="15" t="n">
        <f aca="false">DAY(A477)</f>
        <v>30</v>
      </c>
      <c r="E477" s="15" t="n">
        <f aca="false">VLOOKUP(B477,WYT!$A$2:$L$97,12)</f>
        <v>1</v>
      </c>
      <c r="F477" s="15" t="n">
        <f aca="false">IF(C477=$W$5,1,0)</f>
        <v>0</v>
      </c>
      <c r="G477" s="15" t="n">
        <f aca="false">IF(C477=10,0,IF(F477=1,1,G476))</f>
        <v>0</v>
      </c>
      <c r="H477" s="5" t="n">
        <f aca="false">VA_base_426_data!B477</f>
        <v>1200</v>
      </c>
      <c r="I477" s="5" t="n">
        <f aca="false">IF(AND(E477=1,OR(C477=4,C477=5)),25*12.1/24/D477*1000,0)</f>
        <v>0</v>
      </c>
      <c r="J477" s="5" t="n">
        <f aca="false">VA_base_426_data!C477</f>
        <v>1200</v>
      </c>
      <c r="K477" s="5" t="n">
        <f aca="false">H477+I477-J477</f>
        <v>0</v>
      </c>
      <c r="L477" s="5" t="n">
        <f aca="false">MIN($W$7,J477+K477)</f>
        <v>1200</v>
      </c>
      <c r="M477" s="5" t="n">
        <f aca="false">VA_base_426_data!D477</f>
        <v>800</v>
      </c>
      <c r="N477" s="5" t="n">
        <f aca="false">IF(AND(C477=10,E477=1),$W$6,N476-P476)</f>
        <v>43</v>
      </c>
      <c r="O477" s="5" t="n">
        <f aca="false">IF(ABS(M477-L477)&gt;1,MIN(N477/((L477-M477)*24/12.1/1000),D477),D477)</f>
        <v>30</v>
      </c>
      <c r="P477" s="5" t="n">
        <f aca="false">MIN(IF(AND(G477,E477),(L477-M477)*24/12.1*O477/1000,0),N477)</f>
        <v>0</v>
      </c>
      <c r="Q477" s="5" t="n">
        <f aca="false">IF(P477&gt;0,P477/O477*12.1/24*1000+M477,0)</f>
        <v>0</v>
      </c>
      <c r="R477" s="0" t="n">
        <f aca="false">IF(Q477&gt;0,TRUNC(O477),0)</f>
        <v>0</v>
      </c>
      <c r="S477" s="5" t="n">
        <f aca="false">(M477*(D477-R477)+(Q477*R477))/D477</f>
        <v>800</v>
      </c>
      <c r="T477" s="6" t="n">
        <f aca="false">(Q477-M477)*R477*24/12.1/1000</f>
        <v>-0</v>
      </c>
    </row>
    <row r="478" customFormat="false" ht="14.35" hidden="false" customHeight="false" outlineLevel="0" collapsed="false">
      <c r="A478" s="4" t="n">
        <v>22281</v>
      </c>
      <c r="B478" s="15" t="n">
        <f aca="false">IF(C478&lt;=9,YEAR(A478),YEAR(A478)+1)</f>
        <v>1961</v>
      </c>
      <c r="C478" s="15" t="n">
        <f aca="false">MONTH(A478)</f>
        <v>12</v>
      </c>
      <c r="D478" s="15" t="n">
        <f aca="false">DAY(A478)</f>
        <v>31</v>
      </c>
      <c r="E478" s="15" t="n">
        <f aca="false">VLOOKUP(B478,WYT!$A$2:$L$97,12)</f>
        <v>1</v>
      </c>
      <c r="F478" s="15" t="n">
        <f aca="false">IF(C478=$W$5,1,0)</f>
        <v>0</v>
      </c>
      <c r="G478" s="15" t="n">
        <f aca="false">IF(C478=10,0,IF(F478=1,1,G477))</f>
        <v>0</v>
      </c>
      <c r="H478" s="5" t="n">
        <f aca="false">VA_base_426_data!B478</f>
        <v>1418.84101814074</v>
      </c>
      <c r="I478" s="5" t="n">
        <f aca="false">IF(AND(E478=1,OR(C478=4,C478=5)),25*12.1/24/D478*1000,0)</f>
        <v>0</v>
      </c>
      <c r="J478" s="5" t="n">
        <f aca="false">VA_base_426_data!C478</f>
        <v>1200</v>
      </c>
      <c r="K478" s="5" t="n">
        <f aca="false">H478+I478-J478</f>
        <v>218.841018140742</v>
      </c>
      <c r="L478" s="5" t="n">
        <f aca="false">MIN($W$7,J478+K478)</f>
        <v>1418.84101814074</v>
      </c>
      <c r="M478" s="5" t="n">
        <f aca="false">VA_base_426_data!D478</f>
        <v>800</v>
      </c>
      <c r="N478" s="5" t="n">
        <f aca="false">IF(AND(C478=10,E478=1),$W$6,N477-P477)</f>
        <v>43</v>
      </c>
      <c r="O478" s="5" t="n">
        <f aca="false">IF(ABS(M478-L478)&gt;1,MIN(N478/((L478-M478)*24/12.1/1000),D478),D478)</f>
        <v>31</v>
      </c>
      <c r="P478" s="5" t="n">
        <f aca="false">MIN(IF(AND(G478,E478),(L478-M478)*24/12.1*O478/1000,0),N478)</f>
        <v>0</v>
      </c>
      <c r="Q478" s="5" t="n">
        <f aca="false">IF(P478&gt;0,P478/O478*12.1/24*1000+M478,0)</f>
        <v>0</v>
      </c>
      <c r="R478" s="0" t="n">
        <f aca="false">IF(Q478&gt;0,TRUNC(O478),0)</f>
        <v>0</v>
      </c>
      <c r="S478" s="5" t="n">
        <f aca="false">(M478*(D478-R478)+(Q478*R478))/D478</f>
        <v>800</v>
      </c>
      <c r="T478" s="6" t="n">
        <f aca="false">(Q478-M478)*R478*24/12.1/1000</f>
        <v>-0</v>
      </c>
    </row>
    <row r="479" customFormat="false" ht="14.35" hidden="false" customHeight="false" outlineLevel="0" collapsed="false">
      <c r="A479" s="4" t="n">
        <v>22312</v>
      </c>
      <c r="B479" s="15" t="n">
        <f aca="false">IF(C479&lt;=9,YEAR(A479),YEAR(A479)+1)</f>
        <v>1961</v>
      </c>
      <c r="C479" s="15" t="n">
        <f aca="false">MONTH(A479)</f>
        <v>1</v>
      </c>
      <c r="D479" s="15" t="n">
        <f aca="false">DAY(A479)</f>
        <v>31</v>
      </c>
      <c r="E479" s="15" t="n">
        <f aca="false">VLOOKUP(B479,WYT!$A$2:$L$97,12)</f>
        <v>1</v>
      </c>
      <c r="F479" s="15" t="n">
        <f aca="false">IF(C479=$W$5,1,0)</f>
        <v>0</v>
      </c>
      <c r="G479" s="15" t="n">
        <f aca="false">IF(C479=10,0,IF(F479=1,1,G478))</f>
        <v>0</v>
      </c>
      <c r="H479" s="5" t="n">
        <f aca="false">VA_base_426_data!B479</f>
        <v>1200</v>
      </c>
      <c r="I479" s="5" t="n">
        <f aca="false">IF(AND(E479=1,OR(C479=4,C479=5)),25*12.1/24/D479*1000,0)</f>
        <v>0</v>
      </c>
      <c r="J479" s="5" t="n">
        <f aca="false">VA_base_426_data!C479</f>
        <v>1200</v>
      </c>
      <c r="K479" s="5" t="n">
        <f aca="false">H479+I479-J479</f>
        <v>0</v>
      </c>
      <c r="L479" s="5" t="n">
        <f aca="false">MIN($W$7,J479+K479)</f>
        <v>1200</v>
      </c>
      <c r="M479" s="5" t="n">
        <f aca="false">VA_base_426_data!D479</f>
        <v>800</v>
      </c>
      <c r="N479" s="5" t="n">
        <f aca="false">IF(AND(C479=10,E479=1),$W$6,N478-P478)</f>
        <v>43</v>
      </c>
      <c r="O479" s="5" t="n">
        <f aca="false">IF(ABS(M479-L479)&gt;1,MIN(N479/((L479-M479)*24/12.1/1000),D479),D479)</f>
        <v>31</v>
      </c>
      <c r="P479" s="5" t="n">
        <f aca="false">MIN(IF(AND(G479,E479),(L479-M479)*24/12.1*O479/1000,0),N479)</f>
        <v>0</v>
      </c>
      <c r="Q479" s="5" t="n">
        <f aca="false">IF(P479&gt;0,P479/O479*12.1/24*1000+M479,0)</f>
        <v>0</v>
      </c>
      <c r="R479" s="0" t="n">
        <f aca="false">IF(Q479&gt;0,TRUNC(O479),0)</f>
        <v>0</v>
      </c>
      <c r="S479" s="5" t="n">
        <f aca="false">(M479*(D479-R479)+(Q479*R479))/D479</f>
        <v>800</v>
      </c>
      <c r="T479" s="6" t="n">
        <f aca="false">(Q479-M479)*R479*24/12.1/1000</f>
        <v>-0</v>
      </c>
    </row>
    <row r="480" customFormat="false" ht="14.35" hidden="false" customHeight="false" outlineLevel="0" collapsed="false">
      <c r="A480" s="4" t="n">
        <v>22340</v>
      </c>
      <c r="B480" s="15" t="n">
        <f aca="false">IF(C480&lt;=9,YEAR(A480),YEAR(A480)+1)</f>
        <v>1961</v>
      </c>
      <c r="C480" s="15" t="n">
        <f aca="false">MONTH(A480)</f>
        <v>2</v>
      </c>
      <c r="D480" s="15" t="n">
        <f aca="false">DAY(A480)</f>
        <v>28</v>
      </c>
      <c r="E480" s="15" t="n">
        <f aca="false">VLOOKUP(B480,WYT!$A$2:$L$97,12)</f>
        <v>1</v>
      </c>
      <c r="F480" s="15" t="n">
        <f aca="false">IF(C480=$W$5,1,0)</f>
        <v>1</v>
      </c>
      <c r="G480" s="15" t="n">
        <f aca="false">IF(C480=10,0,IF(F480=1,1,G479))</f>
        <v>1</v>
      </c>
      <c r="H480" s="5" t="n">
        <f aca="false">VA_base_426_data!B480</f>
        <v>1200</v>
      </c>
      <c r="I480" s="5" t="n">
        <f aca="false">IF(AND(E480=1,OR(C480=4,C480=5)),25*12.1/24/D480*1000,0)</f>
        <v>0</v>
      </c>
      <c r="J480" s="5" t="n">
        <f aca="false">VA_base_426_data!C480</f>
        <v>1200</v>
      </c>
      <c r="K480" s="5" t="n">
        <f aca="false">H480+I480-J480</f>
        <v>0</v>
      </c>
      <c r="L480" s="5" t="n">
        <f aca="false">MIN($W$7,J480+K480)</f>
        <v>1200</v>
      </c>
      <c r="M480" s="5" t="n">
        <f aca="false">VA_base_426_data!D480</f>
        <v>800</v>
      </c>
      <c r="N480" s="5" t="n">
        <f aca="false">IF(AND(C480=10,E480=1),$W$6,N479-P479)</f>
        <v>43</v>
      </c>
      <c r="O480" s="5" t="n">
        <f aca="false">IF(ABS(M480-L480)&gt;1,MIN(N480/((L480-M480)*24/12.1/1000),D480),D480)</f>
        <v>28</v>
      </c>
      <c r="P480" s="5" t="n">
        <f aca="false">MIN(IF(AND(G480,E480),(L480-M480)*24/12.1*O480/1000,0),N480)</f>
        <v>22.2148760330578</v>
      </c>
      <c r="Q480" s="5" t="n">
        <f aca="false">IF(P480&gt;0,P480/O480*12.1/24*1000+M480,0)</f>
        <v>1200</v>
      </c>
      <c r="R480" s="0" t="n">
        <f aca="false">IF(Q480&gt;0,TRUNC(O480),0)</f>
        <v>28</v>
      </c>
      <c r="S480" s="5" t="n">
        <f aca="false">(M480*(D480-R480)+(Q480*R480))/D480</f>
        <v>1200</v>
      </c>
      <c r="T480" s="6" t="n">
        <f aca="false">(Q480-M480)*R480*24/12.1/1000</f>
        <v>22.2148760330578</v>
      </c>
    </row>
    <row r="481" customFormat="false" ht="14.35" hidden="false" customHeight="false" outlineLevel="0" collapsed="false">
      <c r="A481" s="4" t="n">
        <v>22371</v>
      </c>
      <c r="B481" s="15" t="n">
        <f aca="false">IF(C481&lt;=9,YEAR(A481),YEAR(A481)+1)</f>
        <v>1961</v>
      </c>
      <c r="C481" s="15" t="n">
        <f aca="false">MONTH(A481)</f>
        <v>3</v>
      </c>
      <c r="D481" s="15" t="n">
        <f aca="false">DAY(A481)</f>
        <v>31</v>
      </c>
      <c r="E481" s="15" t="n">
        <f aca="false">VLOOKUP(B481,WYT!$A$2:$L$97,12)</f>
        <v>1</v>
      </c>
      <c r="F481" s="15" t="n">
        <f aca="false">IF(C481=$W$5,1,0)</f>
        <v>0</v>
      </c>
      <c r="G481" s="15" t="n">
        <f aca="false">IF(C481=10,0,IF(F481=1,1,G480))</f>
        <v>1</v>
      </c>
      <c r="H481" s="5" t="n">
        <f aca="false">VA_base_426_data!B481</f>
        <v>1109.04104051296</v>
      </c>
      <c r="I481" s="5" t="n">
        <f aca="false">IF(AND(E481=1,OR(C481=4,C481=5)),25*12.1/24/D481*1000,0)</f>
        <v>0</v>
      </c>
      <c r="J481" s="5" t="n">
        <f aca="false">VA_base_426_data!C481</f>
        <v>1000</v>
      </c>
      <c r="K481" s="5" t="n">
        <f aca="false">H481+I481-J481</f>
        <v>109.04104051296</v>
      </c>
      <c r="L481" s="5" t="n">
        <f aca="false">MIN($W$7,J481+K481)</f>
        <v>1109.04104051296</v>
      </c>
      <c r="M481" s="5" t="n">
        <f aca="false">VA_base_426_data!D481</f>
        <v>800</v>
      </c>
      <c r="N481" s="5" t="n">
        <f aca="false">IF(AND(C481=10,E481=1),$W$6,N480-P480)</f>
        <v>20.7851239669421</v>
      </c>
      <c r="O481" s="5" t="n">
        <f aca="false">IF(ABS(M481-L481)&gt;1,MIN(N481/((L481-M481)*24/12.1/1000),D481),D481)</f>
        <v>31</v>
      </c>
      <c r="P481" s="5" t="n">
        <f aca="false">MIN(IF(AND(G481,E481),(L481-M481)*24/12.1*O481/1000,0),N481)</f>
        <v>19.002192904268</v>
      </c>
      <c r="Q481" s="5" t="n">
        <f aca="false">IF(P481&gt;0,P481/O481*12.1/24*1000+M481,0)</f>
        <v>1109.04104051296</v>
      </c>
      <c r="R481" s="0" t="n">
        <f aca="false">IF(Q481&gt;0,TRUNC(O481),0)</f>
        <v>31</v>
      </c>
      <c r="S481" s="5" t="n">
        <f aca="false">(M481*(D481-R481)+(Q481*R481))/D481</f>
        <v>1109.04104051296</v>
      </c>
      <c r="T481" s="6" t="n">
        <f aca="false">(Q481-M481)*R481*24/12.1/1000</f>
        <v>19.002192904268</v>
      </c>
    </row>
    <row r="482" customFormat="false" ht="14.35" hidden="false" customHeight="false" outlineLevel="0" collapsed="false">
      <c r="A482" s="4" t="n">
        <v>22401</v>
      </c>
      <c r="B482" s="15" t="n">
        <f aca="false">IF(C482&lt;=9,YEAR(A482),YEAR(A482)+1)</f>
        <v>1961</v>
      </c>
      <c r="C482" s="15" t="n">
        <f aca="false">MONTH(A482)</f>
        <v>4</v>
      </c>
      <c r="D482" s="15" t="n">
        <f aca="false">DAY(A482)</f>
        <v>30</v>
      </c>
      <c r="E482" s="15" t="n">
        <f aca="false">VLOOKUP(B482,WYT!$A$2:$L$97,12)</f>
        <v>1</v>
      </c>
      <c r="F482" s="15" t="n">
        <f aca="false">IF(C482=$W$5,1,0)</f>
        <v>0</v>
      </c>
      <c r="G482" s="15" t="n">
        <f aca="false">IF(C482=10,0,IF(F482=1,1,G481))</f>
        <v>1</v>
      </c>
      <c r="H482" s="5" t="n">
        <f aca="false">VA_base_426_data!B482</f>
        <v>1247.14713678908</v>
      </c>
      <c r="I482" s="5" t="n">
        <f aca="false">IF(AND(E482=1,OR(C482=4,C482=5)),25*12.1/24/D482*1000,0)</f>
        <v>420.138888888889</v>
      </c>
      <c r="J482" s="5" t="n">
        <f aca="false">VA_base_426_data!C482</f>
        <v>750</v>
      </c>
      <c r="K482" s="5" t="n">
        <f aca="false">H482+I482-J482</f>
        <v>917.286025677973</v>
      </c>
      <c r="L482" s="5" t="n">
        <f aca="false">MIN($W$7,J482+K482)</f>
        <v>1667.28602567797</v>
      </c>
      <c r="M482" s="5" t="n">
        <f aca="false">VA_base_426_data!D482</f>
        <v>700</v>
      </c>
      <c r="N482" s="5" t="n">
        <f aca="false">IF(AND(C482=10,E482=1),$W$6,N481-P481)</f>
        <v>1.78293106267419</v>
      </c>
      <c r="O482" s="5" t="n">
        <f aca="false">IF(ABS(M482-L482)&gt;1,MIN(N482/((L482-M482)*24/12.1/1000),D482),D482)</f>
        <v>0.929295355150888</v>
      </c>
      <c r="P482" s="5" t="n">
        <f aca="false">MIN(IF(AND(G482,E482),(L482-M482)*24/12.1*O482/1000,0),N482)</f>
        <v>1.78293106267419</v>
      </c>
      <c r="Q482" s="5" t="n">
        <f aca="false">IF(P482&gt;0,P482/O482*12.1/24*1000+M482,0)</f>
        <v>1667.28602567797</v>
      </c>
      <c r="R482" s="0" t="n">
        <f aca="false">IF(Q482&gt;0,TRUNC(O482),0)</f>
        <v>0</v>
      </c>
      <c r="S482" s="5" t="n">
        <f aca="false">(M482*(D482-R482)+(Q482*R482))/D482</f>
        <v>700</v>
      </c>
      <c r="T482" s="6" t="n">
        <f aca="false">(Q482-M482)*R482*24/12.1/1000</f>
        <v>0</v>
      </c>
    </row>
    <row r="483" customFormat="false" ht="14.35" hidden="false" customHeight="false" outlineLevel="0" collapsed="false">
      <c r="A483" s="4" t="n">
        <v>22432</v>
      </c>
      <c r="B483" s="15" t="n">
        <f aca="false">IF(C483&lt;=9,YEAR(A483),YEAR(A483)+1)</f>
        <v>1961</v>
      </c>
      <c r="C483" s="15" t="n">
        <f aca="false">MONTH(A483)</f>
        <v>5</v>
      </c>
      <c r="D483" s="15" t="n">
        <f aca="false">DAY(A483)</f>
        <v>31</v>
      </c>
      <c r="E483" s="15" t="n">
        <f aca="false">VLOOKUP(B483,WYT!$A$2:$L$97,12)</f>
        <v>1</v>
      </c>
      <c r="F483" s="15" t="n">
        <f aca="false">IF(C483=$W$5,1,0)</f>
        <v>0</v>
      </c>
      <c r="G483" s="15" t="n">
        <f aca="false">IF(C483=10,0,IF(F483=1,1,G482))</f>
        <v>1</v>
      </c>
      <c r="H483" s="5" t="n">
        <f aca="false">VA_base_426_data!B483</f>
        <v>1572.05199535114</v>
      </c>
      <c r="I483" s="5" t="n">
        <f aca="false">IF(AND(E483=1,OR(C483=4,C483=5)),25*12.1/24/D483*1000,0)</f>
        <v>406.586021505376</v>
      </c>
      <c r="J483" s="5" t="n">
        <f aca="false">VA_base_426_data!C483</f>
        <v>750</v>
      </c>
      <c r="K483" s="5" t="n">
        <f aca="false">H483+I483-J483</f>
        <v>1228.63801685651</v>
      </c>
      <c r="L483" s="5" t="n">
        <f aca="false">MIN($W$7,J483+K483)</f>
        <v>1978.63801685651</v>
      </c>
      <c r="M483" s="5" t="n">
        <f aca="false">VA_base_426_data!D483</f>
        <v>700</v>
      </c>
      <c r="N483" s="5" t="n">
        <f aca="false">IF(AND(C483=10,E483=1),$W$6,N482-P482)</f>
        <v>0</v>
      </c>
      <c r="O483" s="5" t="n">
        <f aca="false">IF(ABS(M483-L483)&gt;1,MIN(N483/((L483-M483)*24/12.1/1000),D483),D483)</f>
        <v>0</v>
      </c>
      <c r="P483" s="5" t="n">
        <f aca="false">MIN(IF(AND(G483,E483),(L483-M483)*24/12.1*O483/1000,0),N483)</f>
        <v>0</v>
      </c>
      <c r="Q483" s="5" t="n">
        <f aca="false">IF(P483&gt;0,P483/O483*12.1/24*1000+M483,0)</f>
        <v>0</v>
      </c>
      <c r="R483" s="0" t="n">
        <f aca="false">IF(Q483&gt;0,TRUNC(O483),0)</f>
        <v>0</v>
      </c>
      <c r="S483" s="5" t="n">
        <f aca="false">(M483*(D483-R483)+(Q483*R483))/D483</f>
        <v>700</v>
      </c>
      <c r="T483" s="6" t="n">
        <f aca="false">(Q483-M483)*R483*24/12.1/1000</f>
        <v>-0</v>
      </c>
    </row>
    <row r="484" customFormat="false" ht="14.35" hidden="false" customHeight="false" outlineLevel="0" collapsed="false">
      <c r="A484" s="4" t="n">
        <v>22462</v>
      </c>
      <c r="B484" s="15" t="n">
        <f aca="false">IF(C484&lt;=9,YEAR(A484),YEAR(A484)+1)</f>
        <v>1961</v>
      </c>
      <c r="C484" s="15" t="n">
        <f aca="false">MONTH(A484)</f>
        <v>6</v>
      </c>
      <c r="D484" s="15" t="n">
        <f aca="false">DAY(A484)</f>
        <v>30</v>
      </c>
      <c r="E484" s="15" t="n">
        <f aca="false">VLOOKUP(B484,WYT!$A$2:$L$97,12)</f>
        <v>1</v>
      </c>
      <c r="F484" s="15" t="n">
        <f aca="false">IF(C484=$W$5,1,0)</f>
        <v>0</v>
      </c>
      <c r="G484" s="15" t="n">
        <f aca="false">IF(C484=10,0,IF(F484=1,1,G483))</f>
        <v>1</v>
      </c>
      <c r="H484" s="5" t="n">
        <f aca="false">VA_base_426_data!B484</f>
        <v>4787.42858264053</v>
      </c>
      <c r="I484" s="5" t="n">
        <f aca="false">IF(AND(E484=1,OR(C484=4,C484=5)),25*12.1/24/D484*1000,0)</f>
        <v>0</v>
      </c>
      <c r="J484" s="5" t="n">
        <f aca="false">VA_base_426_data!C484</f>
        <v>750</v>
      </c>
      <c r="K484" s="5" t="n">
        <f aca="false">H484+I484-J484</f>
        <v>4037.42858264053</v>
      </c>
      <c r="L484" s="5" t="n">
        <f aca="false">MIN($W$7,J484+K484)</f>
        <v>2000</v>
      </c>
      <c r="M484" s="5" t="n">
        <f aca="false">VA_base_426_data!D484</f>
        <v>700</v>
      </c>
      <c r="N484" s="5" t="n">
        <f aca="false">IF(AND(C484=10,E484=1),$W$6,N483-P483)</f>
        <v>0</v>
      </c>
      <c r="O484" s="5" t="n">
        <f aca="false">IF(ABS(M484-L484)&gt;1,MIN(N484/((L484-M484)*24/12.1/1000),D484),D484)</f>
        <v>0</v>
      </c>
      <c r="P484" s="5" t="n">
        <f aca="false">MIN(IF(AND(G484,E484),(L484-M484)*24/12.1*O484/1000,0),N484)</f>
        <v>0</v>
      </c>
      <c r="Q484" s="5" t="n">
        <f aca="false">IF(P484&gt;0,P484/O484*12.1/24*1000+M484,0)</f>
        <v>0</v>
      </c>
      <c r="R484" s="0" t="n">
        <f aca="false">IF(Q484&gt;0,TRUNC(O484),0)</f>
        <v>0</v>
      </c>
      <c r="S484" s="5" t="n">
        <f aca="false">(M484*(D484-R484)+(Q484*R484))/D484</f>
        <v>700</v>
      </c>
      <c r="T484" s="6" t="n">
        <f aca="false">(Q484-M484)*R484*24/12.1/1000</f>
        <v>-0</v>
      </c>
    </row>
    <row r="485" customFormat="false" ht="14.35" hidden="false" customHeight="false" outlineLevel="0" collapsed="false">
      <c r="A485" s="4" t="n">
        <v>22493</v>
      </c>
      <c r="B485" s="15" t="n">
        <f aca="false">IF(C485&lt;=9,YEAR(A485),YEAR(A485)+1)</f>
        <v>1961</v>
      </c>
      <c r="C485" s="15" t="n">
        <f aca="false">MONTH(A485)</f>
        <v>7</v>
      </c>
      <c r="D485" s="15" t="n">
        <f aca="false">DAY(A485)</f>
        <v>31</v>
      </c>
      <c r="E485" s="15" t="n">
        <f aca="false">VLOOKUP(B485,WYT!$A$2:$L$97,12)</f>
        <v>1</v>
      </c>
      <c r="F485" s="15" t="n">
        <f aca="false">IF(C485=$W$5,1,0)</f>
        <v>0</v>
      </c>
      <c r="G485" s="15" t="n">
        <f aca="false">IF(C485=10,0,IF(F485=1,1,G484))</f>
        <v>1</v>
      </c>
      <c r="H485" s="5" t="n">
        <f aca="false">VA_base_426_data!B485</f>
        <v>5204.79212861506</v>
      </c>
      <c r="I485" s="5" t="n">
        <f aca="false">IF(AND(E485=1,OR(C485=4,C485=5)),25*12.1/24/D485*1000,0)</f>
        <v>0</v>
      </c>
      <c r="J485" s="5" t="n">
        <f aca="false">VA_base_426_data!C485</f>
        <v>750</v>
      </c>
      <c r="K485" s="5" t="n">
        <f aca="false">H485+I485-J485</f>
        <v>4454.79212861506</v>
      </c>
      <c r="L485" s="5" t="n">
        <f aca="false">MIN($W$7,J485+K485)</f>
        <v>2000</v>
      </c>
      <c r="M485" s="5" t="n">
        <f aca="false">VA_base_426_data!D485</f>
        <v>700</v>
      </c>
      <c r="N485" s="5" t="n">
        <f aca="false">IF(AND(C485=10,E485=1),$W$6,N484-P484)</f>
        <v>0</v>
      </c>
      <c r="O485" s="5" t="n">
        <f aca="false">IF(ABS(M485-L485)&gt;1,MIN(N485/((L485-M485)*24/12.1/1000),D485),D485)</f>
        <v>0</v>
      </c>
      <c r="P485" s="5" t="n">
        <f aca="false">MIN(IF(AND(G485,E485),(L485-M485)*24/12.1*O485/1000,0),N485)</f>
        <v>0</v>
      </c>
      <c r="Q485" s="5" t="n">
        <f aca="false">IF(P485&gt;0,P485/O485*12.1/24*1000+M485,0)</f>
        <v>0</v>
      </c>
      <c r="R485" s="0" t="n">
        <f aca="false">IF(Q485&gt;0,TRUNC(O485),0)</f>
        <v>0</v>
      </c>
      <c r="S485" s="5" t="n">
        <f aca="false">(M485*(D485-R485)+(Q485*R485))/D485</f>
        <v>700</v>
      </c>
      <c r="T485" s="6" t="n">
        <f aca="false">(Q485-M485)*R485*24/12.1/1000</f>
        <v>-0</v>
      </c>
    </row>
    <row r="486" customFormat="false" ht="14.35" hidden="false" customHeight="false" outlineLevel="0" collapsed="false">
      <c r="A486" s="4" t="n">
        <v>22524</v>
      </c>
      <c r="B486" s="15" t="n">
        <f aca="false">IF(C486&lt;=9,YEAR(A486),YEAR(A486)+1)</f>
        <v>1961</v>
      </c>
      <c r="C486" s="15" t="n">
        <f aca="false">MONTH(A486)</f>
        <v>8</v>
      </c>
      <c r="D486" s="15" t="n">
        <f aca="false">DAY(A486)</f>
        <v>31</v>
      </c>
      <c r="E486" s="15" t="n">
        <f aca="false">VLOOKUP(B486,WYT!$A$2:$L$97,12)</f>
        <v>1</v>
      </c>
      <c r="F486" s="15" t="n">
        <f aca="false">IF(C486=$W$5,1,0)</f>
        <v>0</v>
      </c>
      <c r="G486" s="15" t="n">
        <f aca="false">IF(C486=10,0,IF(F486=1,1,G485))</f>
        <v>1</v>
      </c>
      <c r="H486" s="5" t="n">
        <f aca="false">VA_base_426_data!B486</f>
        <v>2206.16717162607</v>
      </c>
      <c r="I486" s="5" t="n">
        <f aca="false">IF(AND(E486=1,OR(C486=4,C486=5)),25*12.1/24/D486*1000,0)</f>
        <v>0</v>
      </c>
      <c r="J486" s="5" t="n">
        <f aca="false">VA_base_426_data!C486</f>
        <v>750</v>
      </c>
      <c r="K486" s="5" t="n">
        <f aca="false">H486+I486-J486</f>
        <v>1456.16717162607</v>
      </c>
      <c r="L486" s="5" t="n">
        <f aca="false">MIN($W$7,J486+K486)</f>
        <v>2000</v>
      </c>
      <c r="M486" s="5" t="n">
        <f aca="false">VA_base_426_data!D486</f>
        <v>700</v>
      </c>
      <c r="N486" s="5" t="n">
        <f aca="false">IF(AND(C486=10,E486=1),$W$6,N485-P485)</f>
        <v>0</v>
      </c>
      <c r="O486" s="5" t="n">
        <f aca="false">IF(ABS(M486-L486)&gt;1,MIN(N486/((L486-M486)*24/12.1/1000),D486),D486)</f>
        <v>0</v>
      </c>
      <c r="P486" s="5" t="n">
        <f aca="false">MIN(IF(AND(G486,E486),(L486-M486)*24/12.1*O486/1000,0),N486)</f>
        <v>0</v>
      </c>
      <c r="Q486" s="5" t="n">
        <f aca="false">IF(P486&gt;0,P486/O486*12.1/24*1000+M486,0)</f>
        <v>0</v>
      </c>
      <c r="R486" s="0" t="n">
        <f aca="false">IF(Q486&gt;0,TRUNC(O486),0)</f>
        <v>0</v>
      </c>
      <c r="S486" s="5" t="n">
        <f aca="false">(M486*(D486-R486)+(Q486*R486))/D486</f>
        <v>700</v>
      </c>
      <c r="T486" s="6" t="n">
        <f aca="false">(Q486-M486)*R486*24/12.1/1000</f>
        <v>-0</v>
      </c>
    </row>
    <row r="487" customFormat="false" ht="14.35" hidden="false" customHeight="false" outlineLevel="0" collapsed="false">
      <c r="A487" s="4" t="n">
        <v>22554</v>
      </c>
      <c r="B487" s="15" t="n">
        <f aca="false">IF(C487&lt;=9,YEAR(A487),YEAR(A487)+1)</f>
        <v>1961</v>
      </c>
      <c r="C487" s="15" t="n">
        <f aca="false">MONTH(A487)</f>
        <v>9</v>
      </c>
      <c r="D487" s="15" t="n">
        <f aca="false">DAY(A487)</f>
        <v>30</v>
      </c>
      <c r="E487" s="15" t="n">
        <f aca="false">VLOOKUP(B487,WYT!$A$2:$L$97,12)</f>
        <v>1</v>
      </c>
      <c r="F487" s="15" t="n">
        <f aca="false">IF(C487=$W$5,1,0)</f>
        <v>0</v>
      </c>
      <c r="G487" s="15" t="n">
        <f aca="false">IF(C487=10,0,IF(F487=1,1,G486))</f>
        <v>1</v>
      </c>
      <c r="H487" s="5" t="n">
        <f aca="false">VA_base_426_data!B487</f>
        <v>955.252699726267</v>
      </c>
      <c r="I487" s="5" t="n">
        <f aca="false">IF(AND(E487=1,OR(C487=4,C487=5)),25*12.1/24/D487*1000,0)</f>
        <v>0</v>
      </c>
      <c r="J487" s="5" t="n">
        <f aca="false">VA_base_426_data!C487</f>
        <v>750</v>
      </c>
      <c r="K487" s="5" t="n">
        <f aca="false">H487+I487-J487</f>
        <v>205.252699726267</v>
      </c>
      <c r="L487" s="5" t="n">
        <f aca="false">MIN($W$7,J487+K487)</f>
        <v>955.252699726267</v>
      </c>
      <c r="M487" s="5" t="n">
        <f aca="false">VA_base_426_data!D487</f>
        <v>773.3333333</v>
      </c>
      <c r="N487" s="5" t="n">
        <f aca="false">IF(AND(C487=10,E487=1),$W$6,N486-P486)</f>
        <v>0</v>
      </c>
      <c r="O487" s="5" t="n">
        <f aca="false">IF(ABS(M487-L487)&gt;1,MIN(N487/((L487-M487)*24/12.1/1000),D487),D487)</f>
        <v>0</v>
      </c>
      <c r="P487" s="5" t="n">
        <f aca="false">MIN(IF(AND(G487,E487),(L487-M487)*24/12.1*O487/1000,0),N487)</f>
        <v>0</v>
      </c>
      <c r="Q487" s="5" t="n">
        <f aca="false">IF(P487&gt;0,P487/O487*12.1/24*1000+M487,0)</f>
        <v>0</v>
      </c>
      <c r="R487" s="0" t="n">
        <f aca="false">IF(Q487&gt;0,TRUNC(O487),0)</f>
        <v>0</v>
      </c>
      <c r="S487" s="5" t="n">
        <f aca="false">(M487*(D487-R487)+(Q487*R487))/D487</f>
        <v>773.3333333</v>
      </c>
      <c r="T487" s="6" t="n">
        <f aca="false">(Q487-M487)*R487*24/12.1/1000</f>
        <v>-0</v>
      </c>
    </row>
    <row r="488" customFormat="false" ht="14.35" hidden="false" customHeight="false" outlineLevel="0" collapsed="false">
      <c r="A488" s="4" t="n">
        <v>22585</v>
      </c>
      <c r="B488" s="15" t="n">
        <f aca="false">IF(C488&lt;=9,YEAR(A488),YEAR(A488)+1)</f>
        <v>1962</v>
      </c>
      <c r="C488" s="15" t="n">
        <f aca="false">MONTH(A488)</f>
        <v>10</v>
      </c>
      <c r="D488" s="15" t="n">
        <f aca="false">DAY(A488)</f>
        <v>31</v>
      </c>
      <c r="E488" s="15" t="n">
        <f aca="false">VLOOKUP(B488,WYT!$A$2:$L$97,12)</f>
        <v>1</v>
      </c>
      <c r="F488" s="15" t="n">
        <f aca="false">IF(C488=$W$5,1,0)</f>
        <v>0</v>
      </c>
      <c r="G488" s="15" t="n">
        <f aca="false">IF(C488=10,0,IF(F488=1,1,G487))</f>
        <v>0</v>
      </c>
      <c r="H488" s="5" t="n">
        <f aca="false">VA_base_426_data!B488</f>
        <v>900</v>
      </c>
      <c r="I488" s="5" t="n">
        <f aca="false">IF(AND(E488=1,OR(C488=4,C488=5)),25*12.1/24/D488*1000,0)</f>
        <v>0</v>
      </c>
      <c r="J488" s="5" t="n">
        <f aca="false">VA_base_426_data!C488</f>
        <v>900</v>
      </c>
      <c r="K488" s="5" t="n">
        <f aca="false">H488+I488-J488</f>
        <v>0</v>
      </c>
      <c r="L488" s="5" t="n">
        <f aca="false">MIN($W$7,J488+K488)</f>
        <v>900</v>
      </c>
      <c r="M488" s="5" t="n">
        <f aca="false">VA_base_426_data!D488</f>
        <v>800</v>
      </c>
      <c r="N488" s="5" t="n">
        <f aca="false">IF(AND(C488=10,E488=1),$W$6,N487-P487)</f>
        <v>43</v>
      </c>
      <c r="O488" s="5" t="n">
        <f aca="false">IF(ABS(M488-L488)&gt;1,MIN(N488/((L488-M488)*24/12.1/1000),D488),D488)</f>
        <v>31</v>
      </c>
      <c r="P488" s="5" t="n">
        <f aca="false">MIN(IF(AND(G488,E488),(L488-M488)*24/12.1*O488/1000,0),N488)</f>
        <v>0</v>
      </c>
      <c r="Q488" s="5" t="n">
        <f aca="false">IF(P488&gt;0,P488/O488*12.1/24*1000+M488,0)</f>
        <v>0</v>
      </c>
      <c r="R488" s="0" t="n">
        <f aca="false">IF(Q488&gt;0,TRUNC(O488),0)</f>
        <v>0</v>
      </c>
      <c r="S488" s="5" t="n">
        <f aca="false">(M488*(D488-R488)+(Q488*R488))/D488</f>
        <v>800</v>
      </c>
      <c r="T488" s="6" t="n">
        <f aca="false">(Q488-M488)*R488*24/12.1/1000</f>
        <v>-0</v>
      </c>
    </row>
    <row r="489" customFormat="false" ht="14.35" hidden="false" customHeight="false" outlineLevel="0" collapsed="false">
      <c r="A489" s="4" t="n">
        <v>22615</v>
      </c>
      <c r="B489" s="15" t="n">
        <f aca="false">IF(C489&lt;=9,YEAR(A489),YEAR(A489)+1)</f>
        <v>1962</v>
      </c>
      <c r="C489" s="15" t="n">
        <f aca="false">MONTH(A489)</f>
        <v>11</v>
      </c>
      <c r="D489" s="15" t="n">
        <f aca="false">DAY(A489)</f>
        <v>30</v>
      </c>
      <c r="E489" s="15" t="n">
        <f aca="false">VLOOKUP(B489,WYT!$A$2:$L$97,12)</f>
        <v>1</v>
      </c>
      <c r="F489" s="15" t="n">
        <f aca="false">IF(C489=$W$5,1,0)</f>
        <v>0</v>
      </c>
      <c r="G489" s="15" t="n">
        <f aca="false">IF(C489=10,0,IF(F489=1,1,G488))</f>
        <v>0</v>
      </c>
      <c r="H489" s="5" t="n">
        <f aca="false">VA_base_426_data!B489</f>
        <v>900</v>
      </c>
      <c r="I489" s="5" t="n">
        <f aca="false">IF(AND(E489=1,OR(C489=4,C489=5)),25*12.1/24/D489*1000,0)</f>
        <v>0</v>
      </c>
      <c r="J489" s="5" t="n">
        <f aca="false">VA_base_426_data!C489</f>
        <v>900</v>
      </c>
      <c r="K489" s="5" t="n">
        <f aca="false">H489+I489-J489</f>
        <v>0</v>
      </c>
      <c r="L489" s="5" t="n">
        <f aca="false">MIN($W$7,J489+K489)</f>
        <v>900</v>
      </c>
      <c r="M489" s="5" t="n">
        <f aca="false">VA_base_426_data!D489</f>
        <v>800</v>
      </c>
      <c r="N489" s="5" t="n">
        <f aca="false">IF(AND(C489=10,E489=1),$W$6,N488-P488)</f>
        <v>43</v>
      </c>
      <c r="O489" s="5" t="n">
        <f aca="false">IF(ABS(M489-L489)&gt;1,MIN(N489/((L489-M489)*24/12.1/1000),D489),D489)</f>
        <v>30</v>
      </c>
      <c r="P489" s="5" t="n">
        <f aca="false">MIN(IF(AND(G489,E489),(L489-M489)*24/12.1*O489/1000,0),N489)</f>
        <v>0</v>
      </c>
      <c r="Q489" s="5" t="n">
        <f aca="false">IF(P489&gt;0,P489/O489*12.1/24*1000+M489,0)</f>
        <v>0</v>
      </c>
      <c r="R489" s="0" t="n">
        <f aca="false">IF(Q489&gt;0,TRUNC(O489),0)</f>
        <v>0</v>
      </c>
      <c r="S489" s="5" t="n">
        <f aca="false">(M489*(D489-R489)+(Q489*R489))/D489</f>
        <v>800</v>
      </c>
      <c r="T489" s="6" t="n">
        <f aca="false">(Q489-M489)*R489*24/12.1/1000</f>
        <v>-0</v>
      </c>
    </row>
    <row r="490" customFormat="false" ht="14.35" hidden="false" customHeight="false" outlineLevel="0" collapsed="false">
      <c r="A490" s="4" t="n">
        <v>22646</v>
      </c>
      <c r="B490" s="15" t="n">
        <f aca="false">IF(C490&lt;=9,YEAR(A490),YEAR(A490)+1)</f>
        <v>1962</v>
      </c>
      <c r="C490" s="15" t="n">
        <f aca="false">MONTH(A490)</f>
        <v>12</v>
      </c>
      <c r="D490" s="15" t="n">
        <f aca="false">DAY(A490)</f>
        <v>31</v>
      </c>
      <c r="E490" s="15" t="n">
        <f aca="false">VLOOKUP(B490,WYT!$A$2:$L$97,12)</f>
        <v>1</v>
      </c>
      <c r="F490" s="15" t="n">
        <f aca="false">IF(C490=$W$5,1,0)</f>
        <v>0</v>
      </c>
      <c r="G490" s="15" t="n">
        <f aca="false">IF(C490=10,0,IF(F490=1,1,G489))</f>
        <v>0</v>
      </c>
      <c r="H490" s="5" t="n">
        <f aca="false">VA_base_426_data!B490</f>
        <v>900</v>
      </c>
      <c r="I490" s="5" t="n">
        <f aca="false">IF(AND(E490=1,OR(C490=4,C490=5)),25*12.1/24/D490*1000,0)</f>
        <v>0</v>
      </c>
      <c r="J490" s="5" t="n">
        <f aca="false">VA_base_426_data!C490</f>
        <v>900</v>
      </c>
      <c r="K490" s="5" t="n">
        <f aca="false">H490+I490-J490</f>
        <v>0</v>
      </c>
      <c r="L490" s="5" t="n">
        <f aca="false">MIN($W$7,J490+K490)</f>
        <v>900</v>
      </c>
      <c r="M490" s="5" t="n">
        <f aca="false">VA_base_426_data!D490</f>
        <v>800</v>
      </c>
      <c r="N490" s="5" t="n">
        <f aca="false">IF(AND(C490=10,E490=1),$W$6,N489-P489)</f>
        <v>43</v>
      </c>
      <c r="O490" s="5" t="n">
        <f aca="false">IF(ABS(M490-L490)&gt;1,MIN(N490/((L490-M490)*24/12.1/1000),D490),D490)</f>
        <v>31</v>
      </c>
      <c r="P490" s="5" t="n">
        <f aca="false">MIN(IF(AND(G490,E490),(L490-M490)*24/12.1*O490/1000,0),N490)</f>
        <v>0</v>
      </c>
      <c r="Q490" s="5" t="n">
        <f aca="false">IF(P490&gt;0,P490/O490*12.1/24*1000+M490,0)</f>
        <v>0</v>
      </c>
      <c r="R490" s="0" t="n">
        <f aca="false">IF(Q490&gt;0,TRUNC(O490),0)</f>
        <v>0</v>
      </c>
      <c r="S490" s="5" t="n">
        <f aca="false">(M490*(D490-R490)+(Q490*R490))/D490</f>
        <v>800</v>
      </c>
      <c r="T490" s="6" t="n">
        <f aca="false">(Q490-M490)*R490*24/12.1/1000</f>
        <v>-0</v>
      </c>
    </row>
    <row r="491" customFormat="false" ht="14.35" hidden="false" customHeight="false" outlineLevel="0" collapsed="false">
      <c r="A491" s="4" t="n">
        <v>22677</v>
      </c>
      <c r="B491" s="15" t="n">
        <f aca="false">IF(C491&lt;=9,YEAR(A491),YEAR(A491)+1)</f>
        <v>1962</v>
      </c>
      <c r="C491" s="15" t="n">
        <f aca="false">MONTH(A491)</f>
        <v>1</v>
      </c>
      <c r="D491" s="15" t="n">
        <f aca="false">DAY(A491)</f>
        <v>31</v>
      </c>
      <c r="E491" s="15" t="n">
        <f aca="false">VLOOKUP(B491,WYT!$A$2:$L$97,12)</f>
        <v>1</v>
      </c>
      <c r="F491" s="15" t="n">
        <f aca="false">IF(C491=$W$5,1,0)</f>
        <v>0</v>
      </c>
      <c r="G491" s="15" t="n">
        <f aca="false">IF(C491=10,0,IF(F491=1,1,G490))</f>
        <v>0</v>
      </c>
      <c r="H491" s="5" t="n">
        <f aca="false">VA_base_426_data!B491</f>
        <v>900</v>
      </c>
      <c r="I491" s="5" t="n">
        <f aca="false">IF(AND(E491=1,OR(C491=4,C491=5)),25*12.1/24/D491*1000,0)</f>
        <v>0</v>
      </c>
      <c r="J491" s="5" t="n">
        <f aca="false">VA_base_426_data!C491</f>
        <v>900</v>
      </c>
      <c r="K491" s="5" t="n">
        <f aca="false">H491+I491-J491</f>
        <v>0</v>
      </c>
      <c r="L491" s="5" t="n">
        <f aca="false">MIN($W$7,J491+K491)</f>
        <v>900</v>
      </c>
      <c r="M491" s="5" t="n">
        <f aca="false">VA_base_426_data!D491</f>
        <v>800</v>
      </c>
      <c r="N491" s="5" t="n">
        <f aca="false">IF(AND(C491=10,E491=1),$W$6,N490-P490)</f>
        <v>43</v>
      </c>
      <c r="O491" s="5" t="n">
        <f aca="false">IF(ABS(M491-L491)&gt;1,MIN(N491/((L491-M491)*24/12.1/1000),D491),D491)</f>
        <v>31</v>
      </c>
      <c r="P491" s="5" t="n">
        <f aca="false">MIN(IF(AND(G491,E491),(L491-M491)*24/12.1*O491/1000,0),N491)</f>
        <v>0</v>
      </c>
      <c r="Q491" s="5" t="n">
        <f aca="false">IF(P491&gt;0,P491/O491*12.1/24*1000+M491,0)</f>
        <v>0</v>
      </c>
      <c r="R491" s="0" t="n">
        <f aca="false">IF(Q491&gt;0,TRUNC(O491),0)</f>
        <v>0</v>
      </c>
      <c r="S491" s="5" t="n">
        <f aca="false">(M491*(D491-R491)+(Q491*R491))/D491</f>
        <v>800</v>
      </c>
      <c r="T491" s="6" t="n">
        <f aca="false">(Q491-M491)*R491*24/12.1/1000</f>
        <v>-0</v>
      </c>
    </row>
    <row r="492" customFormat="false" ht="14.35" hidden="false" customHeight="false" outlineLevel="0" collapsed="false">
      <c r="A492" s="4" t="n">
        <v>22705</v>
      </c>
      <c r="B492" s="15" t="n">
        <f aca="false">IF(C492&lt;=9,YEAR(A492),YEAR(A492)+1)</f>
        <v>1962</v>
      </c>
      <c r="C492" s="15" t="n">
        <f aca="false">MONTH(A492)</f>
        <v>2</v>
      </c>
      <c r="D492" s="15" t="n">
        <f aca="false">DAY(A492)</f>
        <v>28</v>
      </c>
      <c r="E492" s="15" t="n">
        <f aca="false">VLOOKUP(B492,WYT!$A$2:$L$97,12)</f>
        <v>1</v>
      </c>
      <c r="F492" s="15" t="n">
        <f aca="false">IF(C492=$W$5,1,0)</f>
        <v>1</v>
      </c>
      <c r="G492" s="15" t="n">
        <f aca="false">IF(C492=10,0,IF(F492=1,1,G491))</f>
        <v>1</v>
      </c>
      <c r="H492" s="5" t="n">
        <f aca="false">VA_base_426_data!B492</f>
        <v>900</v>
      </c>
      <c r="I492" s="5" t="n">
        <f aca="false">IF(AND(E492=1,OR(C492=4,C492=5)),25*12.1/24/D492*1000,0)</f>
        <v>0</v>
      </c>
      <c r="J492" s="5" t="n">
        <f aca="false">VA_base_426_data!C492</f>
        <v>900</v>
      </c>
      <c r="K492" s="5" t="n">
        <f aca="false">H492+I492-J492</f>
        <v>0</v>
      </c>
      <c r="L492" s="5" t="n">
        <f aca="false">MIN($W$7,J492+K492)</f>
        <v>900</v>
      </c>
      <c r="M492" s="5" t="n">
        <f aca="false">VA_base_426_data!D492</f>
        <v>800</v>
      </c>
      <c r="N492" s="5" t="n">
        <f aca="false">IF(AND(C492=10,E492=1),$W$6,N491-P491)</f>
        <v>43</v>
      </c>
      <c r="O492" s="5" t="n">
        <f aca="false">IF(ABS(M492-L492)&gt;1,MIN(N492/((L492-M492)*24/12.1/1000),D492),D492)</f>
        <v>28</v>
      </c>
      <c r="P492" s="5" t="n">
        <f aca="false">MIN(IF(AND(G492,E492),(L492-M492)*24/12.1*O492/1000,0),N492)</f>
        <v>5.55371900826446</v>
      </c>
      <c r="Q492" s="5" t="n">
        <f aca="false">IF(P492&gt;0,P492/O492*12.1/24*1000+M492,0)</f>
        <v>900</v>
      </c>
      <c r="R492" s="0" t="n">
        <f aca="false">IF(Q492&gt;0,TRUNC(O492),0)</f>
        <v>28</v>
      </c>
      <c r="S492" s="5" t="n">
        <f aca="false">(M492*(D492-R492)+(Q492*R492))/D492</f>
        <v>900</v>
      </c>
      <c r="T492" s="6" t="n">
        <f aca="false">(Q492-M492)*R492*24/12.1/1000</f>
        <v>5.55371900826446</v>
      </c>
    </row>
    <row r="493" customFormat="false" ht="14.35" hidden="false" customHeight="false" outlineLevel="0" collapsed="false">
      <c r="A493" s="4" t="n">
        <v>22736</v>
      </c>
      <c r="B493" s="15" t="n">
        <f aca="false">IF(C493&lt;=9,YEAR(A493),YEAR(A493)+1)</f>
        <v>1962</v>
      </c>
      <c r="C493" s="15" t="n">
        <f aca="false">MONTH(A493)</f>
        <v>3</v>
      </c>
      <c r="D493" s="15" t="n">
        <f aca="false">DAY(A493)</f>
        <v>31</v>
      </c>
      <c r="E493" s="15" t="n">
        <f aca="false">VLOOKUP(B493,WYT!$A$2:$L$97,12)</f>
        <v>1</v>
      </c>
      <c r="F493" s="15" t="n">
        <f aca="false">IF(C493=$W$5,1,0)</f>
        <v>0</v>
      </c>
      <c r="G493" s="15" t="n">
        <f aca="false">IF(C493=10,0,IF(F493=1,1,G492))</f>
        <v>1</v>
      </c>
      <c r="H493" s="5" t="n">
        <f aca="false">VA_base_426_data!B493</f>
        <v>800</v>
      </c>
      <c r="I493" s="5" t="n">
        <f aca="false">IF(AND(E493=1,OR(C493=4,C493=5)),25*12.1/24/D493*1000,0)</f>
        <v>0</v>
      </c>
      <c r="J493" s="5" t="n">
        <f aca="false">VA_base_426_data!C493</f>
        <v>750</v>
      </c>
      <c r="K493" s="5" t="n">
        <f aca="false">H493+I493-J493</f>
        <v>50</v>
      </c>
      <c r="L493" s="5" t="n">
        <f aca="false">MIN($W$7,J493+K493)</f>
        <v>800</v>
      </c>
      <c r="M493" s="5" t="n">
        <f aca="false">VA_base_426_data!D493</f>
        <v>800</v>
      </c>
      <c r="N493" s="5" t="n">
        <f aca="false">IF(AND(C493=10,E493=1),$W$6,N492-P492)</f>
        <v>37.4462809917355</v>
      </c>
      <c r="O493" s="5" t="n">
        <f aca="false">IF(ABS(M493-L493)&gt;1,MIN(N493/((L493-M493)*24/12.1/1000),D493),D493)</f>
        <v>31</v>
      </c>
      <c r="P493" s="5" t="n">
        <f aca="false">MIN(IF(AND(G493,E493),(L493-M493)*24/12.1*O493/1000,0),N493)</f>
        <v>0</v>
      </c>
      <c r="Q493" s="5" t="n">
        <f aca="false">IF(P493&gt;0,P493/O493*12.1/24*1000+M493,0)</f>
        <v>0</v>
      </c>
      <c r="R493" s="0" t="n">
        <f aca="false">IF(Q493&gt;0,TRUNC(O493),0)</f>
        <v>0</v>
      </c>
      <c r="S493" s="5" t="n">
        <f aca="false">(M493*(D493-R493)+(Q493*R493))/D493</f>
        <v>800</v>
      </c>
      <c r="T493" s="6" t="n">
        <f aca="false">(Q493-M493)*R493*24/12.1/1000</f>
        <v>-0</v>
      </c>
    </row>
    <row r="494" customFormat="false" ht="14.35" hidden="false" customHeight="false" outlineLevel="0" collapsed="false">
      <c r="A494" s="4" t="n">
        <v>22766</v>
      </c>
      <c r="B494" s="15" t="n">
        <f aca="false">IF(C494&lt;=9,YEAR(A494),YEAR(A494)+1)</f>
        <v>1962</v>
      </c>
      <c r="C494" s="15" t="n">
        <f aca="false">MONTH(A494)</f>
        <v>4</v>
      </c>
      <c r="D494" s="15" t="n">
        <f aca="false">DAY(A494)</f>
        <v>30</v>
      </c>
      <c r="E494" s="15" t="n">
        <f aca="false">VLOOKUP(B494,WYT!$A$2:$L$97,12)</f>
        <v>1</v>
      </c>
      <c r="F494" s="15" t="n">
        <f aca="false">IF(C494=$W$5,1,0)</f>
        <v>0</v>
      </c>
      <c r="G494" s="15" t="n">
        <f aca="false">IF(C494=10,0,IF(F494=1,1,G493))</f>
        <v>1</v>
      </c>
      <c r="H494" s="5" t="n">
        <f aca="false">VA_base_426_data!B494</f>
        <v>772.844705422227</v>
      </c>
      <c r="I494" s="5" t="n">
        <f aca="false">IF(AND(E494=1,OR(C494=4,C494=5)),25*12.1/24/D494*1000,0)</f>
        <v>420.138888888889</v>
      </c>
      <c r="J494" s="5" t="n">
        <f aca="false">VA_base_426_data!C494</f>
        <v>750</v>
      </c>
      <c r="K494" s="5" t="n">
        <f aca="false">H494+I494-J494</f>
        <v>442.983594311116</v>
      </c>
      <c r="L494" s="5" t="n">
        <f aca="false">MIN($W$7,J494+K494)</f>
        <v>1192.98359431112</v>
      </c>
      <c r="M494" s="5" t="n">
        <f aca="false">VA_base_426_data!D494</f>
        <v>700</v>
      </c>
      <c r="N494" s="5" t="n">
        <f aca="false">IF(AND(C494=10,E494=1),$W$6,N493-P493)</f>
        <v>37.4462809917355</v>
      </c>
      <c r="O494" s="5" t="n">
        <f aca="false">IF(ABS(M494-L494)&gt;1,MIN(N494/((L494-M494)*24/12.1/1000),D494),D494)</f>
        <v>30</v>
      </c>
      <c r="P494" s="5" t="n">
        <f aca="false">MIN(IF(AND(G494,E494),(L494-M494)*24/12.1*O494/1000,0),N494)</f>
        <v>29.3345609838019</v>
      </c>
      <c r="Q494" s="5" t="n">
        <f aca="false">IF(P494&gt;0,P494/O494*12.1/24*1000+M494,0)</f>
        <v>1192.98359431112</v>
      </c>
      <c r="R494" s="0" t="n">
        <f aca="false">IF(Q494&gt;0,TRUNC(O494),0)</f>
        <v>30</v>
      </c>
      <c r="S494" s="5" t="n">
        <f aca="false">(M494*(D494-R494)+(Q494*R494))/D494</f>
        <v>1192.98359431112</v>
      </c>
      <c r="T494" s="6" t="n">
        <f aca="false">(Q494-M494)*R494*24/12.1/1000</f>
        <v>29.3345609838019</v>
      </c>
    </row>
    <row r="495" customFormat="false" ht="14.35" hidden="false" customHeight="false" outlineLevel="0" collapsed="false">
      <c r="A495" s="4" t="n">
        <v>22797</v>
      </c>
      <c r="B495" s="15" t="n">
        <f aca="false">IF(C495&lt;=9,YEAR(A495),YEAR(A495)+1)</f>
        <v>1962</v>
      </c>
      <c r="C495" s="15" t="n">
        <f aca="false">MONTH(A495)</f>
        <v>5</v>
      </c>
      <c r="D495" s="15" t="n">
        <f aca="false">DAY(A495)</f>
        <v>31</v>
      </c>
      <c r="E495" s="15" t="n">
        <f aca="false">VLOOKUP(B495,WYT!$A$2:$L$97,12)</f>
        <v>1</v>
      </c>
      <c r="F495" s="15" t="n">
        <f aca="false">IF(C495=$W$5,1,0)</f>
        <v>0</v>
      </c>
      <c r="G495" s="15" t="n">
        <f aca="false">IF(C495=10,0,IF(F495=1,1,G494))</f>
        <v>1</v>
      </c>
      <c r="H495" s="5" t="n">
        <f aca="false">VA_base_426_data!B495</f>
        <v>750.000000000038</v>
      </c>
      <c r="I495" s="5" t="n">
        <f aca="false">IF(AND(E495=1,OR(C495=4,C495=5)),25*12.1/24/D495*1000,0)</f>
        <v>406.586021505376</v>
      </c>
      <c r="J495" s="5" t="n">
        <f aca="false">VA_base_426_data!C495</f>
        <v>750</v>
      </c>
      <c r="K495" s="5" t="n">
        <f aca="false">H495+I495-J495</f>
        <v>406.586021505415</v>
      </c>
      <c r="L495" s="5" t="n">
        <f aca="false">MIN($W$7,J495+K495)</f>
        <v>1156.58602150541</v>
      </c>
      <c r="M495" s="5" t="n">
        <f aca="false">VA_base_426_data!D495</f>
        <v>700</v>
      </c>
      <c r="N495" s="5" t="n">
        <f aca="false">IF(AND(C495=10,E495=1),$W$6,N494-P494)</f>
        <v>8.11172000793361</v>
      </c>
      <c r="O495" s="5" t="n">
        <f aca="false">IF(ABS(M495-L495)&gt;1,MIN(N495/((L495-M495)*24/12.1/1000),D495),D495)</f>
        <v>8.95703907852706</v>
      </c>
      <c r="P495" s="5" t="n">
        <f aca="false">MIN(IF(AND(G495,E495),(L495-M495)*24/12.1*O495/1000,0),N495)</f>
        <v>8.11172000793361</v>
      </c>
      <c r="Q495" s="5" t="n">
        <f aca="false">IF(P495&gt;0,P495/O495*12.1/24*1000+M495,0)</f>
        <v>1156.58602150541</v>
      </c>
      <c r="R495" s="0" t="n">
        <f aca="false">IF(Q495&gt;0,TRUNC(O495),0)</f>
        <v>8</v>
      </c>
      <c r="S495" s="5" t="n">
        <f aca="false">(M495*(D495-R495)+(Q495*R495))/D495</f>
        <v>817.828650711075</v>
      </c>
      <c r="T495" s="6" t="n">
        <f aca="false">(Q495-M495)*R495*24/12.1/1000</f>
        <v>7.24500133297848</v>
      </c>
    </row>
    <row r="496" customFormat="false" ht="14.35" hidden="false" customHeight="false" outlineLevel="0" collapsed="false">
      <c r="A496" s="4" t="n">
        <v>22827</v>
      </c>
      <c r="B496" s="15" t="n">
        <f aca="false">IF(C496&lt;=9,YEAR(A496),YEAR(A496)+1)</f>
        <v>1962</v>
      </c>
      <c r="C496" s="15" t="n">
        <f aca="false">MONTH(A496)</f>
        <v>6</v>
      </c>
      <c r="D496" s="15" t="n">
        <f aca="false">DAY(A496)</f>
        <v>30</v>
      </c>
      <c r="E496" s="15" t="n">
        <f aca="false">VLOOKUP(B496,WYT!$A$2:$L$97,12)</f>
        <v>1</v>
      </c>
      <c r="F496" s="15" t="n">
        <f aca="false">IF(C496=$W$5,1,0)</f>
        <v>0</v>
      </c>
      <c r="G496" s="15" t="n">
        <f aca="false">IF(C496=10,0,IF(F496=1,1,G495))</f>
        <v>1</v>
      </c>
      <c r="H496" s="5" t="n">
        <f aca="false">VA_base_426_data!B496</f>
        <v>4479.01353056792</v>
      </c>
      <c r="I496" s="5" t="n">
        <f aca="false">IF(AND(E496=1,OR(C496=4,C496=5)),25*12.1/24/D496*1000,0)</f>
        <v>0</v>
      </c>
      <c r="J496" s="5" t="n">
        <f aca="false">VA_base_426_data!C496</f>
        <v>750</v>
      </c>
      <c r="K496" s="5" t="n">
        <f aca="false">H496+I496-J496</f>
        <v>3729.01353056792</v>
      </c>
      <c r="L496" s="5" t="n">
        <f aca="false">MIN($W$7,J496+K496)</f>
        <v>2000</v>
      </c>
      <c r="M496" s="5" t="n">
        <f aca="false">VA_base_426_data!D496</f>
        <v>700</v>
      </c>
      <c r="N496" s="5" t="n">
        <f aca="false">IF(AND(C496=10,E496=1),$W$6,N495-P495)</f>
        <v>0</v>
      </c>
      <c r="O496" s="5" t="n">
        <f aca="false">IF(ABS(M496-L496)&gt;1,MIN(N496/((L496-M496)*24/12.1/1000),D496),D496)</f>
        <v>0</v>
      </c>
      <c r="P496" s="5" t="n">
        <f aca="false">MIN(IF(AND(G496,E496),(L496-M496)*24/12.1*O496/1000,0),N496)</f>
        <v>0</v>
      </c>
      <c r="Q496" s="5" t="n">
        <f aca="false">IF(P496&gt;0,P496/O496*12.1/24*1000+M496,0)</f>
        <v>0</v>
      </c>
      <c r="R496" s="0" t="n">
        <f aca="false">IF(Q496&gt;0,TRUNC(O496),0)</f>
        <v>0</v>
      </c>
      <c r="S496" s="5" t="n">
        <f aca="false">(M496*(D496-R496)+(Q496*R496))/D496</f>
        <v>700</v>
      </c>
      <c r="T496" s="6" t="n">
        <f aca="false">(Q496-M496)*R496*24/12.1/1000</f>
        <v>-0</v>
      </c>
    </row>
    <row r="497" customFormat="false" ht="14.35" hidden="false" customHeight="false" outlineLevel="0" collapsed="false">
      <c r="A497" s="4" t="n">
        <v>22858</v>
      </c>
      <c r="B497" s="15" t="n">
        <f aca="false">IF(C497&lt;=9,YEAR(A497),YEAR(A497)+1)</f>
        <v>1962</v>
      </c>
      <c r="C497" s="15" t="n">
        <f aca="false">MONTH(A497)</f>
        <v>7</v>
      </c>
      <c r="D497" s="15" t="n">
        <f aca="false">DAY(A497)</f>
        <v>31</v>
      </c>
      <c r="E497" s="15" t="n">
        <f aca="false">VLOOKUP(B497,WYT!$A$2:$L$97,12)</f>
        <v>1</v>
      </c>
      <c r="F497" s="15" t="n">
        <f aca="false">IF(C497=$W$5,1,0)</f>
        <v>0</v>
      </c>
      <c r="G497" s="15" t="n">
        <f aca="false">IF(C497=10,0,IF(F497=1,1,G496))</f>
        <v>1</v>
      </c>
      <c r="H497" s="5" t="n">
        <f aca="false">VA_base_426_data!B497</f>
        <v>9531.01576857329</v>
      </c>
      <c r="I497" s="5" t="n">
        <f aca="false">IF(AND(E497=1,OR(C497=4,C497=5)),25*12.1/24/D497*1000,0)</f>
        <v>0</v>
      </c>
      <c r="J497" s="5" t="n">
        <f aca="false">VA_base_426_data!C497</f>
        <v>750</v>
      </c>
      <c r="K497" s="5" t="n">
        <f aca="false">H497+I497-J497</f>
        <v>8781.01576857329</v>
      </c>
      <c r="L497" s="5" t="n">
        <f aca="false">MIN($W$7,J497+K497)</f>
        <v>2000</v>
      </c>
      <c r="M497" s="5" t="n">
        <f aca="false">VA_base_426_data!D497</f>
        <v>700</v>
      </c>
      <c r="N497" s="5" t="n">
        <f aca="false">IF(AND(C497=10,E497=1),$W$6,N496-P496)</f>
        <v>0</v>
      </c>
      <c r="O497" s="5" t="n">
        <f aca="false">IF(ABS(M497-L497)&gt;1,MIN(N497/((L497-M497)*24/12.1/1000),D497),D497)</f>
        <v>0</v>
      </c>
      <c r="P497" s="5" t="n">
        <f aca="false">MIN(IF(AND(G497,E497),(L497-M497)*24/12.1*O497/1000,0),N497)</f>
        <v>0</v>
      </c>
      <c r="Q497" s="5" t="n">
        <f aca="false">IF(P497&gt;0,P497/O497*12.1/24*1000+M497,0)</f>
        <v>0</v>
      </c>
      <c r="R497" s="0" t="n">
        <f aca="false">IF(Q497&gt;0,TRUNC(O497),0)</f>
        <v>0</v>
      </c>
      <c r="S497" s="5" t="n">
        <f aca="false">(M497*(D497-R497)+(Q497*R497))/D497</f>
        <v>700</v>
      </c>
      <c r="T497" s="6" t="n">
        <f aca="false">(Q497-M497)*R497*24/12.1/1000</f>
        <v>-0</v>
      </c>
    </row>
    <row r="498" customFormat="false" ht="14.35" hidden="false" customHeight="false" outlineLevel="0" collapsed="false">
      <c r="A498" s="4" t="n">
        <v>22889</v>
      </c>
      <c r="B498" s="15" t="n">
        <f aca="false">IF(C498&lt;=9,YEAR(A498),YEAR(A498)+1)</f>
        <v>1962</v>
      </c>
      <c r="C498" s="15" t="n">
        <f aca="false">MONTH(A498)</f>
        <v>8</v>
      </c>
      <c r="D498" s="15" t="n">
        <f aca="false">DAY(A498)</f>
        <v>31</v>
      </c>
      <c r="E498" s="15" t="n">
        <f aca="false">VLOOKUP(B498,WYT!$A$2:$L$97,12)</f>
        <v>1</v>
      </c>
      <c r="F498" s="15" t="n">
        <f aca="false">IF(C498=$W$5,1,0)</f>
        <v>0</v>
      </c>
      <c r="G498" s="15" t="n">
        <f aca="false">IF(C498=10,0,IF(F498=1,1,G497))</f>
        <v>1</v>
      </c>
      <c r="H498" s="5" t="n">
        <f aca="false">VA_base_426_data!B498</f>
        <v>7688.19837681154</v>
      </c>
      <c r="I498" s="5" t="n">
        <f aca="false">IF(AND(E498=1,OR(C498=4,C498=5)),25*12.1/24/D498*1000,0)</f>
        <v>0</v>
      </c>
      <c r="J498" s="5" t="n">
        <f aca="false">VA_base_426_data!C498</f>
        <v>750</v>
      </c>
      <c r="K498" s="5" t="n">
        <f aca="false">H498+I498-J498</f>
        <v>6938.19837681154</v>
      </c>
      <c r="L498" s="5" t="n">
        <f aca="false">MIN($W$7,J498+K498)</f>
        <v>2000</v>
      </c>
      <c r="M498" s="5" t="n">
        <f aca="false">VA_base_426_data!D498</f>
        <v>700</v>
      </c>
      <c r="N498" s="5" t="n">
        <f aca="false">IF(AND(C498=10,E498=1),$W$6,N497-P497)</f>
        <v>0</v>
      </c>
      <c r="O498" s="5" t="n">
        <f aca="false">IF(ABS(M498-L498)&gt;1,MIN(N498/((L498-M498)*24/12.1/1000),D498),D498)</f>
        <v>0</v>
      </c>
      <c r="P498" s="5" t="n">
        <f aca="false">MIN(IF(AND(G498,E498),(L498-M498)*24/12.1*O498/1000,0),N498)</f>
        <v>0</v>
      </c>
      <c r="Q498" s="5" t="n">
        <f aca="false">IF(P498&gt;0,P498/O498*12.1/24*1000+M498,0)</f>
        <v>0</v>
      </c>
      <c r="R498" s="0" t="n">
        <f aca="false">IF(Q498&gt;0,TRUNC(O498),0)</f>
        <v>0</v>
      </c>
      <c r="S498" s="5" t="n">
        <f aca="false">(M498*(D498-R498)+(Q498*R498))/D498</f>
        <v>700</v>
      </c>
      <c r="T498" s="6" t="n">
        <f aca="false">(Q498-M498)*R498*24/12.1/1000</f>
        <v>-0</v>
      </c>
    </row>
    <row r="499" customFormat="false" ht="14.35" hidden="false" customHeight="false" outlineLevel="0" collapsed="false">
      <c r="A499" s="4" t="n">
        <v>22919</v>
      </c>
      <c r="B499" s="15" t="n">
        <f aca="false">IF(C499&lt;=9,YEAR(A499),YEAR(A499)+1)</f>
        <v>1962</v>
      </c>
      <c r="C499" s="15" t="n">
        <f aca="false">MONTH(A499)</f>
        <v>9</v>
      </c>
      <c r="D499" s="15" t="n">
        <f aca="false">DAY(A499)</f>
        <v>30</v>
      </c>
      <c r="E499" s="15" t="n">
        <f aca="false">VLOOKUP(B499,WYT!$A$2:$L$97,12)</f>
        <v>1</v>
      </c>
      <c r="F499" s="15" t="n">
        <f aca="false">IF(C499=$W$5,1,0)</f>
        <v>0</v>
      </c>
      <c r="G499" s="15" t="n">
        <f aca="false">IF(C499=10,0,IF(F499=1,1,G498))</f>
        <v>1</v>
      </c>
      <c r="H499" s="5" t="n">
        <f aca="false">VA_base_426_data!B499</f>
        <v>1177.28929209825</v>
      </c>
      <c r="I499" s="5" t="n">
        <f aca="false">IF(AND(E499=1,OR(C499=4,C499=5)),25*12.1/24/D499*1000,0)</f>
        <v>0</v>
      </c>
      <c r="J499" s="5" t="n">
        <f aca="false">VA_base_426_data!C499</f>
        <v>750</v>
      </c>
      <c r="K499" s="5" t="n">
        <f aca="false">H499+I499-J499</f>
        <v>427.289292098245</v>
      </c>
      <c r="L499" s="5" t="n">
        <f aca="false">MIN($W$7,J499+K499)</f>
        <v>1177.28929209825</v>
      </c>
      <c r="M499" s="5" t="n">
        <f aca="false">VA_base_426_data!D499</f>
        <v>773.3333333</v>
      </c>
      <c r="N499" s="5" t="n">
        <f aca="false">IF(AND(C499=10,E499=1),$W$6,N498-P498)</f>
        <v>0</v>
      </c>
      <c r="O499" s="5" t="n">
        <f aca="false">IF(ABS(M499-L499)&gt;1,MIN(N499/((L499-M499)*24/12.1/1000),D499),D499)</f>
        <v>0</v>
      </c>
      <c r="P499" s="5" t="n">
        <f aca="false">MIN(IF(AND(G499,E499),(L499-M499)*24/12.1*O499/1000,0),N499)</f>
        <v>0</v>
      </c>
      <c r="Q499" s="5" t="n">
        <f aca="false">IF(P499&gt;0,P499/O499*12.1/24*1000+M499,0)</f>
        <v>0</v>
      </c>
      <c r="R499" s="0" t="n">
        <f aca="false">IF(Q499&gt;0,TRUNC(O499),0)</f>
        <v>0</v>
      </c>
      <c r="S499" s="5" t="n">
        <f aca="false">(M499*(D499-R499)+(Q499*R499))/D499</f>
        <v>773.3333333</v>
      </c>
      <c r="T499" s="6" t="n">
        <f aca="false">(Q499-M499)*R499*24/12.1/1000</f>
        <v>-0</v>
      </c>
    </row>
    <row r="500" customFormat="false" ht="14.35" hidden="false" customHeight="false" outlineLevel="0" collapsed="false">
      <c r="A500" s="4" t="n">
        <v>22950</v>
      </c>
      <c r="B500" s="15" t="n">
        <f aca="false">IF(C500&lt;=9,YEAR(A500),YEAR(A500)+1)</f>
        <v>1963</v>
      </c>
      <c r="C500" s="15" t="n">
        <f aca="false">MONTH(A500)</f>
        <v>10</v>
      </c>
      <c r="D500" s="15" t="n">
        <f aca="false">DAY(A500)</f>
        <v>31</v>
      </c>
      <c r="E500" s="15" t="n">
        <f aca="false">VLOOKUP(B500,WYT!$A$2:$L$97,12)</f>
        <v>0</v>
      </c>
      <c r="F500" s="15" t="n">
        <f aca="false">IF(C500=$W$5,1,0)</f>
        <v>0</v>
      </c>
      <c r="G500" s="15" t="n">
        <f aca="false">IF(C500=10,0,IF(F500=1,1,G499))</f>
        <v>0</v>
      </c>
      <c r="H500" s="5" t="n">
        <f aca="false">VA_base_426_data!B500</f>
        <v>1200</v>
      </c>
      <c r="I500" s="5" t="n">
        <f aca="false">IF(AND(E500=1,OR(C500=4,C500=5)),25*12.1/24/D500*1000,0)</f>
        <v>0</v>
      </c>
      <c r="J500" s="5" t="n">
        <f aca="false">VA_base_426_data!C500</f>
        <v>1200</v>
      </c>
      <c r="K500" s="5" t="n">
        <f aca="false">H500+I500-J500</f>
        <v>0</v>
      </c>
      <c r="L500" s="5" t="n">
        <f aca="false">MIN($W$7,J500+K500)</f>
        <v>1200</v>
      </c>
      <c r="M500" s="5" t="n">
        <f aca="false">VA_base_426_data!D500</f>
        <v>800</v>
      </c>
      <c r="N500" s="5" t="n">
        <f aca="false">IF(AND(C500=10,E500=1),$W$6,N499-P499)</f>
        <v>0</v>
      </c>
      <c r="O500" s="5" t="n">
        <f aca="false">IF(ABS(M500-L500)&gt;1,MIN(N500/((L500-M500)*24/12.1/1000),D500),D500)</f>
        <v>0</v>
      </c>
      <c r="P500" s="5" t="n">
        <f aca="false">MIN(IF(AND(G500,E500),(L500-M500)*24/12.1*O500/1000,0),N500)</f>
        <v>0</v>
      </c>
      <c r="Q500" s="5" t="n">
        <f aca="false">IF(P500&gt;0,P500/O500*12.1/24*1000+M500,0)</f>
        <v>0</v>
      </c>
      <c r="R500" s="0" t="n">
        <f aca="false">IF(Q500&gt;0,TRUNC(O500),0)</f>
        <v>0</v>
      </c>
      <c r="S500" s="5" t="n">
        <f aca="false">(M500*(D500-R500)+(Q500*R500))/D500</f>
        <v>800</v>
      </c>
      <c r="T500" s="6" t="n">
        <f aca="false">(Q500-M500)*R500*24/12.1/1000</f>
        <v>-0</v>
      </c>
    </row>
    <row r="501" customFormat="false" ht="14.35" hidden="false" customHeight="false" outlineLevel="0" collapsed="false">
      <c r="A501" s="4" t="n">
        <v>22980</v>
      </c>
      <c r="B501" s="15" t="n">
        <f aca="false">IF(C501&lt;=9,YEAR(A501),YEAR(A501)+1)</f>
        <v>1963</v>
      </c>
      <c r="C501" s="15" t="n">
        <f aca="false">MONTH(A501)</f>
        <v>11</v>
      </c>
      <c r="D501" s="15" t="n">
        <f aca="false">DAY(A501)</f>
        <v>30</v>
      </c>
      <c r="E501" s="15" t="n">
        <f aca="false">VLOOKUP(B501,WYT!$A$2:$L$97,12)</f>
        <v>0</v>
      </c>
      <c r="F501" s="15" t="n">
        <f aca="false">IF(C501=$W$5,1,0)</f>
        <v>0</v>
      </c>
      <c r="G501" s="15" t="n">
        <f aca="false">IF(C501=10,0,IF(F501=1,1,G500))</f>
        <v>0</v>
      </c>
      <c r="H501" s="5" t="n">
        <f aca="false">VA_base_426_data!B501</f>
        <v>1200</v>
      </c>
      <c r="I501" s="5" t="n">
        <f aca="false">IF(AND(E501=1,OR(C501=4,C501=5)),25*12.1/24/D501*1000,0)</f>
        <v>0</v>
      </c>
      <c r="J501" s="5" t="n">
        <f aca="false">VA_base_426_data!C501</f>
        <v>1200</v>
      </c>
      <c r="K501" s="5" t="n">
        <f aca="false">H501+I501-J501</f>
        <v>0</v>
      </c>
      <c r="L501" s="5" t="n">
        <f aca="false">MIN($W$7,J501+K501)</f>
        <v>1200</v>
      </c>
      <c r="M501" s="5" t="n">
        <f aca="false">VA_base_426_data!D501</f>
        <v>800</v>
      </c>
      <c r="N501" s="5" t="n">
        <f aca="false">IF(AND(C501=10,E501=1),$W$6,N500-P500)</f>
        <v>0</v>
      </c>
      <c r="O501" s="5" t="n">
        <f aca="false">IF(ABS(M501-L501)&gt;1,MIN(N501/((L501-M501)*24/12.1/1000),D501),D501)</f>
        <v>0</v>
      </c>
      <c r="P501" s="5" t="n">
        <f aca="false">MIN(IF(AND(G501,E501),(L501-M501)*24/12.1*O501/1000,0),N501)</f>
        <v>0</v>
      </c>
      <c r="Q501" s="5" t="n">
        <f aca="false">IF(P501&gt;0,P501/O501*12.1/24*1000+M501,0)</f>
        <v>0</v>
      </c>
      <c r="R501" s="0" t="n">
        <f aca="false">IF(Q501&gt;0,TRUNC(O501),0)</f>
        <v>0</v>
      </c>
      <c r="S501" s="5" t="n">
        <f aca="false">(M501*(D501-R501)+(Q501*R501))/D501</f>
        <v>800</v>
      </c>
      <c r="T501" s="6" t="n">
        <f aca="false">(Q501-M501)*R501*24/12.1/1000</f>
        <v>-0</v>
      </c>
    </row>
    <row r="502" customFormat="false" ht="14.35" hidden="false" customHeight="false" outlineLevel="0" collapsed="false">
      <c r="A502" s="4" t="n">
        <v>23011</v>
      </c>
      <c r="B502" s="15" t="n">
        <f aca="false">IF(C502&lt;=9,YEAR(A502),YEAR(A502)+1)</f>
        <v>1963</v>
      </c>
      <c r="C502" s="15" t="n">
        <f aca="false">MONTH(A502)</f>
        <v>12</v>
      </c>
      <c r="D502" s="15" t="n">
        <f aca="false">DAY(A502)</f>
        <v>31</v>
      </c>
      <c r="E502" s="15" t="n">
        <f aca="false">VLOOKUP(B502,WYT!$A$2:$L$97,12)</f>
        <v>0</v>
      </c>
      <c r="F502" s="15" t="n">
        <f aca="false">IF(C502=$W$5,1,0)</f>
        <v>0</v>
      </c>
      <c r="G502" s="15" t="n">
        <f aca="false">IF(C502=10,0,IF(F502=1,1,G501))</f>
        <v>0</v>
      </c>
      <c r="H502" s="5" t="n">
        <f aca="false">VA_base_426_data!B502</f>
        <v>1200</v>
      </c>
      <c r="I502" s="5" t="n">
        <f aca="false">IF(AND(E502=1,OR(C502=4,C502=5)),25*12.1/24/D502*1000,0)</f>
        <v>0</v>
      </c>
      <c r="J502" s="5" t="n">
        <f aca="false">VA_base_426_data!C502</f>
        <v>1200</v>
      </c>
      <c r="K502" s="5" t="n">
        <f aca="false">H502+I502-J502</f>
        <v>0</v>
      </c>
      <c r="L502" s="5" t="n">
        <f aca="false">MIN($W$7,J502+K502)</f>
        <v>1200</v>
      </c>
      <c r="M502" s="5" t="n">
        <f aca="false">VA_base_426_data!D502</f>
        <v>800</v>
      </c>
      <c r="N502" s="5" t="n">
        <f aca="false">IF(AND(C502=10,E502=1),$W$6,N501-P501)</f>
        <v>0</v>
      </c>
      <c r="O502" s="5" t="n">
        <f aca="false">IF(ABS(M502-L502)&gt;1,MIN(N502/((L502-M502)*24/12.1/1000),D502),D502)</f>
        <v>0</v>
      </c>
      <c r="P502" s="5" t="n">
        <f aca="false">MIN(IF(AND(G502,E502),(L502-M502)*24/12.1*O502/1000,0),N502)</f>
        <v>0</v>
      </c>
      <c r="Q502" s="5" t="n">
        <f aca="false">IF(P502&gt;0,P502/O502*12.1/24*1000+M502,0)</f>
        <v>0</v>
      </c>
      <c r="R502" s="0" t="n">
        <f aca="false">IF(Q502&gt;0,TRUNC(O502),0)</f>
        <v>0</v>
      </c>
      <c r="S502" s="5" t="n">
        <f aca="false">(M502*(D502-R502)+(Q502*R502))/D502</f>
        <v>800</v>
      </c>
      <c r="T502" s="6" t="n">
        <f aca="false">(Q502-M502)*R502*24/12.1/1000</f>
        <v>-0</v>
      </c>
    </row>
    <row r="503" customFormat="false" ht="14.35" hidden="false" customHeight="false" outlineLevel="0" collapsed="false">
      <c r="A503" s="4" t="n">
        <v>23042</v>
      </c>
      <c r="B503" s="15" t="n">
        <f aca="false">IF(C503&lt;=9,YEAR(A503),YEAR(A503)+1)</f>
        <v>1963</v>
      </c>
      <c r="C503" s="15" t="n">
        <f aca="false">MONTH(A503)</f>
        <v>1</v>
      </c>
      <c r="D503" s="15" t="n">
        <f aca="false">DAY(A503)</f>
        <v>31</v>
      </c>
      <c r="E503" s="15" t="n">
        <f aca="false">VLOOKUP(B503,WYT!$A$2:$L$97,12)</f>
        <v>0</v>
      </c>
      <c r="F503" s="15" t="n">
        <f aca="false">IF(C503=$W$5,1,0)</f>
        <v>0</v>
      </c>
      <c r="G503" s="15" t="n">
        <f aca="false">IF(C503=10,0,IF(F503=1,1,G502))</f>
        <v>0</v>
      </c>
      <c r="H503" s="5" t="n">
        <f aca="false">VA_base_426_data!B503</f>
        <v>2935.10916335584</v>
      </c>
      <c r="I503" s="5" t="n">
        <f aca="false">IF(AND(E503=1,OR(C503=4,C503=5)),25*12.1/24/D503*1000,0)</f>
        <v>0</v>
      </c>
      <c r="J503" s="5" t="n">
        <f aca="false">VA_base_426_data!C503</f>
        <v>1200</v>
      </c>
      <c r="K503" s="5" t="n">
        <f aca="false">H503+I503-J503</f>
        <v>1735.10916335584</v>
      </c>
      <c r="L503" s="5" t="n">
        <f aca="false">MIN($W$7,J503+K503)</f>
        <v>2000</v>
      </c>
      <c r="M503" s="5" t="n">
        <f aca="false">VA_base_426_data!D503</f>
        <v>800</v>
      </c>
      <c r="N503" s="5" t="n">
        <f aca="false">IF(AND(C503=10,E503=1),$W$6,N502-P502)</f>
        <v>0</v>
      </c>
      <c r="O503" s="5" t="n">
        <f aca="false">IF(ABS(M503-L503)&gt;1,MIN(N503/((L503-M503)*24/12.1/1000),D503),D503)</f>
        <v>0</v>
      </c>
      <c r="P503" s="5" t="n">
        <f aca="false">MIN(IF(AND(G503,E503),(L503-M503)*24/12.1*O503/1000,0),N503)</f>
        <v>0</v>
      </c>
      <c r="Q503" s="5" t="n">
        <f aca="false">IF(P503&gt;0,P503/O503*12.1/24*1000+M503,0)</f>
        <v>0</v>
      </c>
      <c r="R503" s="0" t="n">
        <f aca="false">IF(Q503&gt;0,TRUNC(O503),0)</f>
        <v>0</v>
      </c>
      <c r="S503" s="5" t="n">
        <f aca="false">(M503*(D503-R503)+(Q503*R503))/D503</f>
        <v>800</v>
      </c>
      <c r="T503" s="6" t="n">
        <f aca="false">(Q503-M503)*R503*24/12.1/1000</f>
        <v>-0</v>
      </c>
    </row>
    <row r="504" customFormat="false" ht="14.35" hidden="false" customHeight="false" outlineLevel="0" collapsed="false">
      <c r="A504" s="4" t="n">
        <v>23070</v>
      </c>
      <c r="B504" s="15" t="n">
        <f aca="false">IF(C504&lt;=9,YEAR(A504),YEAR(A504)+1)</f>
        <v>1963</v>
      </c>
      <c r="C504" s="15" t="n">
        <f aca="false">MONTH(A504)</f>
        <v>2</v>
      </c>
      <c r="D504" s="15" t="n">
        <f aca="false">DAY(A504)</f>
        <v>28</v>
      </c>
      <c r="E504" s="15" t="n">
        <f aca="false">VLOOKUP(B504,WYT!$A$2:$L$97,12)</f>
        <v>0</v>
      </c>
      <c r="F504" s="15" t="n">
        <f aca="false">IF(C504=$W$5,1,0)</f>
        <v>1</v>
      </c>
      <c r="G504" s="15" t="n">
        <f aca="false">IF(C504=10,0,IF(F504=1,1,G503))</f>
        <v>1</v>
      </c>
      <c r="H504" s="5" t="n">
        <f aca="false">VA_base_426_data!B504</f>
        <v>8991.51172719385</v>
      </c>
      <c r="I504" s="5" t="n">
        <f aca="false">IF(AND(E504=1,OR(C504=4,C504=5)),25*12.1/24/D504*1000,0)</f>
        <v>0</v>
      </c>
      <c r="J504" s="5" t="n">
        <f aca="false">VA_base_426_data!C504</f>
        <v>1200</v>
      </c>
      <c r="K504" s="5" t="n">
        <f aca="false">H504+I504-J504</f>
        <v>7791.51172719385</v>
      </c>
      <c r="L504" s="5" t="n">
        <f aca="false">MIN($W$7,J504+K504)</f>
        <v>2000</v>
      </c>
      <c r="M504" s="5" t="n">
        <f aca="false">VA_base_426_data!D504</f>
        <v>800</v>
      </c>
      <c r="N504" s="5" t="n">
        <f aca="false">IF(AND(C504=10,E504=1),$W$6,N503-P503)</f>
        <v>0</v>
      </c>
      <c r="O504" s="5" t="n">
        <f aca="false">IF(ABS(M504-L504)&gt;1,MIN(N504/((L504-M504)*24/12.1/1000),D504),D504)</f>
        <v>0</v>
      </c>
      <c r="P504" s="5" t="n">
        <f aca="false">MIN(IF(AND(G504,E504),(L504-M504)*24/12.1*O504/1000,0),N504)</f>
        <v>0</v>
      </c>
      <c r="Q504" s="5" t="n">
        <f aca="false">IF(P504&gt;0,P504/O504*12.1/24*1000+M504,0)</f>
        <v>0</v>
      </c>
      <c r="R504" s="0" t="n">
        <f aca="false">IF(Q504&gt;0,TRUNC(O504),0)</f>
        <v>0</v>
      </c>
      <c r="S504" s="5" t="n">
        <f aca="false">(M504*(D504-R504)+(Q504*R504))/D504</f>
        <v>800</v>
      </c>
      <c r="T504" s="6" t="n">
        <f aca="false">(Q504-M504)*R504*24/12.1/1000</f>
        <v>-0</v>
      </c>
    </row>
    <row r="505" customFormat="false" ht="14.35" hidden="false" customHeight="false" outlineLevel="0" collapsed="false">
      <c r="A505" s="4" t="n">
        <v>23101</v>
      </c>
      <c r="B505" s="15" t="n">
        <f aca="false">IF(C505&lt;=9,YEAR(A505),YEAR(A505)+1)</f>
        <v>1963</v>
      </c>
      <c r="C505" s="15" t="n">
        <f aca="false">MONTH(A505)</f>
        <v>3</v>
      </c>
      <c r="D505" s="15" t="n">
        <f aca="false">DAY(A505)</f>
        <v>31</v>
      </c>
      <c r="E505" s="15" t="n">
        <f aca="false">VLOOKUP(B505,WYT!$A$2:$L$97,12)</f>
        <v>0</v>
      </c>
      <c r="F505" s="15" t="n">
        <f aca="false">IF(C505=$W$5,1,0)</f>
        <v>0</v>
      </c>
      <c r="G505" s="15" t="n">
        <f aca="false">IF(C505=10,0,IF(F505=1,1,G504))</f>
        <v>1</v>
      </c>
      <c r="H505" s="5" t="n">
        <f aca="false">VA_base_426_data!B505</f>
        <v>8289.09126783059</v>
      </c>
      <c r="I505" s="5" t="n">
        <f aca="false">IF(AND(E505=1,OR(C505=4,C505=5)),25*12.1/24/D505*1000,0)</f>
        <v>0</v>
      </c>
      <c r="J505" s="5" t="n">
        <f aca="false">VA_base_426_data!C505</f>
        <v>1000</v>
      </c>
      <c r="K505" s="5" t="n">
        <f aca="false">H505+I505-J505</f>
        <v>7289.09126783059</v>
      </c>
      <c r="L505" s="5" t="n">
        <f aca="false">MIN($W$7,J505+K505)</f>
        <v>2000</v>
      </c>
      <c r="M505" s="5" t="n">
        <f aca="false">VA_base_426_data!D505</f>
        <v>800</v>
      </c>
      <c r="N505" s="5" t="n">
        <f aca="false">IF(AND(C505=10,E505=1),$W$6,N504-P504)</f>
        <v>0</v>
      </c>
      <c r="O505" s="5" t="n">
        <f aca="false">IF(ABS(M505-L505)&gt;1,MIN(N505/((L505-M505)*24/12.1/1000),D505),D505)</f>
        <v>0</v>
      </c>
      <c r="P505" s="5" t="n">
        <f aca="false">MIN(IF(AND(G505,E505),(L505-M505)*24/12.1*O505/1000,0),N505)</f>
        <v>0</v>
      </c>
      <c r="Q505" s="5" t="n">
        <f aca="false">IF(P505&gt;0,P505/O505*12.1/24*1000+M505,0)</f>
        <v>0</v>
      </c>
      <c r="R505" s="0" t="n">
        <f aca="false">IF(Q505&gt;0,TRUNC(O505),0)</f>
        <v>0</v>
      </c>
      <c r="S505" s="5" t="n">
        <f aca="false">(M505*(D505-R505)+(Q505*R505))/D505</f>
        <v>800</v>
      </c>
      <c r="T505" s="6" t="n">
        <f aca="false">(Q505-M505)*R505*24/12.1/1000</f>
        <v>-0</v>
      </c>
    </row>
    <row r="506" customFormat="false" ht="14.35" hidden="false" customHeight="false" outlineLevel="0" collapsed="false">
      <c r="A506" s="4" t="n">
        <v>23131</v>
      </c>
      <c r="B506" s="15" t="n">
        <f aca="false">IF(C506&lt;=9,YEAR(A506),YEAR(A506)+1)</f>
        <v>1963</v>
      </c>
      <c r="C506" s="15" t="n">
        <f aca="false">MONTH(A506)</f>
        <v>4</v>
      </c>
      <c r="D506" s="15" t="n">
        <f aca="false">DAY(A506)</f>
        <v>30</v>
      </c>
      <c r="E506" s="15" t="n">
        <f aca="false">VLOOKUP(B506,WYT!$A$2:$L$97,12)</f>
        <v>0</v>
      </c>
      <c r="F506" s="15" t="n">
        <f aca="false">IF(C506=$W$5,1,0)</f>
        <v>0</v>
      </c>
      <c r="G506" s="15" t="n">
        <f aca="false">IF(C506=10,0,IF(F506=1,1,G505))</f>
        <v>1</v>
      </c>
      <c r="H506" s="5" t="n">
        <f aca="false">VA_base_426_data!B506</f>
        <v>13103.8369171843</v>
      </c>
      <c r="I506" s="5" t="n">
        <f aca="false">IF(AND(E506=1,OR(C506=4,C506=5)),25*12.1/24/D506*1000,0)</f>
        <v>0</v>
      </c>
      <c r="J506" s="5" t="n">
        <f aca="false">VA_base_426_data!C506</f>
        <v>1000</v>
      </c>
      <c r="K506" s="5" t="n">
        <f aca="false">H506+I506-J506</f>
        <v>12103.8369171843</v>
      </c>
      <c r="L506" s="5" t="n">
        <f aca="false">MIN($W$7,J506+K506)</f>
        <v>2000</v>
      </c>
      <c r="M506" s="5" t="n">
        <f aca="false">VA_base_426_data!D506</f>
        <v>700</v>
      </c>
      <c r="N506" s="5" t="n">
        <f aca="false">IF(AND(C506=10,E506=1),$W$6,N505-P505)</f>
        <v>0</v>
      </c>
      <c r="O506" s="5" t="n">
        <f aca="false">IF(ABS(M506-L506)&gt;1,MIN(N506/((L506-M506)*24/12.1/1000),D506),D506)</f>
        <v>0</v>
      </c>
      <c r="P506" s="5" t="n">
        <f aca="false">MIN(IF(AND(G506,E506),(L506-M506)*24/12.1*O506/1000,0),N506)</f>
        <v>0</v>
      </c>
      <c r="Q506" s="5" t="n">
        <f aca="false">IF(P506&gt;0,P506/O506*12.1/24*1000+M506,0)</f>
        <v>0</v>
      </c>
      <c r="R506" s="0" t="n">
        <f aca="false">IF(Q506&gt;0,TRUNC(O506),0)</f>
        <v>0</v>
      </c>
      <c r="S506" s="5" t="n">
        <f aca="false">(M506*(D506-R506)+(Q506*R506))/D506</f>
        <v>700</v>
      </c>
      <c r="T506" s="6" t="n">
        <f aca="false">(Q506-M506)*R506*24/12.1/1000</f>
        <v>-0</v>
      </c>
    </row>
    <row r="507" customFormat="false" ht="14.35" hidden="false" customHeight="false" outlineLevel="0" collapsed="false">
      <c r="A507" s="4" t="n">
        <v>23162</v>
      </c>
      <c r="B507" s="15" t="n">
        <f aca="false">IF(C507&lt;=9,YEAR(A507),YEAR(A507)+1)</f>
        <v>1963</v>
      </c>
      <c r="C507" s="15" t="n">
        <f aca="false">MONTH(A507)</f>
        <v>5</v>
      </c>
      <c r="D507" s="15" t="n">
        <f aca="false">DAY(A507)</f>
        <v>31</v>
      </c>
      <c r="E507" s="15" t="n">
        <f aca="false">VLOOKUP(B507,WYT!$A$2:$L$97,12)</f>
        <v>0</v>
      </c>
      <c r="F507" s="15" t="n">
        <f aca="false">IF(C507=$W$5,1,0)</f>
        <v>0</v>
      </c>
      <c r="G507" s="15" t="n">
        <f aca="false">IF(C507=10,0,IF(F507=1,1,G506))</f>
        <v>1</v>
      </c>
      <c r="H507" s="5" t="n">
        <f aca="false">VA_base_426_data!B507</f>
        <v>3138.99201203576</v>
      </c>
      <c r="I507" s="5" t="n">
        <f aca="false">IF(AND(E507=1,OR(C507=4,C507=5)),25*12.1/24/D507*1000,0)</f>
        <v>0</v>
      </c>
      <c r="J507" s="5" t="n">
        <f aca="false">VA_base_426_data!C507</f>
        <v>1000</v>
      </c>
      <c r="K507" s="5" t="n">
        <f aca="false">H507+I507-J507</f>
        <v>2138.99201203576</v>
      </c>
      <c r="L507" s="5" t="n">
        <f aca="false">MIN($W$7,J507+K507)</f>
        <v>2000</v>
      </c>
      <c r="M507" s="5" t="n">
        <f aca="false">VA_base_426_data!D507</f>
        <v>700</v>
      </c>
      <c r="N507" s="5" t="n">
        <f aca="false">IF(AND(C507=10,E507=1),$W$6,N506-P506)</f>
        <v>0</v>
      </c>
      <c r="O507" s="5" t="n">
        <f aca="false">IF(ABS(M507-L507)&gt;1,MIN(N507/((L507-M507)*24/12.1/1000),D507),D507)</f>
        <v>0</v>
      </c>
      <c r="P507" s="5" t="n">
        <f aca="false">MIN(IF(AND(G507,E507),(L507-M507)*24/12.1*O507/1000,0),N507)</f>
        <v>0</v>
      </c>
      <c r="Q507" s="5" t="n">
        <f aca="false">IF(P507&gt;0,P507/O507*12.1/24*1000+M507,0)</f>
        <v>0</v>
      </c>
      <c r="R507" s="0" t="n">
        <f aca="false">IF(Q507&gt;0,TRUNC(O507),0)</f>
        <v>0</v>
      </c>
      <c r="S507" s="5" t="n">
        <f aca="false">(M507*(D507-R507)+(Q507*R507))/D507</f>
        <v>700</v>
      </c>
      <c r="T507" s="6" t="n">
        <f aca="false">(Q507-M507)*R507*24/12.1/1000</f>
        <v>-0</v>
      </c>
    </row>
    <row r="508" customFormat="false" ht="14.35" hidden="false" customHeight="false" outlineLevel="0" collapsed="false">
      <c r="A508" s="4" t="n">
        <v>23192</v>
      </c>
      <c r="B508" s="15" t="n">
        <f aca="false">IF(C508&lt;=9,YEAR(A508),YEAR(A508)+1)</f>
        <v>1963</v>
      </c>
      <c r="C508" s="15" t="n">
        <f aca="false">MONTH(A508)</f>
        <v>6</v>
      </c>
      <c r="D508" s="15" t="n">
        <f aca="false">DAY(A508)</f>
        <v>30</v>
      </c>
      <c r="E508" s="15" t="n">
        <f aca="false">VLOOKUP(B508,WYT!$A$2:$L$97,12)</f>
        <v>0</v>
      </c>
      <c r="F508" s="15" t="n">
        <f aca="false">IF(C508=$W$5,1,0)</f>
        <v>0</v>
      </c>
      <c r="G508" s="15" t="n">
        <f aca="false">IF(C508=10,0,IF(F508=1,1,G507))</f>
        <v>1</v>
      </c>
      <c r="H508" s="5" t="n">
        <f aca="false">VA_base_426_data!B508</f>
        <v>1997.62603631359</v>
      </c>
      <c r="I508" s="5" t="n">
        <f aca="false">IF(AND(E508=1,OR(C508=4,C508=5)),25*12.1/24/D508*1000,0)</f>
        <v>0</v>
      </c>
      <c r="J508" s="5" t="n">
        <f aca="false">VA_base_426_data!C508</f>
        <v>1000</v>
      </c>
      <c r="K508" s="5" t="n">
        <f aca="false">H508+I508-J508</f>
        <v>997.62603631359</v>
      </c>
      <c r="L508" s="5" t="n">
        <f aca="false">MIN($W$7,J508+K508)</f>
        <v>1997.62603631359</v>
      </c>
      <c r="M508" s="5" t="n">
        <f aca="false">VA_base_426_data!D508</f>
        <v>700</v>
      </c>
      <c r="N508" s="5" t="n">
        <f aca="false">IF(AND(C508=10,E508=1),$W$6,N507-P507)</f>
        <v>0</v>
      </c>
      <c r="O508" s="5" t="n">
        <f aca="false">IF(ABS(M508-L508)&gt;1,MIN(N508/((L508-M508)*24/12.1/1000),D508),D508)</f>
        <v>0</v>
      </c>
      <c r="P508" s="5" t="n">
        <f aca="false">MIN(IF(AND(G508,E508),(L508-M508)*24/12.1*O508/1000,0),N508)</f>
        <v>0</v>
      </c>
      <c r="Q508" s="5" t="n">
        <f aca="false">IF(P508&gt;0,P508/O508*12.1/24*1000+M508,0)</f>
        <v>0</v>
      </c>
      <c r="R508" s="0" t="n">
        <f aca="false">IF(Q508&gt;0,TRUNC(O508),0)</f>
        <v>0</v>
      </c>
      <c r="S508" s="5" t="n">
        <f aca="false">(M508*(D508-R508)+(Q508*R508))/D508</f>
        <v>700</v>
      </c>
      <c r="T508" s="6" t="n">
        <f aca="false">(Q508-M508)*R508*24/12.1/1000</f>
        <v>-0</v>
      </c>
    </row>
    <row r="509" customFormat="false" ht="14.35" hidden="false" customHeight="false" outlineLevel="0" collapsed="false">
      <c r="A509" s="4" t="n">
        <v>23223</v>
      </c>
      <c r="B509" s="15" t="n">
        <f aca="false">IF(C509&lt;=9,YEAR(A509),YEAR(A509)+1)</f>
        <v>1963</v>
      </c>
      <c r="C509" s="15" t="n">
        <f aca="false">MONTH(A509)</f>
        <v>7</v>
      </c>
      <c r="D509" s="15" t="n">
        <f aca="false">DAY(A509)</f>
        <v>31</v>
      </c>
      <c r="E509" s="15" t="n">
        <f aca="false">VLOOKUP(B509,WYT!$A$2:$L$97,12)</f>
        <v>0</v>
      </c>
      <c r="F509" s="15" t="n">
        <f aca="false">IF(C509=$W$5,1,0)</f>
        <v>0</v>
      </c>
      <c r="G509" s="15" t="n">
        <f aca="false">IF(C509=10,0,IF(F509=1,1,G508))</f>
        <v>1</v>
      </c>
      <c r="H509" s="5" t="n">
        <f aca="false">VA_base_426_data!B509</f>
        <v>9352.89457269833</v>
      </c>
      <c r="I509" s="5" t="n">
        <f aca="false">IF(AND(E509=1,OR(C509=4,C509=5)),25*12.1/24/D509*1000,0)</f>
        <v>0</v>
      </c>
      <c r="J509" s="5" t="n">
        <f aca="false">VA_base_426_data!C509</f>
        <v>1000</v>
      </c>
      <c r="K509" s="5" t="n">
        <f aca="false">H509+I509-J509</f>
        <v>8352.89457269833</v>
      </c>
      <c r="L509" s="5" t="n">
        <f aca="false">MIN($W$7,J509+K509)</f>
        <v>2000</v>
      </c>
      <c r="M509" s="5" t="n">
        <f aca="false">VA_base_426_data!D509</f>
        <v>700</v>
      </c>
      <c r="N509" s="5" t="n">
        <f aca="false">IF(AND(C509=10,E509=1),$W$6,N508-P508)</f>
        <v>0</v>
      </c>
      <c r="O509" s="5" t="n">
        <f aca="false">IF(ABS(M509-L509)&gt;1,MIN(N509/((L509-M509)*24/12.1/1000),D509),D509)</f>
        <v>0</v>
      </c>
      <c r="P509" s="5" t="n">
        <f aca="false">MIN(IF(AND(G509,E509),(L509-M509)*24/12.1*O509/1000,0),N509)</f>
        <v>0</v>
      </c>
      <c r="Q509" s="5" t="n">
        <f aca="false">IF(P509&gt;0,P509/O509*12.1/24*1000+M509,0)</f>
        <v>0</v>
      </c>
      <c r="R509" s="0" t="n">
        <f aca="false">IF(Q509&gt;0,TRUNC(O509),0)</f>
        <v>0</v>
      </c>
      <c r="S509" s="5" t="n">
        <f aca="false">(M509*(D509-R509)+(Q509*R509))/D509</f>
        <v>700</v>
      </c>
      <c r="T509" s="6" t="n">
        <f aca="false">(Q509-M509)*R509*24/12.1/1000</f>
        <v>-0</v>
      </c>
    </row>
    <row r="510" customFormat="false" ht="14.35" hidden="false" customHeight="false" outlineLevel="0" collapsed="false">
      <c r="A510" s="4" t="n">
        <v>23254</v>
      </c>
      <c r="B510" s="15" t="n">
        <f aca="false">IF(C510&lt;=9,YEAR(A510),YEAR(A510)+1)</f>
        <v>1963</v>
      </c>
      <c r="C510" s="15" t="n">
        <f aca="false">MONTH(A510)</f>
        <v>8</v>
      </c>
      <c r="D510" s="15" t="n">
        <f aca="false">DAY(A510)</f>
        <v>31</v>
      </c>
      <c r="E510" s="15" t="n">
        <f aca="false">VLOOKUP(B510,WYT!$A$2:$L$97,12)</f>
        <v>0</v>
      </c>
      <c r="F510" s="15" t="n">
        <f aca="false">IF(C510=$W$5,1,0)</f>
        <v>0</v>
      </c>
      <c r="G510" s="15" t="n">
        <f aca="false">IF(C510=10,0,IF(F510=1,1,G509))</f>
        <v>1</v>
      </c>
      <c r="H510" s="5" t="n">
        <f aca="false">VA_base_426_data!B510</f>
        <v>7675.84786190233</v>
      </c>
      <c r="I510" s="5" t="n">
        <f aca="false">IF(AND(E510=1,OR(C510=4,C510=5)),25*12.1/24/D510*1000,0)</f>
        <v>0</v>
      </c>
      <c r="J510" s="5" t="n">
        <f aca="false">VA_base_426_data!C510</f>
        <v>1000</v>
      </c>
      <c r="K510" s="5" t="n">
        <f aca="false">H510+I510-J510</f>
        <v>6675.84786190233</v>
      </c>
      <c r="L510" s="5" t="n">
        <f aca="false">MIN($W$7,J510+K510)</f>
        <v>2000</v>
      </c>
      <c r="M510" s="5" t="n">
        <f aca="false">VA_base_426_data!D510</f>
        <v>700</v>
      </c>
      <c r="N510" s="5" t="n">
        <f aca="false">IF(AND(C510=10,E510=1),$W$6,N509-P509)</f>
        <v>0</v>
      </c>
      <c r="O510" s="5" t="n">
        <f aca="false">IF(ABS(M510-L510)&gt;1,MIN(N510/((L510-M510)*24/12.1/1000),D510),D510)</f>
        <v>0</v>
      </c>
      <c r="P510" s="5" t="n">
        <f aca="false">MIN(IF(AND(G510,E510),(L510-M510)*24/12.1*O510/1000,0),N510)</f>
        <v>0</v>
      </c>
      <c r="Q510" s="5" t="n">
        <f aca="false">IF(P510&gt;0,P510/O510*12.1/24*1000+M510,0)</f>
        <v>0</v>
      </c>
      <c r="R510" s="0" t="n">
        <f aca="false">IF(Q510&gt;0,TRUNC(O510),0)</f>
        <v>0</v>
      </c>
      <c r="S510" s="5" t="n">
        <f aca="false">(M510*(D510-R510)+(Q510*R510))/D510</f>
        <v>700</v>
      </c>
      <c r="T510" s="6" t="n">
        <f aca="false">(Q510-M510)*R510*24/12.1/1000</f>
        <v>-0</v>
      </c>
    </row>
    <row r="511" customFormat="false" ht="14.35" hidden="false" customHeight="false" outlineLevel="0" collapsed="false">
      <c r="A511" s="4" t="n">
        <v>23284</v>
      </c>
      <c r="B511" s="15" t="n">
        <f aca="false">IF(C511&lt;=9,YEAR(A511),YEAR(A511)+1)</f>
        <v>1963</v>
      </c>
      <c r="C511" s="15" t="n">
        <f aca="false">MONTH(A511)</f>
        <v>9</v>
      </c>
      <c r="D511" s="15" t="n">
        <f aca="false">DAY(A511)</f>
        <v>30</v>
      </c>
      <c r="E511" s="15" t="n">
        <f aca="false">VLOOKUP(B511,WYT!$A$2:$L$97,12)</f>
        <v>0</v>
      </c>
      <c r="F511" s="15" t="n">
        <f aca="false">IF(C511=$W$5,1,0)</f>
        <v>0</v>
      </c>
      <c r="G511" s="15" t="n">
        <f aca="false">IF(C511=10,0,IF(F511=1,1,G510))</f>
        <v>1</v>
      </c>
      <c r="H511" s="5" t="n">
        <f aca="false">VA_base_426_data!B511</f>
        <v>9380.91972728214</v>
      </c>
      <c r="I511" s="5" t="n">
        <f aca="false">IF(AND(E511=1,OR(C511=4,C511=5)),25*12.1/24/D511*1000,0)</f>
        <v>0</v>
      </c>
      <c r="J511" s="5" t="n">
        <f aca="false">VA_base_426_data!C511</f>
        <v>1000</v>
      </c>
      <c r="K511" s="5" t="n">
        <f aca="false">H511+I511-J511</f>
        <v>8380.91972728214</v>
      </c>
      <c r="L511" s="5" t="n">
        <f aca="false">MIN($W$7,J511+K511)</f>
        <v>2000</v>
      </c>
      <c r="M511" s="5" t="n">
        <f aca="false">VA_base_426_data!D511</f>
        <v>773.3333333</v>
      </c>
      <c r="N511" s="5" t="n">
        <f aca="false">IF(AND(C511=10,E511=1),$W$6,N510-P510)</f>
        <v>0</v>
      </c>
      <c r="O511" s="5" t="n">
        <f aca="false">IF(ABS(M511-L511)&gt;1,MIN(N511/((L511-M511)*24/12.1/1000),D511),D511)</f>
        <v>0</v>
      </c>
      <c r="P511" s="5" t="n">
        <f aca="false">MIN(IF(AND(G511,E511),(L511-M511)*24/12.1*O511/1000,0),N511)</f>
        <v>0</v>
      </c>
      <c r="Q511" s="5" t="n">
        <f aca="false">IF(P511&gt;0,P511/O511*12.1/24*1000+M511,0)</f>
        <v>0</v>
      </c>
      <c r="R511" s="0" t="n">
        <f aca="false">IF(Q511&gt;0,TRUNC(O511),0)</f>
        <v>0</v>
      </c>
      <c r="S511" s="5" t="n">
        <f aca="false">(M511*(D511-R511)+(Q511*R511))/D511</f>
        <v>773.3333333</v>
      </c>
      <c r="T511" s="6" t="n">
        <f aca="false">(Q511-M511)*R511*24/12.1/1000</f>
        <v>-0</v>
      </c>
    </row>
    <row r="512" customFormat="false" ht="14.35" hidden="false" customHeight="false" outlineLevel="0" collapsed="false">
      <c r="A512" s="4" t="n">
        <v>23315</v>
      </c>
      <c r="B512" s="15" t="n">
        <f aca="false">IF(C512&lt;=9,YEAR(A512),YEAR(A512)+1)</f>
        <v>1964</v>
      </c>
      <c r="C512" s="15" t="n">
        <f aca="false">MONTH(A512)</f>
        <v>10</v>
      </c>
      <c r="D512" s="15" t="n">
        <f aca="false">DAY(A512)</f>
        <v>31</v>
      </c>
      <c r="E512" s="15" t="n">
        <f aca="false">VLOOKUP(B512,WYT!$A$2:$L$97,12)</f>
        <v>1</v>
      </c>
      <c r="F512" s="15" t="n">
        <f aca="false">IF(C512=$W$5,1,0)</f>
        <v>0</v>
      </c>
      <c r="G512" s="15" t="n">
        <f aca="false">IF(C512=10,0,IF(F512=1,1,G511))</f>
        <v>0</v>
      </c>
      <c r="H512" s="5" t="n">
        <f aca="false">VA_base_426_data!B512</f>
        <v>3829.41768679025</v>
      </c>
      <c r="I512" s="5" t="n">
        <f aca="false">IF(AND(E512=1,OR(C512=4,C512=5)),25*12.1/24/D512*1000,0)</f>
        <v>0</v>
      </c>
      <c r="J512" s="5" t="n">
        <f aca="false">VA_base_426_data!C512</f>
        <v>1700</v>
      </c>
      <c r="K512" s="5" t="n">
        <f aca="false">H512+I512-J512</f>
        <v>2129.41768679025</v>
      </c>
      <c r="L512" s="5" t="n">
        <f aca="false">MIN($W$7,J512+K512)</f>
        <v>2000</v>
      </c>
      <c r="M512" s="5" t="n">
        <f aca="false">VA_base_426_data!D512</f>
        <v>800</v>
      </c>
      <c r="N512" s="5" t="n">
        <f aca="false">IF(AND(C512=10,E512=1),$W$6,N511-P511)</f>
        <v>43</v>
      </c>
      <c r="O512" s="5" t="n">
        <f aca="false">IF(ABS(M512-L512)&gt;1,MIN(N512/((L512-M512)*24/12.1/1000),D512),D512)</f>
        <v>18.0659722222222</v>
      </c>
      <c r="P512" s="5" t="n">
        <f aca="false">MIN(IF(AND(G512,E512),(L512-M512)*24/12.1*O512/1000,0),N512)</f>
        <v>0</v>
      </c>
      <c r="Q512" s="5" t="n">
        <f aca="false">IF(P512&gt;0,P512/O512*12.1/24*1000+M512,0)</f>
        <v>0</v>
      </c>
      <c r="R512" s="0" t="n">
        <f aca="false">IF(Q512&gt;0,TRUNC(O512),0)</f>
        <v>0</v>
      </c>
      <c r="S512" s="5" t="n">
        <f aca="false">(M512*(D512-R512)+(Q512*R512))/D512</f>
        <v>800</v>
      </c>
      <c r="T512" s="6" t="n">
        <f aca="false">(Q512-M512)*R512*24/12.1/1000</f>
        <v>-0</v>
      </c>
    </row>
    <row r="513" customFormat="false" ht="14.35" hidden="false" customHeight="false" outlineLevel="0" collapsed="false">
      <c r="A513" s="4" t="n">
        <v>23345</v>
      </c>
      <c r="B513" s="15" t="n">
        <f aca="false">IF(C513&lt;=9,YEAR(A513),YEAR(A513)+1)</f>
        <v>1964</v>
      </c>
      <c r="C513" s="15" t="n">
        <f aca="false">MONTH(A513)</f>
        <v>11</v>
      </c>
      <c r="D513" s="15" t="n">
        <f aca="false">DAY(A513)</f>
        <v>30</v>
      </c>
      <c r="E513" s="15" t="n">
        <f aca="false">VLOOKUP(B513,WYT!$A$2:$L$97,12)</f>
        <v>1</v>
      </c>
      <c r="F513" s="15" t="n">
        <f aca="false">IF(C513=$W$5,1,0)</f>
        <v>0</v>
      </c>
      <c r="G513" s="15" t="n">
        <f aca="false">IF(C513=10,0,IF(F513=1,1,G512))</f>
        <v>0</v>
      </c>
      <c r="H513" s="5" t="n">
        <f aca="false">VA_base_426_data!B513</f>
        <v>1893.36511230471</v>
      </c>
      <c r="I513" s="5" t="n">
        <f aca="false">IF(AND(E513=1,OR(C513=4,C513=5)),25*12.1/24/D513*1000,0)</f>
        <v>0</v>
      </c>
      <c r="J513" s="5" t="n">
        <f aca="false">VA_base_426_data!C513</f>
        <v>1700</v>
      </c>
      <c r="K513" s="5" t="n">
        <f aca="false">H513+I513-J513</f>
        <v>193.365112304706</v>
      </c>
      <c r="L513" s="5" t="n">
        <f aca="false">MIN($W$7,J513+K513)</f>
        <v>1893.36511230471</v>
      </c>
      <c r="M513" s="5" t="n">
        <f aca="false">VA_base_426_data!D513</f>
        <v>800</v>
      </c>
      <c r="N513" s="5" t="n">
        <f aca="false">IF(AND(C513=10,E513=1),$W$6,N512-P512)</f>
        <v>43</v>
      </c>
      <c r="O513" s="5" t="n">
        <f aca="false">IF(ABS(M513-L513)&gt;1,MIN(N513/((L513-M513)*24/12.1/1000),D513),D513)</f>
        <v>19.8279297763298</v>
      </c>
      <c r="P513" s="5" t="n">
        <f aca="false">MIN(IF(AND(G513,E513),(L513-M513)*24/12.1*O513/1000,0),N513)</f>
        <v>0</v>
      </c>
      <c r="Q513" s="5" t="n">
        <f aca="false">IF(P513&gt;0,P513/O513*12.1/24*1000+M513,0)</f>
        <v>0</v>
      </c>
      <c r="R513" s="0" t="n">
        <f aca="false">IF(Q513&gt;0,TRUNC(O513),0)</f>
        <v>0</v>
      </c>
      <c r="S513" s="5" t="n">
        <f aca="false">(M513*(D513-R513)+(Q513*R513))/D513</f>
        <v>800</v>
      </c>
      <c r="T513" s="6" t="n">
        <f aca="false">(Q513-M513)*R513*24/12.1/1000</f>
        <v>-0</v>
      </c>
    </row>
    <row r="514" customFormat="false" ht="14.35" hidden="false" customHeight="false" outlineLevel="0" collapsed="false">
      <c r="A514" s="4" t="n">
        <v>23376</v>
      </c>
      <c r="B514" s="15" t="n">
        <f aca="false">IF(C514&lt;=9,YEAR(A514),YEAR(A514)+1)</f>
        <v>1964</v>
      </c>
      <c r="C514" s="15" t="n">
        <f aca="false">MONTH(A514)</f>
        <v>12</v>
      </c>
      <c r="D514" s="15" t="n">
        <f aca="false">DAY(A514)</f>
        <v>31</v>
      </c>
      <c r="E514" s="15" t="n">
        <f aca="false">VLOOKUP(B514,WYT!$A$2:$L$97,12)</f>
        <v>1</v>
      </c>
      <c r="F514" s="15" t="n">
        <f aca="false">IF(C514=$W$5,1,0)</f>
        <v>0</v>
      </c>
      <c r="G514" s="15" t="n">
        <f aca="false">IF(C514=10,0,IF(F514=1,1,G513))</f>
        <v>0</v>
      </c>
      <c r="H514" s="5" t="n">
        <f aca="false">VA_base_426_data!B514</f>
        <v>1700</v>
      </c>
      <c r="I514" s="5" t="n">
        <f aca="false">IF(AND(E514=1,OR(C514=4,C514=5)),25*12.1/24/D514*1000,0)</f>
        <v>0</v>
      </c>
      <c r="J514" s="5" t="n">
        <f aca="false">VA_base_426_data!C514</f>
        <v>1700</v>
      </c>
      <c r="K514" s="5" t="n">
        <f aca="false">H514+I514-J514</f>
        <v>0</v>
      </c>
      <c r="L514" s="5" t="n">
        <f aca="false">MIN($W$7,J514+K514)</f>
        <v>1700</v>
      </c>
      <c r="M514" s="5" t="n">
        <f aca="false">VA_base_426_data!D514</f>
        <v>800</v>
      </c>
      <c r="N514" s="5" t="n">
        <f aca="false">IF(AND(C514=10,E514=1),$W$6,N513-P513)</f>
        <v>43</v>
      </c>
      <c r="O514" s="5" t="n">
        <f aca="false">IF(ABS(M514-L514)&gt;1,MIN(N514/((L514-M514)*24/12.1/1000),D514),D514)</f>
        <v>24.087962962963</v>
      </c>
      <c r="P514" s="5" t="n">
        <f aca="false">MIN(IF(AND(G514,E514),(L514-M514)*24/12.1*O514/1000,0),N514)</f>
        <v>0</v>
      </c>
      <c r="Q514" s="5" t="n">
        <f aca="false">IF(P514&gt;0,P514/O514*12.1/24*1000+M514,0)</f>
        <v>0</v>
      </c>
      <c r="R514" s="0" t="n">
        <f aca="false">IF(Q514&gt;0,TRUNC(O514),0)</f>
        <v>0</v>
      </c>
      <c r="S514" s="5" t="n">
        <f aca="false">(M514*(D514-R514)+(Q514*R514))/D514</f>
        <v>800</v>
      </c>
      <c r="T514" s="6" t="n">
        <f aca="false">(Q514-M514)*R514*24/12.1/1000</f>
        <v>-0</v>
      </c>
    </row>
    <row r="515" customFormat="false" ht="14.35" hidden="false" customHeight="false" outlineLevel="0" collapsed="false">
      <c r="A515" s="4" t="n">
        <v>23407</v>
      </c>
      <c r="B515" s="15" t="n">
        <f aca="false">IF(C515&lt;=9,YEAR(A515),YEAR(A515)+1)</f>
        <v>1964</v>
      </c>
      <c r="C515" s="15" t="n">
        <f aca="false">MONTH(A515)</f>
        <v>1</v>
      </c>
      <c r="D515" s="15" t="n">
        <f aca="false">DAY(A515)</f>
        <v>31</v>
      </c>
      <c r="E515" s="15" t="n">
        <f aca="false">VLOOKUP(B515,WYT!$A$2:$L$97,12)</f>
        <v>1</v>
      </c>
      <c r="F515" s="15" t="n">
        <f aca="false">IF(C515=$W$5,1,0)</f>
        <v>0</v>
      </c>
      <c r="G515" s="15" t="n">
        <f aca="false">IF(C515=10,0,IF(F515=1,1,G514))</f>
        <v>0</v>
      </c>
      <c r="H515" s="5" t="n">
        <f aca="false">VA_base_426_data!B515</f>
        <v>1700</v>
      </c>
      <c r="I515" s="5" t="n">
        <f aca="false">IF(AND(E515=1,OR(C515=4,C515=5)),25*12.1/24/D515*1000,0)</f>
        <v>0</v>
      </c>
      <c r="J515" s="5" t="n">
        <f aca="false">VA_base_426_data!C515</f>
        <v>1700</v>
      </c>
      <c r="K515" s="5" t="n">
        <f aca="false">H515+I515-J515</f>
        <v>0</v>
      </c>
      <c r="L515" s="5" t="n">
        <f aca="false">MIN($W$7,J515+K515)</f>
        <v>1700</v>
      </c>
      <c r="M515" s="5" t="n">
        <f aca="false">VA_base_426_data!D515</f>
        <v>800</v>
      </c>
      <c r="N515" s="5" t="n">
        <f aca="false">IF(AND(C515=10,E515=1),$W$6,N514-P514)</f>
        <v>43</v>
      </c>
      <c r="O515" s="5" t="n">
        <f aca="false">IF(ABS(M515-L515)&gt;1,MIN(N515/((L515-M515)*24/12.1/1000),D515),D515)</f>
        <v>24.087962962963</v>
      </c>
      <c r="P515" s="5" t="n">
        <f aca="false">MIN(IF(AND(G515,E515),(L515-M515)*24/12.1*O515/1000,0),N515)</f>
        <v>0</v>
      </c>
      <c r="Q515" s="5" t="n">
        <f aca="false">IF(P515&gt;0,P515/O515*12.1/24*1000+M515,0)</f>
        <v>0</v>
      </c>
      <c r="R515" s="0" t="n">
        <f aca="false">IF(Q515&gt;0,TRUNC(O515),0)</f>
        <v>0</v>
      </c>
      <c r="S515" s="5" t="n">
        <f aca="false">(M515*(D515-R515)+(Q515*R515))/D515</f>
        <v>800</v>
      </c>
      <c r="T515" s="6" t="n">
        <f aca="false">(Q515-M515)*R515*24/12.1/1000</f>
        <v>-0</v>
      </c>
    </row>
    <row r="516" customFormat="false" ht="14.35" hidden="false" customHeight="false" outlineLevel="0" collapsed="false">
      <c r="A516" s="4" t="n">
        <v>23436</v>
      </c>
      <c r="B516" s="15" t="n">
        <f aca="false">IF(C516&lt;=9,YEAR(A516),YEAR(A516)+1)</f>
        <v>1964</v>
      </c>
      <c r="C516" s="15" t="n">
        <f aca="false">MONTH(A516)</f>
        <v>2</v>
      </c>
      <c r="D516" s="15" t="n">
        <f aca="false">DAY(A516)</f>
        <v>29</v>
      </c>
      <c r="E516" s="15" t="n">
        <f aca="false">VLOOKUP(B516,WYT!$A$2:$L$97,12)</f>
        <v>1</v>
      </c>
      <c r="F516" s="15" t="n">
        <f aca="false">IF(C516=$W$5,1,0)</f>
        <v>1</v>
      </c>
      <c r="G516" s="15" t="n">
        <f aca="false">IF(C516=10,0,IF(F516=1,1,G515))</f>
        <v>1</v>
      </c>
      <c r="H516" s="5" t="n">
        <f aca="false">VA_base_426_data!B516</f>
        <v>1700</v>
      </c>
      <c r="I516" s="5" t="n">
        <f aca="false">IF(AND(E516=1,OR(C516=4,C516=5)),25*12.1/24/D516*1000,0)</f>
        <v>0</v>
      </c>
      <c r="J516" s="5" t="n">
        <f aca="false">VA_base_426_data!C516</f>
        <v>1700</v>
      </c>
      <c r="K516" s="5" t="n">
        <f aca="false">H516+I516-J516</f>
        <v>0</v>
      </c>
      <c r="L516" s="5" t="n">
        <f aca="false">MIN($W$7,J516+K516)</f>
        <v>1700</v>
      </c>
      <c r="M516" s="5" t="n">
        <f aca="false">VA_base_426_data!D516</f>
        <v>800</v>
      </c>
      <c r="N516" s="5" t="n">
        <f aca="false">IF(AND(C516=10,E516=1),$W$6,N515-P515)</f>
        <v>43</v>
      </c>
      <c r="O516" s="5" t="n">
        <f aca="false">IF(ABS(M516-L516)&gt;1,MIN(N516/((L516-M516)*24/12.1/1000),D516),D516)</f>
        <v>24.087962962963</v>
      </c>
      <c r="P516" s="5" t="n">
        <f aca="false">MIN(IF(AND(G516,E516),(L516-M516)*24/12.1*O516/1000,0),N516)</f>
        <v>43</v>
      </c>
      <c r="Q516" s="5" t="n">
        <f aca="false">IF(P516&gt;0,P516/O516*12.1/24*1000+M516,0)</f>
        <v>1700</v>
      </c>
      <c r="R516" s="0" t="n">
        <f aca="false">IF(Q516&gt;0,TRUNC(O516),0)</f>
        <v>24</v>
      </c>
      <c r="S516" s="5" t="n">
        <f aca="false">(M516*(D516-R516)+(Q516*R516))/D516</f>
        <v>1544.8275862069</v>
      </c>
      <c r="T516" s="6" t="n">
        <f aca="false">(Q516-M516)*R516*24/12.1/1000</f>
        <v>42.8429752066116</v>
      </c>
    </row>
    <row r="517" customFormat="false" ht="14.35" hidden="false" customHeight="false" outlineLevel="0" collapsed="false">
      <c r="A517" s="4" t="n">
        <v>23467</v>
      </c>
      <c r="B517" s="15" t="n">
        <f aca="false">IF(C517&lt;=9,YEAR(A517),YEAR(A517)+1)</f>
        <v>1964</v>
      </c>
      <c r="C517" s="15" t="n">
        <f aca="false">MONTH(A517)</f>
        <v>3</v>
      </c>
      <c r="D517" s="15" t="n">
        <f aca="false">DAY(A517)</f>
        <v>31</v>
      </c>
      <c r="E517" s="15" t="n">
        <f aca="false">VLOOKUP(B517,WYT!$A$2:$L$97,12)</f>
        <v>1</v>
      </c>
      <c r="F517" s="15" t="n">
        <f aca="false">IF(C517=$W$5,1,0)</f>
        <v>0</v>
      </c>
      <c r="G517" s="15" t="n">
        <f aca="false">IF(C517=10,0,IF(F517=1,1,G516))</f>
        <v>1</v>
      </c>
      <c r="H517" s="5" t="n">
        <f aca="false">VA_base_426_data!B517</f>
        <v>1700</v>
      </c>
      <c r="I517" s="5" t="n">
        <f aca="false">IF(AND(E517=1,OR(C517=4,C517=5)),25*12.1/24/D517*1000,0)</f>
        <v>0</v>
      </c>
      <c r="J517" s="5" t="n">
        <f aca="false">VA_base_426_data!C517</f>
        <v>1700</v>
      </c>
      <c r="K517" s="5" t="n">
        <f aca="false">H517+I517-J517</f>
        <v>0</v>
      </c>
      <c r="L517" s="5" t="n">
        <f aca="false">MIN($W$7,J517+K517)</f>
        <v>1700</v>
      </c>
      <c r="M517" s="5" t="n">
        <f aca="false">VA_base_426_data!D517</f>
        <v>800</v>
      </c>
      <c r="N517" s="5" t="n">
        <f aca="false">IF(AND(C517=10,E517=1),$W$6,N516-P516)</f>
        <v>0</v>
      </c>
      <c r="O517" s="5" t="n">
        <f aca="false">IF(ABS(M517-L517)&gt;1,MIN(N517/((L517-M517)*24/12.1/1000),D517),D517)</f>
        <v>0</v>
      </c>
      <c r="P517" s="5" t="n">
        <f aca="false">MIN(IF(AND(G517,E517),(L517-M517)*24/12.1*O517/1000,0),N517)</f>
        <v>0</v>
      </c>
      <c r="Q517" s="5" t="n">
        <f aca="false">IF(P517&gt;0,P517/O517*12.1/24*1000+M517,0)</f>
        <v>0</v>
      </c>
      <c r="R517" s="0" t="n">
        <f aca="false">IF(Q517&gt;0,TRUNC(O517),0)</f>
        <v>0</v>
      </c>
      <c r="S517" s="5" t="n">
        <f aca="false">(M517*(D517-R517)+(Q517*R517))/D517</f>
        <v>800</v>
      </c>
      <c r="T517" s="6" t="n">
        <f aca="false">(Q517-M517)*R517*24/12.1/1000</f>
        <v>-0</v>
      </c>
    </row>
    <row r="518" customFormat="false" ht="14.35" hidden="false" customHeight="false" outlineLevel="0" collapsed="false">
      <c r="A518" s="4" t="n">
        <v>23497</v>
      </c>
      <c r="B518" s="15" t="n">
        <f aca="false">IF(C518&lt;=9,YEAR(A518),YEAR(A518)+1)</f>
        <v>1964</v>
      </c>
      <c r="C518" s="15" t="n">
        <f aca="false">MONTH(A518)</f>
        <v>4</v>
      </c>
      <c r="D518" s="15" t="n">
        <f aca="false">DAY(A518)</f>
        <v>30</v>
      </c>
      <c r="E518" s="15" t="n">
        <f aca="false">VLOOKUP(B518,WYT!$A$2:$L$97,12)</f>
        <v>1</v>
      </c>
      <c r="F518" s="15" t="n">
        <f aca="false">IF(C518=$W$5,1,0)</f>
        <v>0</v>
      </c>
      <c r="G518" s="15" t="n">
        <f aca="false">IF(C518=10,0,IF(F518=1,1,G517))</f>
        <v>1</v>
      </c>
      <c r="H518" s="5" t="n">
        <f aca="false">VA_base_426_data!B518</f>
        <v>1199.99359309529</v>
      </c>
      <c r="I518" s="5" t="n">
        <f aca="false">IF(AND(E518=1,OR(C518=4,C518=5)),25*12.1/24/D518*1000,0)</f>
        <v>420.138888888889</v>
      </c>
      <c r="J518" s="5" t="n">
        <f aca="false">VA_base_426_data!C518</f>
        <v>1000</v>
      </c>
      <c r="K518" s="5" t="n">
        <f aca="false">H518+I518-J518</f>
        <v>620.132481984182</v>
      </c>
      <c r="L518" s="5" t="n">
        <f aca="false">MIN($W$7,J518+K518)</f>
        <v>1620.13248198418</v>
      </c>
      <c r="M518" s="5" t="n">
        <f aca="false">VA_base_426_data!D518</f>
        <v>700</v>
      </c>
      <c r="N518" s="5" t="n">
        <f aca="false">IF(AND(C518=10,E518=1),$W$6,N517-P517)</f>
        <v>0</v>
      </c>
      <c r="O518" s="5" t="n">
        <f aca="false">IF(ABS(M518-L518)&gt;1,MIN(N518/((L518-M518)*24/12.1/1000),D518),D518)</f>
        <v>0</v>
      </c>
      <c r="P518" s="5" t="n">
        <f aca="false">MIN(IF(AND(G518,E518),(L518-M518)*24/12.1*O518/1000,0),N518)</f>
        <v>0</v>
      </c>
      <c r="Q518" s="5" t="n">
        <f aca="false">IF(P518&gt;0,P518/O518*12.1/24*1000+M518,0)</f>
        <v>0</v>
      </c>
      <c r="R518" s="0" t="n">
        <f aca="false">IF(Q518&gt;0,TRUNC(O518),0)</f>
        <v>0</v>
      </c>
      <c r="S518" s="5" t="n">
        <f aca="false">(M518*(D518-R518)+(Q518*R518))/D518</f>
        <v>700</v>
      </c>
      <c r="T518" s="6" t="n">
        <f aca="false">(Q518-M518)*R518*24/12.1/1000</f>
        <v>-0</v>
      </c>
    </row>
    <row r="519" customFormat="false" ht="14.35" hidden="false" customHeight="false" outlineLevel="0" collapsed="false">
      <c r="A519" s="4" t="n">
        <v>23528</v>
      </c>
      <c r="B519" s="15" t="n">
        <f aca="false">IF(C519&lt;=9,YEAR(A519),YEAR(A519)+1)</f>
        <v>1964</v>
      </c>
      <c r="C519" s="15" t="n">
        <f aca="false">MONTH(A519)</f>
        <v>5</v>
      </c>
      <c r="D519" s="15" t="n">
        <f aca="false">DAY(A519)</f>
        <v>31</v>
      </c>
      <c r="E519" s="15" t="n">
        <f aca="false">VLOOKUP(B519,WYT!$A$2:$L$97,12)</f>
        <v>1</v>
      </c>
      <c r="F519" s="15" t="n">
        <f aca="false">IF(C519=$W$5,1,0)</f>
        <v>0</v>
      </c>
      <c r="G519" s="15" t="n">
        <f aca="false">IF(C519=10,0,IF(F519=1,1,G518))</f>
        <v>1</v>
      </c>
      <c r="H519" s="5" t="n">
        <f aca="false">VA_base_426_data!B519</f>
        <v>1202.88487912524</v>
      </c>
      <c r="I519" s="5" t="n">
        <f aca="false">IF(AND(E519=1,OR(C519=4,C519=5)),25*12.1/24/D519*1000,0)</f>
        <v>406.586021505376</v>
      </c>
      <c r="J519" s="5" t="n">
        <f aca="false">VA_base_426_data!C519</f>
        <v>1000</v>
      </c>
      <c r="K519" s="5" t="n">
        <f aca="false">H519+I519-J519</f>
        <v>609.470900630613</v>
      </c>
      <c r="L519" s="5" t="n">
        <f aca="false">MIN($W$7,J519+K519)</f>
        <v>1609.47090063061</v>
      </c>
      <c r="M519" s="5" t="n">
        <f aca="false">VA_base_426_data!D519</f>
        <v>700</v>
      </c>
      <c r="N519" s="5" t="n">
        <f aca="false">IF(AND(C519=10,E519=1),$W$6,N518-P518)</f>
        <v>0</v>
      </c>
      <c r="O519" s="5" t="n">
        <f aca="false">IF(ABS(M519-L519)&gt;1,MIN(N519/((L519-M519)*24/12.1/1000),D519),D519)</f>
        <v>0</v>
      </c>
      <c r="P519" s="5" t="n">
        <f aca="false">MIN(IF(AND(G519,E519),(L519-M519)*24/12.1*O519/1000,0),N519)</f>
        <v>0</v>
      </c>
      <c r="Q519" s="5" t="n">
        <f aca="false">IF(P519&gt;0,P519/O519*12.1/24*1000+M519,0)</f>
        <v>0</v>
      </c>
      <c r="R519" s="0" t="n">
        <f aca="false">IF(Q519&gt;0,TRUNC(O519),0)</f>
        <v>0</v>
      </c>
      <c r="S519" s="5" t="n">
        <f aca="false">(M519*(D519-R519)+(Q519*R519))/D519</f>
        <v>700</v>
      </c>
      <c r="T519" s="6" t="n">
        <f aca="false">(Q519-M519)*R519*24/12.1/1000</f>
        <v>-0</v>
      </c>
    </row>
    <row r="520" customFormat="false" ht="14.35" hidden="false" customHeight="false" outlineLevel="0" collapsed="false">
      <c r="A520" s="4" t="n">
        <v>23558</v>
      </c>
      <c r="B520" s="15" t="n">
        <f aca="false">IF(C520&lt;=9,YEAR(A520),YEAR(A520)+1)</f>
        <v>1964</v>
      </c>
      <c r="C520" s="15" t="n">
        <f aca="false">MONTH(A520)</f>
        <v>6</v>
      </c>
      <c r="D520" s="15" t="n">
        <f aca="false">DAY(A520)</f>
        <v>30</v>
      </c>
      <c r="E520" s="15" t="n">
        <f aca="false">VLOOKUP(B520,WYT!$A$2:$L$97,12)</f>
        <v>1</v>
      </c>
      <c r="F520" s="15" t="n">
        <f aca="false">IF(C520=$W$5,1,0)</f>
        <v>0</v>
      </c>
      <c r="G520" s="15" t="n">
        <f aca="false">IF(C520=10,0,IF(F520=1,1,G519))</f>
        <v>1</v>
      </c>
      <c r="H520" s="5" t="n">
        <f aca="false">VA_base_426_data!B520</f>
        <v>3945.13367574875</v>
      </c>
      <c r="I520" s="5" t="n">
        <f aca="false">IF(AND(E520=1,OR(C520=4,C520=5)),25*12.1/24/D520*1000,0)</f>
        <v>0</v>
      </c>
      <c r="J520" s="5" t="n">
        <f aca="false">VA_base_426_data!C520</f>
        <v>1000</v>
      </c>
      <c r="K520" s="5" t="n">
        <f aca="false">H520+I520-J520</f>
        <v>2945.13367574875</v>
      </c>
      <c r="L520" s="5" t="n">
        <f aca="false">MIN($W$7,J520+K520)</f>
        <v>2000</v>
      </c>
      <c r="M520" s="5" t="n">
        <f aca="false">VA_base_426_data!D520</f>
        <v>700</v>
      </c>
      <c r="N520" s="5" t="n">
        <f aca="false">IF(AND(C520=10,E520=1),$W$6,N519-P519)</f>
        <v>0</v>
      </c>
      <c r="O520" s="5" t="n">
        <f aca="false">IF(ABS(M520-L520)&gt;1,MIN(N520/((L520-M520)*24/12.1/1000),D520),D520)</f>
        <v>0</v>
      </c>
      <c r="P520" s="5" t="n">
        <f aca="false">MIN(IF(AND(G520,E520),(L520-M520)*24/12.1*O520/1000,0),N520)</f>
        <v>0</v>
      </c>
      <c r="Q520" s="5" t="n">
        <f aca="false">IF(P520&gt;0,P520/O520*12.1/24*1000+M520,0)</f>
        <v>0</v>
      </c>
      <c r="R520" s="0" t="n">
        <f aca="false">IF(Q520&gt;0,TRUNC(O520),0)</f>
        <v>0</v>
      </c>
      <c r="S520" s="5" t="n">
        <f aca="false">(M520*(D520-R520)+(Q520*R520))/D520</f>
        <v>700</v>
      </c>
      <c r="T520" s="6" t="n">
        <f aca="false">(Q520-M520)*R520*24/12.1/1000</f>
        <v>-0</v>
      </c>
    </row>
    <row r="521" customFormat="false" ht="14.35" hidden="false" customHeight="false" outlineLevel="0" collapsed="false">
      <c r="A521" s="4" t="n">
        <v>23589</v>
      </c>
      <c r="B521" s="15" t="n">
        <f aca="false">IF(C521&lt;=9,YEAR(A521),YEAR(A521)+1)</f>
        <v>1964</v>
      </c>
      <c r="C521" s="15" t="n">
        <f aca="false">MONTH(A521)</f>
        <v>7</v>
      </c>
      <c r="D521" s="15" t="n">
        <f aca="false">DAY(A521)</f>
        <v>31</v>
      </c>
      <c r="E521" s="15" t="n">
        <f aca="false">VLOOKUP(B521,WYT!$A$2:$L$97,12)</f>
        <v>1</v>
      </c>
      <c r="F521" s="15" t="n">
        <f aca="false">IF(C521=$W$5,1,0)</f>
        <v>0</v>
      </c>
      <c r="G521" s="15" t="n">
        <f aca="false">IF(C521=10,0,IF(F521=1,1,G520))</f>
        <v>1</v>
      </c>
      <c r="H521" s="5" t="n">
        <f aca="false">VA_base_426_data!B521</f>
        <v>9478.65157315759</v>
      </c>
      <c r="I521" s="5" t="n">
        <f aca="false">IF(AND(E521=1,OR(C521=4,C521=5)),25*12.1/24/D521*1000,0)</f>
        <v>0</v>
      </c>
      <c r="J521" s="5" t="n">
        <f aca="false">VA_base_426_data!C521</f>
        <v>1000</v>
      </c>
      <c r="K521" s="5" t="n">
        <f aca="false">H521+I521-J521</f>
        <v>8478.65157315759</v>
      </c>
      <c r="L521" s="5" t="n">
        <f aca="false">MIN($W$7,J521+K521)</f>
        <v>2000</v>
      </c>
      <c r="M521" s="5" t="n">
        <f aca="false">VA_base_426_data!D521</f>
        <v>700</v>
      </c>
      <c r="N521" s="5" t="n">
        <f aca="false">IF(AND(C521=10,E521=1),$W$6,N520-P520)</f>
        <v>0</v>
      </c>
      <c r="O521" s="5" t="n">
        <f aca="false">IF(ABS(M521-L521)&gt;1,MIN(N521/((L521-M521)*24/12.1/1000),D521),D521)</f>
        <v>0</v>
      </c>
      <c r="P521" s="5" t="n">
        <f aca="false">MIN(IF(AND(G521,E521),(L521-M521)*24/12.1*O521/1000,0),N521)</f>
        <v>0</v>
      </c>
      <c r="Q521" s="5" t="n">
        <f aca="false">IF(P521&gt;0,P521/O521*12.1/24*1000+M521,0)</f>
        <v>0</v>
      </c>
      <c r="R521" s="0" t="n">
        <f aca="false">IF(Q521&gt;0,TRUNC(O521),0)</f>
        <v>0</v>
      </c>
      <c r="S521" s="5" t="n">
        <f aca="false">(M521*(D521-R521)+(Q521*R521))/D521</f>
        <v>700</v>
      </c>
      <c r="T521" s="6" t="n">
        <f aca="false">(Q521-M521)*R521*24/12.1/1000</f>
        <v>-0</v>
      </c>
    </row>
    <row r="522" customFormat="false" ht="14.35" hidden="false" customHeight="false" outlineLevel="0" collapsed="false">
      <c r="A522" s="4" t="n">
        <v>23620</v>
      </c>
      <c r="B522" s="15" t="n">
        <f aca="false">IF(C522&lt;=9,YEAR(A522),YEAR(A522)+1)</f>
        <v>1964</v>
      </c>
      <c r="C522" s="15" t="n">
        <f aca="false">MONTH(A522)</f>
        <v>8</v>
      </c>
      <c r="D522" s="15" t="n">
        <f aca="false">DAY(A522)</f>
        <v>31</v>
      </c>
      <c r="E522" s="15" t="n">
        <f aca="false">VLOOKUP(B522,WYT!$A$2:$L$97,12)</f>
        <v>1</v>
      </c>
      <c r="F522" s="15" t="n">
        <f aca="false">IF(C522=$W$5,1,0)</f>
        <v>0</v>
      </c>
      <c r="G522" s="15" t="n">
        <f aca="false">IF(C522=10,0,IF(F522=1,1,G521))</f>
        <v>1</v>
      </c>
      <c r="H522" s="5" t="n">
        <f aca="false">VA_base_426_data!B522</f>
        <v>1563.02267234652</v>
      </c>
      <c r="I522" s="5" t="n">
        <f aca="false">IF(AND(E522=1,OR(C522=4,C522=5)),25*12.1/24/D522*1000,0)</f>
        <v>0</v>
      </c>
      <c r="J522" s="5" t="n">
        <f aca="false">VA_base_426_data!C522</f>
        <v>1000</v>
      </c>
      <c r="K522" s="5" t="n">
        <f aca="false">H522+I522-J522</f>
        <v>563.022672346516</v>
      </c>
      <c r="L522" s="5" t="n">
        <f aca="false">MIN($W$7,J522+K522)</f>
        <v>1563.02267234652</v>
      </c>
      <c r="M522" s="5" t="n">
        <f aca="false">VA_base_426_data!D522</f>
        <v>700</v>
      </c>
      <c r="N522" s="5" t="n">
        <f aca="false">IF(AND(C522=10,E522=1),$W$6,N521-P521)</f>
        <v>0</v>
      </c>
      <c r="O522" s="5" t="n">
        <f aca="false">IF(ABS(M522-L522)&gt;1,MIN(N522/((L522-M522)*24/12.1/1000),D522),D522)</f>
        <v>0</v>
      </c>
      <c r="P522" s="5" t="n">
        <f aca="false">MIN(IF(AND(G522,E522),(L522-M522)*24/12.1*O522/1000,0),N522)</f>
        <v>0</v>
      </c>
      <c r="Q522" s="5" t="n">
        <f aca="false">IF(P522&gt;0,P522/O522*12.1/24*1000+M522,0)</f>
        <v>0</v>
      </c>
      <c r="R522" s="0" t="n">
        <f aca="false">IF(Q522&gt;0,TRUNC(O522),0)</f>
        <v>0</v>
      </c>
      <c r="S522" s="5" t="n">
        <f aca="false">(M522*(D522-R522)+(Q522*R522))/D522</f>
        <v>700</v>
      </c>
      <c r="T522" s="6" t="n">
        <f aca="false">(Q522-M522)*R522*24/12.1/1000</f>
        <v>-0</v>
      </c>
    </row>
    <row r="523" customFormat="false" ht="14.35" hidden="false" customHeight="false" outlineLevel="0" collapsed="false">
      <c r="A523" s="4" t="n">
        <v>23650</v>
      </c>
      <c r="B523" s="15" t="n">
        <f aca="false">IF(C523&lt;=9,YEAR(A523),YEAR(A523)+1)</f>
        <v>1964</v>
      </c>
      <c r="C523" s="15" t="n">
        <f aca="false">MONTH(A523)</f>
        <v>9</v>
      </c>
      <c r="D523" s="15" t="n">
        <f aca="false">DAY(A523)</f>
        <v>30</v>
      </c>
      <c r="E523" s="15" t="n">
        <f aca="false">VLOOKUP(B523,WYT!$A$2:$L$97,12)</f>
        <v>1</v>
      </c>
      <c r="F523" s="15" t="n">
        <f aca="false">IF(C523=$W$5,1,0)</f>
        <v>0</v>
      </c>
      <c r="G523" s="15" t="n">
        <f aca="false">IF(C523=10,0,IF(F523=1,1,G522))</f>
        <v>1</v>
      </c>
      <c r="H523" s="5" t="n">
        <f aca="false">VA_base_426_data!B523</f>
        <v>1000</v>
      </c>
      <c r="I523" s="5" t="n">
        <f aca="false">IF(AND(E523=1,OR(C523=4,C523=5)),25*12.1/24/D523*1000,0)</f>
        <v>0</v>
      </c>
      <c r="J523" s="5" t="n">
        <f aca="false">VA_base_426_data!C523</f>
        <v>1000</v>
      </c>
      <c r="K523" s="5" t="n">
        <f aca="false">H523+I523-J523</f>
        <v>0</v>
      </c>
      <c r="L523" s="5" t="n">
        <f aca="false">MIN($W$7,J523+K523)</f>
        <v>1000</v>
      </c>
      <c r="M523" s="5" t="n">
        <f aca="false">VA_base_426_data!D523</f>
        <v>773.3333333</v>
      </c>
      <c r="N523" s="5" t="n">
        <f aca="false">IF(AND(C523=10,E523=1),$W$6,N522-P522)</f>
        <v>0</v>
      </c>
      <c r="O523" s="5" t="n">
        <f aca="false">IF(ABS(M523-L523)&gt;1,MIN(N523/((L523-M523)*24/12.1/1000),D523),D523)</f>
        <v>0</v>
      </c>
      <c r="P523" s="5" t="n">
        <f aca="false">MIN(IF(AND(G523,E523),(L523-M523)*24/12.1*O523/1000,0),N523)</f>
        <v>0</v>
      </c>
      <c r="Q523" s="5" t="n">
        <f aca="false">IF(P523&gt;0,P523/O523*12.1/24*1000+M523,0)</f>
        <v>0</v>
      </c>
      <c r="R523" s="0" t="n">
        <f aca="false">IF(Q523&gt;0,TRUNC(O523),0)</f>
        <v>0</v>
      </c>
      <c r="S523" s="5" t="n">
        <f aca="false">(M523*(D523-R523)+(Q523*R523))/D523</f>
        <v>773.3333333</v>
      </c>
      <c r="T523" s="6" t="n">
        <f aca="false">(Q523-M523)*R523*24/12.1/1000</f>
        <v>-0</v>
      </c>
    </row>
    <row r="524" customFormat="false" ht="14.35" hidden="false" customHeight="false" outlineLevel="0" collapsed="false">
      <c r="A524" s="4" t="n">
        <v>23681</v>
      </c>
      <c r="B524" s="15" t="n">
        <f aca="false">IF(C524&lt;=9,YEAR(A524),YEAR(A524)+1)</f>
        <v>1965</v>
      </c>
      <c r="C524" s="15" t="n">
        <f aca="false">MONTH(A524)</f>
        <v>10</v>
      </c>
      <c r="D524" s="15" t="n">
        <f aca="false">DAY(A524)</f>
        <v>31</v>
      </c>
      <c r="E524" s="15" t="n">
        <f aca="false">VLOOKUP(B524,WYT!$A$2:$L$97,12)</f>
        <v>0</v>
      </c>
      <c r="F524" s="15" t="n">
        <f aca="false">IF(C524=$W$5,1,0)</f>
        <v>0</v>
      </c>
      <c r="G524" s="15" t="n">
        <f aca="false">IF(C524=10,0,IF(F524=1,1,G523))</f>
        <v>0</v>
      </c>
      <c r="H524" s="5" t="n">
        <f aca="false">VA_base_426_data!B524</f>
        <v>1700</v>
      </c>
      <c r="I524" s="5" t="n">
        <f aca="false">IF(AND(E524=1,OR(C524=4,C524=5)),25*12.1/24/D524*1000,0)</f>
        <v>0</v>
      </c>
      <c r="J524" s="5" t="n">
        <f aca="false">VA_base_426_data!C524</f>
        <v>1700</v>
      </c>
      <c r="K524" s="5" t="n">
        <f aca="false">H524+I524-J524</f>
        <v>0</v>
      </c>
      <c r="L524" s="5" t="n">
        <f aca="false">MIN($W$7,J524+K524)</f>
        <v>1700</v>
      </c>
      <c r="M524" s="5" t="n">
        <f aca="false">VA_base_426_data!D524</f>
        <v>800</v>
      </c>
      <c r="N524" s="5" t="n">
        <f aca="false">IF(AND(C524=10,E524=1),$W$6,N523-P523)</f>
        <v>0</v>
      </c>
      <c r="O524" s="5" t="n">
        <f aca="false">IF(ABS(M524-L524)&gt;1,MIN(N524/((L524-M524)*24/12.1/1000),D524),D524)</f>
        <v>0</v>
      </c>
      <c r="P524" s="5" t="n">
        <f aca="false">MIN(IF(AND(G524,E524),(L524-M524)*24/12.1*O524/1000,0),N524)</f>
        <v>0</v>
      </c>
      <c r="Q524" s="5" t="n">
        <f aca="false">IF(P524&gt;0,P524/O524*12.1/24*1000+M524,0)</f>
        <v>0</v>
      </c>
      <c r="R524" s="0" t="n">
        <f aca="false">IF(Q524&gt;0,TRUNC(O524),0)</f>
        <v>0</v>
      </c>
      <c r="S524" s="5" t="n">
        <f aca="false">(M524*(D524-R524)+(Q524*R524))/D524</f>
        <v>800</v>
      </c>
      <c r="T524" s="6" t="n">
        <f aca="false">(Q524-M524)*R524*24/12.1/1000</f>
        <v>-0</v>
      </c>
    </row>
    <row r="525" customFormat="false" ht="14.35" hidden="false" customHeight="false" outlineLevel="0" collapsed="false">
      <c r="A525" s="4" t="n">
        <v>23711</v>
      </c>
      <c r="B525" s="15" t="n">
        <f aca="false">IF(C525&lt;=9,YEAR(A525),YEAR(A525)+1)</f>
        <v>1965</v>
      </c>
      <c r="C525" s="15" t="n">
        <f aca="false">MONTH(A525)</f>
        <v>11</v>
      </c>
      <c r="D525" s="15" t="n">
        <f aca="false">DAY(A525)</f>
        <v>30</v>
      </c>
      <c r="E525" s="15" t="n">
        <f aca="false">VLOOKUP(B525,WYT!$A$2:$L$97,12)</f>
        <v>0</v>
      </c>
      <c r="F525" s="15" t="n">
        <f aca="false">IF(C525=$W$5,1,0)</f>
        <v>0</v>
      </c>
      <c r="G525" s="15" t="n">
        <f aca="false">IF(C525=10,0,IF(F525=1,1,G524))</f>
        <v>0</v>
      </c>
      <c r="H525" s="5" t="n">
        <f aca="false">VA_base_426_data!B525</f>
        <v>1700</v>
      </c>
      <c r="I525" s="5" t="n">
        <f aca="false">IF(AND(E525=1,OR(C525=4,C525=5)),25*12.1/24/D525*1000,0)</f>
        <v>0</v>
      </c>
      <c r="J525" s="5" t="n">
        <f aca="false">VA_base_426_data!C525</f>
        <v>1700</v>
      </c>
      <c r="K525" s="5" t="n">
        <f aca="false">H525+I525-J525</f>
        <v>0</v>
      </c>
      <c r="L525" s="5" t="n">
        <f aca="false">MIN($W$7,J525+K525)</f>
        <v>1700</v>
      </c>
      <c r="M525" s="5" t="n">
        <f aca="false">VA_base_426_data!D525</f>
        <v>800</v>
      </c>
      <c r="N525" s="5" t="n">
        <f aca="false">IF(AND(C525=10,E525=1),$W$6,N524-P524)</f>
        <v>0</v>
      </c>
      <c r="O525" s="5" t="n">
        <f aca="false">IF(ABS(M525-L525)&gt;1,MIN(N525/((L525-M525)*24/12.1/1000),D525),D525)</f>
        <v>0</v>
      </c>
      <c r="P525" s="5" t="n">
        <f aca="false">MIN(IF(AND(G525,E525),(L525-M525)*24/12.1*O525/1000,0),N525)</f>
        <v>0</v>
      </c>
      <c r="Q525" s="5" t="n">
        <f aca="false">IF(P525&gt;0,P525/O525*12.1/24*1000+M525,0)</f>
        <v>0</v>
      </c>
      <c r="R525" s="0" t="n">
        <f aca="false">IF(Q525&gt;0,TRUNC(O525),0)</f>
        <v>0</v>
      </c>
      <c r="S525" s="5" t="n">
        <f aca="false">(M525*(D525-R525)+(Q525*R525))/D525</f>
        <v>800</v>
      </c>
      <c r="T525" s="6" t="n">
        <f aca="false">(Q525-M525)*R525*24/12.1/1000</f>
        <v>-0</v>
      </c>
    </row>
    <row r="526" customFormat="false" ht="14.35" hidden="false" customHeight="false" outlineLevel="0" collapsed="false">
      <c r="A526" s="4" t="n">
        <v>23742</v>
      </c>
      <c r="B526" s="15" t="n">
        <f aca="false">IF(C526&lt;=9,YEAR(A526),YEAR(A526)+1)</f>
        <v>1965</v>
      </c>
      <c r="C526" s="15" t="n">
        <f aca="false">MONTH(A526)</f>
        <v>12</v>
      </c>
      <c r="D526" s="15" t="n">
        <f aca="false">DAY(A526)</f>
        <v>31</v>
      </c>
      <c r="E526" s="15" t="n">
        <f aca="false">VLOOKUP(B526,WYT!$A$2:$L$97,12)</f>
        <v>0</v>
      </c>
      <c r="F526" s="15" t="n">
        <f aca="false">IF(C526=$W$5,1,0)</f>
        <v>0</v>
      </c>
      <c r="G526" s="15" t="n">
        <f aca="false">IF(C526=10,0,IF(F526=1,1,G525))</f>
        <v>0</v>
      </c>
      <c r="H526" s="5" t="n">
        <f aca="false">VA_base_426_data!B526</f>
        <v>1700</v>
      </c>
      <c r="I526" s="5" t="n">
        <f aca="false">IF(AND(E526=1,OR(C526=4,C526=5)),25*12.1/24/D526*1000,0)</f>
        <v>0</v>
      </c>
      <c r="J526" s="5" t="n">
        <f aca="false">VA_base_426_data!C526</f>
        <v>1700</v>
      </c>
      <c r="K526" s="5" t="n">
        <f aca="false">H526+I526-J526</f>
        <v>0</v>
      </c>
      <c r="L526" s="5" t="n">
        <f aca="false">MIN($W$7,J526+K526)</f>
        <v>1700</v>
      </c>
      <c r="M526" s="5" t="n">
        <f aca="false">VA_base_426_data!D526</f>
        <v>800</v>
      </c>
      <c r="N526" s="5" t="n">
        <f aca="false">IF(AND(C526=10,E526=1),$W$6,N525-P525)</f>
        <v>0</v>
      </c>
      <c r="O526" s="5" t="n">
        <f aca="false">IF(ABS(M526-L526)&gt;1,MIN(N526/((L526-M526)*24/12.1/1000),D526),D526)</f>
        <v>0</v>
      </c>
      <c r="P526" s="5" t="n">
        <f aca="false">MIN(IF(AND(G526,E526),(L526-M526)*24/12.1*O526/1000,0),N526)</f>
        <v>0</v>
      </c>
      <c r="Q526" s="5" t="n">
        <f aca="false">IF(P526&gt;0,P526/O526*12.1/24*1000+M526,0)</f>
        <v>0</v>
      </c>
      <c r="R526" s="0" t="n">
        <f aca="false">IF(Q526&gt;0,TRUNC(O526),0)</f>
        <v>0</v>
      </c>
      <c r="S526" s="5" t="n">
        <f aca="false">(M526*(D526-R526)+(Q526*R526))/D526</f>
        <v>800</v>
      </c>
      <c r="T526" s="6" t="n">
        <f aca="false">(Q526-M526)*R526*24/12.1/1000</f>
        <v>-0</v>
      </c>
    </row>
    <row r="527" customFormat="false" ht="14.35" hidden="false" customHeight="false" outlineLevel="0" collapsed="false">
      <c r="A527" s="4" t="n">
        <v>23773</v>
      </c>
      <c r="B527" s="15" t="n">
        <f aca="false">IF(C527&lt;=9,YEAR(A527),YEAR(A527)+1)</f>
        <v>1965</v>
      </c>
      <c r="C527" s="15" t="n">
        <f aca="false">MONTH(A527)</f>
        <v>1</v>
      </c>
      <c r="D527" s="15" t="n">
        <f aca="false">DAY(A527)</f>
        <v>31</v>
      </c>
      <c r="E527" s="15" t="n">
        <f aca="false">VLOOKUP(B527,WYT!$A$2:$L$97,12)</f>
        <v>0</v>
      </c>
      <c r="F527" s="15" t="n">
        <f aca="false">IF(C527=$W$5,1,0)</f>
        <v>0</v>
      </c>
      <c r="G527" s="15" t="n">
        <f aca="false">IF(C527=10,0,IF(F527=1,1,G526))</f>
        <v>0</v>
      </c>
      <c r="H527" s="5" t="n">
        <f aca="false">VA_base_426_data!B527</f>
        <v>16872.4603357842</v>
      </c>
      <c r="I527" s="5" t="n">
        <f aca="false">IF(AND(E527=1,OR(C527=4,C527=5)),25*12.1/24/D527*1000,0)</f>
        <v>0</v>
      </c>
      <c r="J527" s="5" t="n">
        <f aca="false">VA_base_426_data!C527</f>
        <v>1700</v>
      </c>
      <c r="K527" s="5" t="n">
        <f aca="false">H527+I527-J527</f>
        <v>15172.4603357842</v>
      </c>
      <c r="L527" s="5" t="n">
        <f aca="false">MIN($W$7,J527+K527)</f>
        <v>2000</v>
      </c>
      <c r="M527" s="5" t="n">
        <f aca="false">VA_base_426_data!D527</f>
        <v>800</v>
      </c>
      <c r="N527" s="5" t="n">
        <f aca="false">IF(AND(C527=10,E527=1),$W$6,N526-P526)</f>
        <v>0</v>
      </c>
      <c r="O527" s="5" t="n">
        <f aca="false">IF(ABS(M527-L527)&gt;1,MIN(N527/((L527-M527)*24/12.1/1000),D527),D527)</f>
        <v>0</v>
      </c>
      <c r="P527" s="5" t="n">
        <f aca="false">MIN(IF(AND(G527,E527),(L527-M527)*24/12.1*O527/1000,0),N527)</f>
        <v>0</v>
      </c>
      <c r="Q527" s="5" t="n">
        <f aca="false">IF(P527&gt;0,P527/O527*12.1/24*1000+M527,0)</f>
        <v>0</v>
      </c>
      <c r="R527" s="0" t="n">
        <f aca="false">IF(Q527&gt;0,TRUNC(O527),0)</f>
        <v>0</v>
      </c>
      <c r="S527" s="5" t="n">
        <f aca="false">(M527*(D527-R527)+(Q527*R527))/D527</f>
        <v>800</v>
      </c>
      <c r="T527" s="6" t="n">
        <f aca="false">(Q527-M527)*R527*24/12.1/1000</f>
        <v>-0</v>
      </c>
    </row>
    <row r="528" customFormat="false" ht="14.35" hidden="false" customHeight="false" outlineLevel="0" collapsed="false">
      <c r="A528" s="4" t="n">
        <v>23801</v>
      </c>
      <c r="B528" s="15" t="n">
        <f aca="false">IF(C528&lt;=9,YEAR(A528),YEAR(A528)+1)</f>
        <v>1965</v>
      </c>
      <c r="C528" s="15" t="n">
        <f aca="false">MONTH(A528)</f>
        <v>2</v>
      </c>
      <c r="D528" s="15" t="n">
        <f aca="false">DAY(A528)</f>
        <v>28</v>
      </c>
      <c r="E528" s="15" t="n">
        <f aca="false">VLOOKUP(B528,WYT!$A$2:$L$97,12)</f>
        <v>0</v>
      </c>
      <c r="F528" s="15" t="n">
        <f aca="false">IF(C528=$W$5,1,0)</f>
        <v>1</v>
      </c>
      <c r="G528" s="15" t="n">
        <f aca="false">IF(C528=10,0,IF(F528=1,1,G527))</f>
        <v>1</v>
      </c>
      <c r="H528" s="5" t="n">
        <f aca="false">VA_base_426_data!B528</f>
        <v>4858.8294242985</v>
      </c>
      <c r="I528" s="5" t="n">
        <f aca="false">IF(AND(E528=1,OR(C528=4,C528=5)),25*12.1/24/D528*1000,0)</f>
        <v>0</v>
      </c>
      <c r="J528" s="5" t="n">
        <f aca="false">VA_base_426_data!C528</f>
        <v>1700</v>
      </c>
      <c r="K528" s="5" t="n">
        <f aca="false">H528+I528-J528</f>
        <v>3158.8294242985</v>
      </c>
      <c r="L528" s="5" t="n">
        <f aca="false">MIN($W$7,J528+K528)</f>
        <v>2000</v>
      </c>
      <c r="M528" s="5" t="n">
        <f aca="false">VA_base_426_data!D528</f>
        <v>800</v>
      </c>
      <c r="N528" s="5" t="n">
        <f aca="false">IF(AND(C528=10,E528=1),$W$6,N527-P527)</f>
        <v>0</v>
      </c>
      <c r="O528" s="5" t="n">
        <f aca="false">IF(ABS(M528-L528)&gt;1,MIN(N528/((L528-M528)*24/12.1/1000),D528),D528)</f>
        <v>0</v>
      </c>
      <c r="P528" s="5" t="n">
        <f aca="false">MIN(IF(AND(G528,E528),(L528-M528)*24/12.1*O528/1000,0),N528)</f>
        <v>0</v>
      </c>
      <c r="Q528" s="5" t="n">
        <f aca="false">IF(P528&gt;0,P528/O528*12.1/24*1000+M528,0)</f>
        <v>0</v>
      </c>
      <c r="R528" s="0" t="n">
        <f aca="false">IF(Q528&gt;0,TRUNC(O528),0)</f>
        <v>0</v>
      </c>
      <c r="S528" s="5" t="n">
        <f aca="false">(M528*(D528-R528)+(Q528*R528))/D528</f>
        <v>800</v>
      </c>
      <c r="T528" s="6" t="n">
        <f aca="false">(Q528-M528)*R528*24/12.1/1000</f>
        <v>-0</v>
      </c>
    </row>
    <row r="529" customFormat="false" ht="14.35" hidden="false" customHeight="false" outlineLevel="0" collapsed="false">
      <c r="A529" s="4" t="n">
        <v>23832</v>
      </c>
      <c r="B529" s="15" t="n">
        <f aca="false">IF(C529&lt;=9,YEAR(A529),YEAR(A529)+1)</f>
        <v>1965</v>
      </c>
      <c r="C529" s="15" t="n">
        <f aca="false">MONTH(A529)</f>
        <v>3</v>
      </c>
      <c r="D529" s="15" t="n">
        <f aca="false">DAY(A529)</f>
        <v>31</v>
      </c>
      <c r="E529" s="15" t="n">
        <f aca="false">VLOOKUP(B529,WYT!$A$2:$L$97,12)</f>
        <v>0</v>
      </c>
      <c r="F529" s="15" t="n">
        <f aca="false">IF(C529=$W$5,1,0)</f>
        <v>0</v>
      </c>
      <c r="G529" s="15" t="n">
        <f aca="false">IF(C529=10,0,IF(F529=1,1,G528))</f>
        <v>1</v>
      </c>
      <c r="H529" s="5" t="n">
        <f aca="false">VA_base_426_data!B529</f>
        <v>5227.60105068442</v>
      </c>
      <c r="I529" s="5" t="n">
        <f aca="false">IF(AND(E529=1,OR(C529=4,C529=5)),25*12.1/24/D529*1000,0)</f>
        <v>0</v>
      </c>
      <c r="J529" s="5" t="n">
        <f aca="false">VA_base_426_data!C529</f>
        <v>1700</v>
      </c>
      <c r="K529" s="5" t="n">
        <f aca="false">H529+I529-J529</f>
        <v>3527.60105068442</v>
      </c>
      <c r="L529" s="5" t="n">
        <f aca="false">MIN($W$7,J529+K529)</f>
        <v>2000</v>
      </c>
      <c r="M529" s="5" t="n">
        <f aca="false">VA_base_426_data!D529</f>
        <v>800</v>
      </c>
      <c r="N529" s="5" t="n">
        <f aca="false">IF(AND(C529=10,E529=1),$W$6,N528-P528)</f>
        <v>0</v>
      </c>
      <c r="O529" s="5" t="n">
        <f aca="false">IF(ABS(M529-L529)&gt;1,MIN(N529/((L529-M529)*24/12.1/1000),D529),D529)</f>
        <v>0</v>
      </c>
      <c r="P529" s="5" t="n">
        <f aca="false">MIN(IF(AND(G529,E529),(L529-M529)*24/12.1*O529/1000,0),N529)</f>
        <v>0</v>
      </c>
      <c r="Q529" s="5" t="n">
        <f aca="false">IF(P529&gt;0,P529/O529*12.1/24*1000+M529,0)</f>
        <v>0</v>
      </c>
      <c r="R529" s="0" t="n">
        <f aca="false">IF(Q529&gt;0,TRUNC(O529),0)</f>
        <v>0</v>
      </c>
      <c r="S529" s="5" t="n">
        <f aca="false">(M529*(D529-R529)+(Q529*R529))/D529</f>
        <v>800</v>
      </c>
      <c r="T529" s="6" t="n">
        <f aca="false">(Q529-M529)*R529*24/12.1/1000</f>
        <v>-0</v>
      </c>
    </row>
    <row r="530" customFormat="false" ht="14.35" hidden="false" customHeight="false" outlineLevel="0" collapsed="false">
      <c r="A530" s="4" t="n">
        <v>23862</v>
      </c>
      <c r="B530" s="15" t="n">
        <f aca="false">IF(C530&lt;=9,YEAR(A530),YEAR(A530)+1)</f>
        <v>1965</v>
      </c>
      <c r="C530" s="15" t="n">
        <f aca="false">MONTH(A530)</f>
        <v>4</v>
      </c>
      <c r="D530" s="15" t="n">
        <f aca="false">DAY(A530)</f>
        <v>30</v>
      </c>
      <c r="E530" s="15" t="n">
        <f aca="false">VLOOKUP(B530,WYT!$A$2:$L$97,12)</f>
        <v>0</v>
      </c>
      <c r="F530" s="15" t="n">
        <f aca="false">IF(C530=$W$5,1,0)</f>
        <v>0</v>
      </c>
      <c r="G530" s="15" t="n">
        <f aca="false">IF(C530=10,0,IF(F530=1,1,G529))</f>
        <v>1</v>
      </c>
      <c r="H530" s="5" t="n">
        <f aca="false">VA_base_426_data!B530</f>
        <v>7799.22257927267</v>
      </c>
      <c r="I530" s="5" t="n">
        <f aca="false">IF(AND(E530=1,OR(C530=4,C530=5)),25*12.1/24/D530*1000,0)</f>
        <v>0</v>
      </c>
      <c r="J530" s="5" t="n">
        <f aca="false">VA_base_426_data!C530</f>
        <v>1000</v>
      </c>
      <c r="K530" s="5" t="n">
        <f aca="false">H530+I530-J530</f>
        <v>6799.22257927267</v>
      </c>
      <c r="L530" s="5" t="n">
        <f aca="false">MIN($W$7,J530+K530)</f>
        <v>2000</v>
      </c>
      <c r="M530" s="5" t="n">
        <f aca="false">VA_base_426_data!D530</f>
        <v>700</v>
      </c>
      <c r="N530" s="5" t="n">
        <f aca="false">IF(AND(C530=10,E530=1),$W$6,N529-P529)</f>
        <v>0</v>
      </c>
      <c r="O530" s="5" t="n">
        <f aca="false">IF(ABS(M530-L530)&gt;1,MIN(N530/((L530-M530)*24/12.1/1000),D530),D530)</f>
        <v>0</v>
      </c>
      <c r="P530" s="5" t="n">
        <f aca="false">MIN(IF(AND(G530,E530),(L530-M530)*24/12.1*O530/1000,0),N530)</f>
        <v>0</v>
      </c>
      <c r="Q530" s="5" t="n">
        <f aca="false">IF(P530&gt;0,P530/O530*12.1/24*1000+M530,0)</f>
        <v>0</v>
      </c>
      <c r="R530" s="0" t="n">
        <f aca="false">IF(Q530&gt;0,TRUNC(O530),0)</f>
        <v>0</v>
      </c>
      <c r="S530" s="5" t="n">
        <f aca="false">(M530*(D530-R530)+(Q530*R530))/D530</f>
        <v>700</v>
      </c>
      <c r="T530" s="6" t="n">
        <f aca="false">(Q530-M530)*R530*24/12.1/1000</f>
        <v>-0</v>
      </c>
    </row>
    <row r="531" customFormat="false" ht="14.35" hidden="false" customHeight="false" outlineLevel="0" collapsed="false">
      <c r="A531" s="4" t="n">
        <v>23893</v>
      </c>
      <c r="B531" s="15" t="n">
        <f aca="false">IF(C531&lt;=9,YEAR(A531),YEAR(A531)+1)</f>
        <v>1965</v>
      </c>
      <c r="C531" s="15" t="n">
        <f aca="false">MONTH(A531)</f>
        <v>5</v>
      </c>
      <c r="D531" s="15" t="n">
        <f aca="false">DAY(A531)</f>
        <v>31</v>
      </c>
      <c r="E531" s="15" t="n">
        <f aca="false">VLOOKUP(B531,WYT!$A$2:$L$97,12)</f>
        <v>0</v>
      </c>
      <c r="F531" s="15" t="n">
        <f aca="false">IF(C531=$W$5,1,0)</f>
        <v>0</v>
      </c>
      <c r="G531" s="15" t="n">
        <f aca="false">IF(C531=10,0,IF(F531=1,1,G530))</f>
        <v>1</v>
      </c>
      <c r="H531" s="5" t="n">
        <f aca="false">VA_base_426_data!B531</f>
        <v>3484.98822447874</v>
      </c>
      <c r="I531" s="5" t="n">
        <f aca="false">IF(AND(E531=1,OR(C531=4,C531=5)),25*12.1/24/D531*1000,0)</f>
        <v>0</v>
      </c>
      <c r="J531" s="5" t="n">
        <f aca="false">VA_base_426_data!C531</f>
        <v>1000</v>
      </c>
      <c r="K531" s="5" t="n">
        <f aca="false">H531+I531-J531</f>
        <v>2484.98822447874</v>
      </c>
      <c r="L531" s="5" t="n">
        <f aca="false">MIN($W$7,J531+K531)</f>
        <v>2000</v>
      </c>
      <c r="M531" s="5" t="n">
        <f aca="false">VA_base_426_data!D531</f>
        <v>700</v>
      </c>
      <c r="N531" s="5" t="n">
        <f aca="false">IF(AND(C531=10,E531=1),$W$6,N530-P530)</f>
        <v>0</v>
      </c>
      <c r="O531" s="5" t="n">
        <f aca="false">IF(ABS(M531-L531)&gt;1,MIN(N531/((L531-M531)*24/12.1/1000),D531),D531)</f>
        <v>0</v>
      </c>
      <c r="P531" s="5" t="n">
        <f aca="false">MIN(IF(AND(G531,E531),(L531-M531)*24/12.1*O531/1000,0),N531)</f>
        <v>0</v>
      </c>
      <c r="Q531" s="5" t="n">
        <f aca="false">IF(P531&gt;0,P531/O531*12.1/24*1000+M531,0)</f>
        <v>0</v>
      </c>
      <c r="R531" s="0" t="n">
        <f aca="false">IF(Q531&gt;0,TRUNC(O531),0)</f>
        <v>0</v>
      </c>
      <c r="S531" s="5" t="n">
        <f aca="false">(M531*(D531-R531)+(Q531*R531))/D531</f>
        <v>700</v>
      </c>
      <c r="T531" s="6" t="n">
        <f aca="false">(Q531-M531)*R531*24/12.1/1000</f>
        <v>-0</v>
      </c>
    </row>
    <row r="532" customFormat="false" ht="14.35" hidden="false" customHeight="false" outlineLevel="0" collapsed="false">
      <c r="A532" s="4" t="n">
        <v>23923</v>
      </c>
      <c r="B532" s="15" t="n">
        <f aca="false">IF(C532&lt;=9,YEAR(A532),YEAR(A532)+1)</f>
        <v>1965</v>
      </c>
      <c r="C532" s="15" t="n">
        <f aca="false">MONTH(A532)</f>
        <v>6</v>
      </c>
      <c r="D532" s="15" t="n">
        <f aca="false">DAY(A532)</f>
        <v>30</v>
      </c>
      <c r="E532" s="15" t="n">
        <f aca="false">VLOOKUP(B532,WYT!$A$2:$L$97,12)</f>
        <v>0</v>
      </c>
      <c r="F532" s="15" t="n">
        <f aca="false">IF(C532=$W$5,1,0)</f>
        <v>0</v>
      </c>
      <c r="G532" s="15" t="n">
        <f aca="false">IF(C532=10,0,IF(F532=1,1,G531))</f>
        <v>1</v>
      </c>
      <c r="H532" s="5" t="n">
        <f aca="false">VA_base_426_data!B532</f>
        <v>2160.69124526387</v>
      </c>
      <c r="I532" s="5" t="n">
        <f aca="false">IF(AND(E532=1,OR(C532=4,C532=5)),25*12.1/24/D532*1000,0)</f>
        <v>0</v>
      </c>
      <c r="J532" s="5" t="n">
        <f aca="false">VA_base_426_data!C532</f>
        <v>1000</v>
      </c>
      <c r="K532" s="5" t="n">
        <f aca="false">H532+I532-J532</f>
        <v>1160.69124526387</v>
      </c>
      <c r="L532" s="5" t="n">
        <f aca="false">MIN($W$7,J532+K532)</f>
        <v>2000</v>
      </c>
      <c r="M532" s="5" t="n">
        <f aca="false">VA_base_426_data!D532</f>
        <v>700</v>
      </c>
      <c r="N532" s="5" t="n">
        <f aca="false">IF(AND(C532=10,E532=1),$W$6,N531-P531)</f>
        <v>0</v>
      </c>
      <c r="O532" s="5" t="n">
        <f aca="false">IF(ABS(M532-L532)&gt;1,MIN(N532/((L532-M532)*24/12.1/1000),D532),D532)</f>
        <v>0</v>
      </c>
      <c r="P532" s="5" t="n">
        <f aca="false">MIN(IF(AND(G532,E532),(L532-M532)*24/12.1*O532/1000,0),N532)</f>
        <v>0</v>
      </c>
      <c r="Q532" s="5" t="n">
        <f aca="false">IF(P532&gt;0,P532/O532*12.1/24*1000+M532,0)</f>
        <v>0</v>
      </c>
      <c r="R532" s="0" t="n">
        <f aca="false">IF(Q532&gt;0,TRUNC(O532),0)</f>
        <v>0</v>
      </c>
      <c r="S532" s="5" t="n">
        <f aca="false">(M532*(D532-R532)+(Q532*R532))/D532</f>
        <v>700</v>
      </c>
      <c r="T532" s="6" t="n">
        <f aca="false">(Q532-M532)*R532*24/12.1/1000</f>
        <v>-0</v>
      </c>
    </row>
    <row r="533" customFormat="false" ht="14.35" hidden="false" customHeight="false" outlineLevel="0" collapsed="false">
      <c r="A533" s="4" t="n">
        <v>23954</v>
      </c>
      <c r="B533" s="15" t="n">
        <f aca="false">IF(C533&lt;=9,YEAR(A533),YEAR(A533)+1)</f>
        <v>1965</v>
      </c>
      <c r="C533" s="15" t="n">
        <f aca="false">MONTH(A533)</f>
        <v>7</v>
      </c>
      <c r="D533" s="15" t="n">
        <f aca="false">DAY(A533)</f>
        <v>31</v>
      </c>
      <c r="E533" s="15" t="n">
        <f aca="false">VLOOKUP(B533,WYT!$A$2:$L$97,12)</f>
        <v>0</v>
      </c>
      <c r="F533" s="15" t="n">
        <f aca="false">IF(C533=$W$5,1,0)</f>
        <v>0</v>
      </c>
      <c r="G533" s="15" t="n">
        <f aca="false">IF(C533=10,0,IF(F533=1,1,G532))</f>
        <v>1</v>
      </c>
      <c r="H533" s="5" t="n">
        <f aca="false">VA_base_426_data!B533</f>
        <v>8671.9023445865</v>
      </c>
      <c r="I533" s="5" t="n">
        <f aca="false">IF(AND(E533=1,OR(C533=4,C533=5)),25*12.1/24/D533*1000,0)</f>
        <v>0</v>
      </c>
      <c r="J533" s="5" t="n">
        <f aca="false">VA_base_426_data!C533</f>
        <v>1000</v>
      </c>
      <c r="K533" s="5" t="n">
        <f aca="false">H533+I533-J533</f>
        <v>7671.9023445865</v>
      </c>
      <c r="L533" s="5" t="n">
        <f aca="false">MIN($W$7,J533+K533)</f>
        <v>2000</v>
      </c>
      <c r="M533" s="5" t="n">
        <f aca="false">VA_base_426_data!D533</f>
        <v>700</v>
      </c>
      <c r="N533" s="5" t="n">
        <f aca="false">IF(AND(C533=10,E533=1),$W$6,N532-P532)</f>
        <v>0</v>
      </c>
      <c r="O533" s="5" t="n">
        <f aca="false">IF(ABS(M533-L533)&gt;1,MIN(N533/((L533-M533)*24/12.1/1000),D533),D533)</f>
        <v>0</v>
      </c>
      <c r="P533" s="5" t="n">
        <f aca="false">MIN(IF(AND(G533,E533),(L533-M533)*24/12.1*O533/1000,0),N533)</f>
        <v>0</v>
      </c>
      <c r="Q533" s="5" t="n">
        <f aca="false">IF(P533&gt;0,P533/O533*12.1/24*1000+M533,0)</f>
        <v>0</v>
      </c>
      <c r="R533" s="0" t="n">
        <f aca="false">IF(Q533&gt;0,TRUNC(O533),0)</f>
        <v>0</v>
      </c>
      <c r="S533" s="5" t="n">
        <f aca="false">(M533*(D533-R533)+(Q533*R533))/D533</f>
        <v>700</v>
      </c>
      <c r="T533" s="6" t="n">
        <f aca="false">(Q533-M533)*R533*24/12.1/1000</f>
        <v>-0</v>
      </c>
    </row>
    <row r="534" customFormat="false" ht="14.35" hidden="false" customHeight="false" outlineLevel="0" collapsed="false">
      <c r="A534" s="4" t="n">
        <v>23985</v>
      </c>
      <c r="B534" s="15" t="n">
        <f aca="false">IF(C534&lt;=9,YEAR(A534),YEAR(A534)+1)</f>
        <v>1965</v>
      </c>
      <c r="C534" s="15" t="n">
        <f aca="false">MONTH(A534)</f>
        <v>8</v>
      </c>
      <c r="D534" s="15" t="n">
        <f aca="false">DAY(A534)</f>
        <v>31</v>
      </c>
      <c r="E534" s="15" t="n">
        <f aca="false">VLOOKUP(B534,WYT!$A$2:$L$97,12)</f>
        <v>0</v>
      </c>
      <c r="F534" s="15" t="n">
        <f aca="false">IF(C534=$W$5,1,0)</f>
        <v>0</v>
      </c>
      <c r="G534" s="15" t="n">
        <f aca="false">IF(C534=10,0,IF(F534=1,1,G533))</f>
        <v>1</v>
      </c>
      <c r="H534" s="5" t="n">
        <f aca="false">VA_base_426_data!B534</f>
        <v>5640.01816830572</v>
      </c>
      <c r="I534" s="5" t="n">
        <f aca="false">IF(AND(E534=1,OR(C534=4,C534=5)),25*12.1/24/D534*1000,0)</f>
        <v>0</v>
      </c>
      <c r="J534" s="5" t="n">
        <f aca="false">VA_base_426_data!C534</f>
        <v>1000</v>
      </c>
      <c r="K534" s="5" t="n">
        <f aca="false">H534+I534-J534</f>
        <v>4640.01816830572</v>
      </c>
      <c r="L534" s="5" t="n">
        <f aca="false">MIN($W$7,J534+K534)</f>
        <v>2000</v>
      </c>
      <c r="M534" s="5" t="n">
        <f aca="false">VA_base_426_data!D534</f>
        <v>700</v>
      </c>
      <c r="N534" s="5" t="n">
        <f aca="false">IF(AND(C534=10,E534=1),$W$6,N533-P533)</f>
        <v>0</v>
      </c>
      <c r="O534" s="5" t="n">
        <f aca="false">IF(ABS(M534-L534)&gt;1,MIN(N534/((L534-M534)*24/12.1/1000),D534),D534)</f>
        <v>0</v>
      </c>
      <c r="P534" s="5" t="n">
        <f aca="false">MIN(IF(AND(G534,E534),(L534-M534)*24/12.1*O534/1000,0),N534)</f>
        <v>0</v>
      </c>
      <c r="Q534" s="5" t="n">
        <f aca="false">IF(P534&gt;0,P534/O534*12.1/24*1000+M534,0)</f>
        <v>0</v>
      </c>
      <c r="R534" s="0" t="n">
        <f aca="false">IF(Q534&gt;0,TRUNC(O534),0)</f>
        <v>0</v>
      </c>
      <c r="S534" s="5" t="n">
        <f aca="false">(M534*(D534-R534)+(Q534*R534))/D534</f>
        <v>700</v>
      </c>
      <c r="T534" s="6" t="n">
        <f aca="false">(Q534-M534)*R534*24/12.1/1000</f>
        <v>-0</v>
      </c>
    </row>
    <row r="535" customFormat="false" ht="14.35" hidden="false" customHeight="false" outlineLevel="0" collapsed="false">
      <c r="A535" s="4" t="n">
        <v>24015</v>
      </c>
      <c r="B535" s="15" t="n">
        <f aca="false">IF(C535&lt;=9,YEAR(A535),YEAR(A535)+1)</f>
        <v>1965</v>
      </c>
      <c r="C535" s="15" t="n">
        <f aca="false">MONTH(A535)</f>
        <v>9</v>
      </c>
      <c r="D535" s="15" t="n">
        <f aca="false">DAY(A535)</f>
        <v>30</v>
      </c>
      <c r="E535" s="15" t="n">
        <f aca="false">VLOOKUP(B535,WYT!$A$2:$L$97,12)</f>
        <v>0</v>
      </c>
      <c r="F535" s="15" t="n">
        <f aca="false">IF(C535=$W$5,1,0)</f>
        <v>0</v>
      </c>
      <c r="G535" s="15" t="n">
        <f aca="false">IF(C535=10,0,IF(F535=1,1,G534))</f>
        <v>1</v>
      </c>
      <c r="H535" s="5" t="n">
        <f aca="false">VA_base_426_data!B535</f>
        <v>9747.07475690691</v>
      </c>
      <c r="I535" s="5" t="n">
        <f aca="false">IF(AND(E535=1,OR(C535=4,C535=5)),25*12.1/24/D535*1000,0)</f>
        <v>0</v>
      </c>
      <c r="J535" s="5" t="n">
        <f aca="false">VA_base_426_data!C535</f>
        <v>1000</v>
      </c>
      <c r="K535" s="5" t="n">
        <f aca="false">H535+I535-J535</f>
        <v>8747.07475690691</v>
      </c>
      <c r="L535" s="5" t="n">
        <f aca="false">MIN($W$7,J535+K535)</f>
        <v>2000</v>
      </c>
      <c r="M535" s="5" t="n">
        <f aca="false">VA_base_426_data!D535</f>
        <v>773.3333333</v>
      </c>
      <c r="N535" s="5" t="n">
        <f aca="false">IF(AND(C535=10,E535=1),$W$6,N534-P534)</f>
        <v>0</v>
      </c>
      <c r="O535" s="5" t="n">
        <f aca="false">IF(ABS(M535-L535)&gt;1,MIN(N535/((L535-M535)*24/12.1/1000),D535),D535)</f>
        <v>0</v>
      </c>
      <c r="P535" s="5" t="n">
        <f aca="false">MIN(IF(AND(G535,E535),(L535-M535)*24/12.1*O535/1000,0),N535)</f>
        <v>0</v>
      </c>
      <c r="Q535" s="5" t="n">
        <f aca="false">IF(P535&gt;0,P535/O535*12.1/24*1000+M535,0)</f>
        <v>0</v>
      </c>
      <c r="R535" s="0" t="n">
        <f aca="false">IF(Q535&gt;0,TRUNC(O535),0)</f>
        <v>0</v>
      </c>
      <c r="S535" s="5" t="n">
        <f aca="false">(M535*(D535-R535)+(Q535*R535))/D535</f>
        <v>773.3333333</v>
      </c>
      <c r="T535" s="6" t="n">
        <f aca="false">(Q535-M535)*R535*24/12.1/1000</f>
        <v>-0</v>
      </c>
    </row>
    <row r="536" customFormat="false" ht="14.35" hidden="false" customHeight="false" outlineLevel="0" collapsed="false">
      <c r="A536" s="4" t="n">
        <v>24046</v>
      </c>
      <c r="B536" s="15" t="n">
        <f aca="false">IF(C536&lt;=9,YEAR(A536),YEAR(A536)+1)</f>
        <v>1966</v>
      </c>
      <c r="C536" s="15" t="n">
        <f aca="false">MONTH(A536)</f>
        <v>10</v>
      </c>
      <c r="D536" s="15" t="n">
        <f aca="false">DAY(A536)</f>
        <v>31</v>
      </c>
      <c r="E536" s="15" t="n">
        <f aca="false">VLOOKUP(B536,WYT!$A$2:$L$97,12)</f>
        <v>1</v>
      </c>
      <c r="F536" s="15" t="n">
        <f aca="false">IF(C536=$W$5,1,0)</f>
        <v>0</v>
      </c>
      <c r="G536" s="15" t="n">
        <f aca="false">IF(C536=10,0,IF(F536=1,1,G535))</f>
        <v>0</v>
      </c>
      <c r="H536" s="5" t="n">
        <f aca="false">VA_base_426_data!B536</f>
        <v>4000</v>
      </c>
      <c r="I536" s="5" t="n">
        <f aca="false">IF(AND(E536=1,OR(C536=4,C536=5)),25*12.1/24/D536*1000,0)</f>
        <v>0</v>
      </c>
      <c r="J536" s="5" t="n">
        <f aca="false">VA_base_426_data!C536</f>
        <v>1700</v>
      </c>
      <c r="K536" s="5" t="n">
        <f aca="false">H536+I536-J536</f>
        <v>2300</v>
      </c>
      <c r="L536" s="5" t="n">
        <f aca="false">MIN($W$7,J536+K536)</f>
        <v>2000</v>
      </c>
      <c r="M536" s="5" t="n">
        <f aca="false">VA_base_426_data!D536</f>
        <v>800</v>
      </c>
      <c r="N536" s="5" t="n">
        <f aca="false">IF(AND(C536=10,E536=1),$W$6,N535-P535)</f>
        <v>43</v>
      </c>
      <c r="O536" s="5" t="n">
        <f aca="false">IF(ABS(M536-L536)&gt;1,MIN(N536/((L536-M536)*24/12.1/1000),D536),D536)</f>
        <v>18.0659722222222</v>
      </c>
      <c r="P536" s="5" t="n">
        <f aca="false">MIN(IF(AND(G536,E536),(L536-M536)*24/12.1*O536/1000,0),N536)</f>
        <v>0</v>
      </c>
      <c r="Q536" s="5" t="n">
        <f aca="false">IF(P536&gt;0,P536/O536*12.1/24*1000+M536,0)</f>
        <v>0</v>
      </c>
      <c r="R536" s="0" t="n">
        <f aca="false">IF(Q536&gt;0,TRUNC(O536),0)</f>
        <v>0</v>
      </c>
      <c r="S536" s="5" t="n">
        <f aca="false">(M536*(D536-R536)+(Q536*R536))/D536</f>
        <v>800</v>
      </c>
      <c r="T536" s="6" t="n">
        <f aca="false">(Q536-M536)*R536*24/12.1/1000</f>
        <v>-0</v>
      </c>
    </row>
    <row r="537" customFormat="false" ht="14.35" hidden="false" customHeight="false" outlineLevel="0" collapsed="false">
      <c r="A537" s="4" t="n">
        <v>24076</v>
      </c>
      <c r="B537" s="15" t="n">
        <f aca="false">IF(C537&lt;=9,YEAR(A537),YEAR(A537)+1)</f>
        <v>1966</v>
      </c>
      <c r="C537" s="15" t="n">
        <f aca="false">MONTH(A537)</f>
        <v>11</v>
      </c>
      <c r="D537" s="15" t="n">
        <f aca="false">DAY(A537)</f>
        <v>30</v>
      </c>
      <c r="E537" s="15" t="n">
        <f aca="false">VLOOKUP(B537,WYT!$A$2:$L$97,12)</f>
        <v>1</v>
      </c>
      <c r="F537" s="15" t="n">
        <f aca="false">IF(C537=$W$5,1,0)</f>
        <v>0</v>
      </c>
      <c r="G537" s="15" t="n">
        <f aca="false">IF(C537=10,0,IF(F537=1,1,G536))</f>
        <v>0</v>
      </c>
      <c r="H537" s="5" t="n">
        <f aca="false">VA_base_426_data!B537</f>
        <v>2500</v>
      </c>
      <c r="I537" s="5" t="n">
        <f aca="false">IF(AND(E537=1,OR(C537=4,C537=5)),25*12.1/24/D537*1000,0)</f>
        <v>0</v>
      </c>
      <c r="J537" s="5" t="n">
        <f aca="false">VA_base_426_data!C537</f>
        <v>1700</v>
      </c>
      <c r="K537" s="5" t="n">
        <f aca="false">H537+I537-J537</f>
        <v>800</v>
      </c>
      <c r="L537" s="5" t="n">
        <f aca="false">MIN($W$7,J537+K537)</f>
        <v>2000</v>
      </c>
      <c r="M537" s="5" t="n">
        <f aca="false">VA_base_426_data!D537</f>
        <v>800</v>
      </c>
      <c r="N537" s="5" t="n">
        <f aca="false">IF(AND(C537=10,E537=1),$W$6,N536-P536)</f>
        <v>43</v>
      </c>
      <c r="O537" s="5" t="n">
        <f aca="false">IF(ABS(M537-L537)&gt;1,MIN(N537/((L537-M537)*24/12.1/1000),D537),D537)</f>
        <v>18.0659722222222</v>
      </c>
      <c r="P537" s="5" t="n">
        <f aca="false">MIN(IF(AND(G537,E537),(L537-M537)*24/12.1*O537/1000,0),N537)</f>
        <v>0</v>
      </c>
      <c r="Q537" s="5" t="n">
        <f aca="false">IF(P537&gt;0,P537/O537*12.1/24*1000+M537,0)</f>
        <v>0</v>
      </c>
      <c r="R537" s="0" t="n">
        <f aca="false">IF(Q537&gt;0,TRUNC(O537),0)</f>
        <v>0</v>
      </c>
      <c r="S537" s="5" t="n">
        <f aca="false">(M537*(D537-R537)+(Q537*R537))/D537</f>
        <v>800</v>
      </c>
      <c r="T537" s="6" t="n">
        <f aca="false">(Q537-M537)*R537*24/12.1/1000</f>
        <v>-0</v>
      </c>
    </row>
    <row r="538" customFormat="false" ht="14.35" hidden="false" customHeight="false" outlineLevel="0" collapsed="false">
      <c r="A538" s="4" t="n">
        <v>24107</v>
      </c>
      <c r="B538" s="15" t="n">
        <f aca="false">IF(C538&lt;=9,YEAR(A538),YEAR(A538)+1)</f>
        <v>1966</v>
      </c>
      <c r="C538" s="15" t="n">
        <f aca="false">MONTH(A538)</f>
        <v>12</v>
      </c>
      <c r="D538" s="15" t="n">
        <f aca="false">DAY(A538)</f>
        <v>31</v>
      </c>
      <c r="E538" s="15" t="n">
        <f aca="false">VLOOKUP(B538,WYT!$A$2:$L$97,12)</f>
        <v>1</v>
      </c>
      <c r="F538" s="15" t="n">
        <f aca="false">IF(C538=$W$5,1,0)</f>
        <v>0</v>
      </c>
      <c r="G538" s="15" t="n">
        <f aca="false">IF(C538=10,0,IF(F538=1,1,G537))</f>
        <v>0</v>
      </c>
      <c r="H538" s="5" t="n">
        <f aca="false">VA_base_426_data!B538</f>
        <v>1700</v>
      </c>
      <c r="I538" s="5" t="n">
        <f aca="false">IF(AND(E538=1,OR(C538=4,C538=5)),25*12.1/24/D538*1000,0)</f>
        <v>0</v>
      </c>
      <c r="J538" s="5" t="n">
        <f aca="false">VA_base_426_data!C538</f>
        <v>1700</v>
      </c>
      <c r="K538" s="5" t="n">
        <f aca="false">H538+I538-J538</f>
        <v>0</v>
      </c>
      <c r="L538" s="5" t="n">
        <f aca="false">MIN($W$7,J538+K538)</f>
        <v>1700</v>
      </c>
      <c r="M538" s="5" t="n">
        <f aca="false">VA_base_426_data!D538</f>
        <v>800</v>
      </c>
      <c r="N538" s="5" t="n">
        <f aca="false">IF(AND(C538=10,E538=1),$W$6,N537-P537)</f>
        <v>43</v>
      </c>
      <c r="O538" s="5" t="n">
        <f aca="false">IF(ABS(M538-L538)&gt;1,MIN(N538/((L538-M538)*24/12.1/1000),D538),D538)</f>
        <v>24.087962962963</v>
      </c>
      <c r="P538" s="5" t="n">
        <f aca="false">MIN(IF(AND(G538,E538),(L538-M538)*24/12.1*O538/1000,0),N538)</f>
        <v>0</v>
      </c>
      <c r="Q538" s="5" t="n">
        <f aca="false">IF(P538&gt;0,P538/O538*12.1/24*1000+M538,0)</f>
        <v>0</v>
      </c>
      <c r="R538" s="0" t="n">
        <f aca="false">IF(Q538&gt;0,TRUNC(O538),0)</f>
        <v>0</v>
      </c>
      <c r="S538" s="5" t="n">
        <f aca="false">(M538*(D538-R538)+(Q538*R538))/D538</f>
        <v>800</v>
      </c>
      <c r="T538" s="6" t="n">
        <f aca="false">(Q538-M538)*R538*24/12.1/1000</f>
        <v>-0</v>
      </c>
    </row>
    <row r="539" customFormat="false" ht="14.35" hidden="false" customHeight="false" outlineLevel="0" collapsed="false">
      <c r="A539" s="4" t="n">
        <v>24138</v>
      </c>
      <c r="B539" s="15" t="n">
        <f aca="false">IF(C539&lt;=9,YEAR(A539),YEAR(A539)+1)</f>
        <v>1966</v>
      </c>
      <c r="C539" s="15" t="n">
        <f aca="false">MONTH(A539)</f>
        <v>1</v>
      </c>
      <c r="D539" s="15" t="n">
        <f aca="false">DAY(A539)</f>
        <v>31</v>
      </c>
      <c r="E539" s="15" t="n">
        <f aca="false">VLOOKUP(B539,WYT!$A$2:$L$97,12)</f>
        <v>1</v>
      </c>
      <c r="F539" s="15" t="n">
        <f aca="false">IF(C539=$W$5,1,0)</f>
        <v>0</v>
      </c>
      <c r="G539" s="15" t="n">
        <f aca="false">IF(C539=10,0,IF(F539=1,1,G538))</f>
        <v>0</v>
      </c>
      <c r="H539" s="5" t="n">
        <f aca="false">VA_base_426_data!B539</f>
        <v>1700</v>
      </c>
      <c r="I539" s="5" t="n">
        <f aca="false">IF(AND(E539=1,OR(C539=4,C539=5)),25*12.1/24/D539*1000,0)</f>
        <v>0</v>
      </c>
      <c r="J539" s="5" t="n">
        <f aca="false">VA_base_426_data!C539</f>
        <v>1700</v>
      </c>
      <c r="K539" s="5" t="n">
        <f aca="false">H539+I539-J539</f>
        <v>0</v>
      </c>
      <c r="L539" s="5" t="n">
        <f aca="false">MIN($W$7,J539+K539)</f>
        <v>1700</v>
      </c>
      <c r="M539" s="5" t="n">
        <f aca="false">VA_base_426_data!D539</f>
        <v>800</v>
      </c>
      <c r="N539" s="5" t="n">
        <f aca="false">IF(AND(C539=10,E539=1),$W$6,N538-P538)</f>
        <v>43</v>
      </c>
      <c r="O539" s="5" t="n">
        <f aca="false">IF(ABS(M539-L539)&gt;1,MIN(N539/((L539-M539)*24/12.1/1000),D539),D539)</f>
        <v>24.087962962963</v>
      </c>
      <c r="P539" s="5" t="n">
        <f aca="false">MIN(IF(AND(G539,E539),(L539-M539)*24/12.1*O539/1000,0),N539)</f>
        <v>0</v>
      </c>
      <c r="Q539" s="5" t="n">
        <f aca="false">IF(P539&gt;0,P539/O539*12.1/24*1000+M539,0)</f>
        <v>0</v>
      </c>
      <c r="R539" s="0" t="n">
        <f aca="false">IF(Q539&gt;0,TRUNC(O539),0)</f>
        <v>0</v>
      </c>
      <c r="S539" s="5" t="n">
        <f aca="false">(M539*(D539-R539)+(Q539*R539))/D539</f>
        <v>800</v>
      </c>
      <c r="T539" s="6" t="n">
        <f aca="false">(Q539-M539)*R539*24/12.1/1000</f>
        <v>-0</v>
      </c>
    </row>
    <row r="540" customFormat="false" ht="14.35" hidden="false" customHeight="false" outlineLevel="0" collapsed="false">
      <c r="A540" s="4" t="n">
        <v>24166</v>
      </c>
      <c r="B540" s="15" t="n">
        <f aca="false">IF(C540&lt;=9,YEAR(A540),YEAR(A540)+1)</f>
        <v>1966</v>
      </c>
      <c r="C540" s="15" t="n">
        <f aca="false">MONTH(A540)</f>
        <v>2</v>
      </c>
      <c r="D540" s="15" t="n">
        <f aca="false">DAY(A540)</f>
        <v>28</v>
      </c>
      <c r="E540" s="15" t="n">
        <f aca="false">VLOOKUP(B540,WYT!$A$2:$L$97,12)</f>
        <v>1</v>
      </c>
      <c r="F540" s="15" t="n">
        <f aca="false">IF(C540=$W$5,1,0)</f>
        <v>1</v>
      </c>
      <c r="G540" s="15" t="n">
        <f aca="false">IF(C540=10,0,IF(F540=1,1,G539))</f>
        <v>1</v>
      </c>
      <c r="H540" s="5" t="n">
        <f aca="false">VA_base_426_data!B540</f>
        <v>1700</v>
      </c>
      <c r="I540" s="5" t="n">
        <f aca="false">IF(AND(E540=1,OR(C540=4,C540=5)),25*12.1/24/D540*1000,0)</f>
        <v>0</v>
      </c>
      <c r="J540" s="5" t="n">
        <f aca="false">VA_base_426_data!C540</f>
        <v>1700</v>
      </c>
      <c r="K540" s="5" t="n">
        <f aca="false">H540+I540-J540</f>
        <v>0</v>
      </c>
      <c r="L540" s="5" t="n">
        <f aca="false">MIN($W$7,J540+K540)</f>
        <v>1700</v>
      </c>
      <c r="M540" s="5" t="n">
        <f aca="false">VA_base_426_data!D540</f>
        <v>800</v>
      </c>
      <c r="N540" s="5" t="n">
        <f aca="false">IF(AND(C540=10,E540=1),$W$6,N539-P539)</f>
        <v>43</v>
      </c>
      <c r="O540" s="5" t="n">
        <f aca="false">IF(ABS(M540-L540)&gt;1,MIN(N540/((L540-M540)*24/12.1/1000),D540),D540)</f>
        <v>24.087962962963</v>
      </c>
      <c r="P540" s="5" t="n">
        <f aca="false">MIN(IF(AND(G540,E540),(L540-M540)*24/12.1*O540/1000,0),N540)</f>
        <v>43</v>
      </c>
      <c r="Q540" s="5" t="n">
        <f aca="false">IF(P540&gt;0,P540/O540*12.1/24*1000+M540,0)</f>
        <v>1700</v>
      </c>
      <c r="R540" s="0" t="n">
        <f aca="false">IF(Q540&gt;0,TRUNC(O540),0)</f>
        <v>24</v>
      </c>
      <c r="S540" s="5" t="n">
        <f aca="false">(M540*(D540-R540)+(Q540*R540))/D540</f>
        <v>1571.42857142857</v>
      </c>
      <c r="T540" s="6" t="n">
        <f aca="false">(Q540-M540)*R540*24/12.1/1000</f>
        <v>42.8429752066116</v>
      </c>
    </row>
    <row r="541" customFormat="false" ht="14.35" hidden="false" customHeight="false" outlineLevel="0" collapsed="false">
      <c r="A541" s="4" t="n">
        <v>24197</v>
      </c>
      <c r="B541" s="15" t="n">
        <f aca="false">IF(C541&lt;=9,YEAR(A541),YEAR(A541)+1)</f>
        <v>1966</v>
      </c>
      <c r="C541" s="15" t="n">
        <f aca="false">MONTH(A541)</f>
        <v>3</v>
      </c>
      <c r="D541" s="15" t="n">
        <f aca="false">DAY(A541)</f>
        <v>31</v>
      </c>
      <c r="E541" s="15" t="n">
        <f aca="false">VLOOKUP(B541,WYT!$A$2:$L$97,12)</f>
        <v>1</v>
      </c>
      <c r="F541" s="15" t="n">
        <f aca="false">IF(C541=$W$5,1,0)</f>
        <v>0</v>
      </c>
      <c r="G541" s="15" t="n">
        <f aca="false">IF(C541=10,0,IF(F541=1,1,G540))</f>
        <v>1</v>
      </c>
      <c r="H541" s="5" t="n">
        <f aca="false">VA_base_426_data!B541</f>
        <v>1700</v>
      </c>
      <c r="I541" s="5" t="n">
        <f aca="false">IF(AND(E541=1,OR(C541=4,C541=5)),25*12.1/24/D541*1000,0)</f>
        <v>0</v>
      </c>
      <c r="J541" s="5" t="n">
        <f aca="false">VA_base_426_data!C541</f>
        <v>1700</v>
      </c>
      <c r="K541" s="5" t="n">
        <f aca="false">H541+I541-J541</f>
        <v>0</v>
      </c>
      <c r="L541" s="5" t="n">
        <f aca="false">MIN($W$7,J541+K541)</f>
        <v>1700</v>
      </c>
      <c r="M541" s="5" t="n">
        <f aca="false">VA_base_426_data!D541</f>
        <v>800</v>
      </c>
      <c r="N541" s="5" t="n">
        <f aca="false">IF(AND(C541=10,E541=1),$W$6,N540-P540)</f>
        <v>0</v>
      </c>
      <c r="O541" s="5" t="n">
        <f aca="false">IF(ABS(M541-L541)&gt;1,MIN(N541/((L541-M541)*24/12.1/1000),D541),D541)</f>
        <v>0</v>
      </c>
      <c r="P541" s="5" t="n">
        <f aca="false">MIN(IF(AND(G541,E541),(L541-M541)*24/12.1*O541/1000,0),N541)</f>
        <v>0</v>
      </c>
      <c r="Q541" s="5" t="n">
        <f aca="false">IF(P541&gt;0,P541/O541*12.1/24*1000+M541,0)</f>
        <v>0</v>
      </c>
      <c r="R541" s="0" t="n">
        <f aca="false">IF(Q541&gt;0,TRUNC(O541),0)</f>
        <v>0</v>
      </c>
      <c r="S541" s="5" t="n">
        <f aca="false">(M541*(D541-R541)+(Q541*R541))/D541</f>
        <v>800</v>
      </c>
      <c r="T541" s="6" t="n">
        <f aca="false">(Q541-M541)*R541*24/12.1/1000</f>
        <v>-0</v>
      </c>
    </row>
    <row r="542" customFormat="false" ht="14.35" hidden="false" customHeight="false" outlineLevel="0" collapsed="false">
      <c r="A542" s="4" t="n">
        <v>24227</v>
      </c>
      <c r="B542" s="15" t="n">
        <f aca="false">IF(C542&lt;=9,YEAR(A542),YEAR(A542)+1)</f>
        <v>1966</v>
      </c>
      <c r="C542" s="15" t="n">
        <f aca="false">MONTH(A542)</f>
        <v>4</v>
      </c>
      <c r="D542" s="15" t="n">
        <f aca="false">DAY(A542)</f>
        <v>30</v>
      </c>
      <c r="E542" s="15" t="n">
        <f aca="false">VLOOKUP(B542,WYT!$A$2:$L$97,12)</f>
        <v>1</v>
      </c>
      <c r="F542" s="15" t="n">
        <f aca="false">IF(C542=$W$5,1,0)</f>
        <v>0</v>
      </c>
      <c r="G542" s="15" t="n">
        <f aca="false">IF(C542=10,0,IF(F542=1,1,G541))</f>
        <v>1</v>
      </c>
      <c r="H542" s="5" t="n">
        <f aca="false">VA_base_426_data!B542</f>
        <v>1000</v>
      </c>
      <c r="I542" s="5" t="n">
        <f aca="false">IF(AND(E542=1,OR(C542=4,C542=5)),25*12.1/24/D542*1000,0)</f>
        <v>420.138888888889</v>
      </c>
      <c r="J542" s="5" t="n">
        <f aca="false">VA_base_426_data!C542</f>
        <v>1000</v>
      </c>
      <c r="K542" s="5" t="n">
        <f aca="false">H542+I542-J542</f>
        <v>420.138888888889</v>
      </c>
      <c r="L542" s="5" t="n">
        <f aca="false">MIN($W$7,J542+K542)</f>
        <v>1420.13888888889</v>
      </c>
      <c r="M542" s="5" t="n">
        <f aca="false">VA_base_426_data!D542</f>
        <v>700</v>
      </c>
      <c r="N542" s="5" t="n">
        <f aca="false">IF(AND(C542=10,E542=1),$W$6,N541-P541)</f>
        <v>0</v>
      </c>
      <c r="O542" s="5" t="n">
        <f aca="false">IF(ABS(M542-L542)&gt;1,MIN(N542/((L542-M542)*24/12.1/1000),D542),D542)</f>
        <v>0</v>
      </c>
      <c r="P542" s="5" t="n">
        <f aca="false">MIN(IF(AND(G542,E542),(L542-M542)*24/12.1*O542/1000,0),N542)</f>
        <v>0</v>
      </c>
      <c r="Q542" s="5" t="n">
        <f aca="false">IF(P542&gt;0,P542/O542*12.1/24*1000+M542,0)</f>
        <v>0</v>
      </c>
      <c r="R542" s="0" t="n">
        <f aca="false">IF(Q542&gt;0,TRUNC(O542),0)</f>
        <v>0</v>
      </c>
      <c r="S542" s="5" t="n">
        <f aca="false">(M542*(D542-R542)+(Q542*R542))/D542</f>
        <v>700</v>
      </c>
      <c r="T542" s="6" t="n">
        <f aca="false">(Q542-M542)*R542*24/12.1/1000</f>
        <v>-0</v>
      </c>
    </row>
    <row r="543" customFormat="false" ht="14.35" hidden="false" customHeight="false" outlineLevel="0" collapsed="false">
      <c r="A543" s="4" t="n">
        <v>24258</v>
      </c>
      <c r="B543" s="15" t="n">
        <f aca="false">IF(C543&lt;=9,YEAR(A543),YEAR(A543)+1)</f>
        <v>1966</v>
      </c>
      <c r="C543" s="15" t="n">
        <f aca="false">MONTH(A543)</f>
        <v>5</v>
      </c>
      <c r="D543" s="15" t="n">
        <f aca="false">DAY(A543)</f>
        <v>31</v>
      </c>
      <c r="E543" s="15" t="n">
        <f aca="false">VLOOKUP(B543,WYT!$A$2:$L$97,12)</f>
        <v>1</v>
      </c>
      <c r="F543" s="15" t="n">
        <f aca="false">IF(C543=$W$5,1,0)</f>
        <v>0</v>
      </c>
      <c r="G543" s="15" t="n">
        <f aca="false">IF(C543=10,0,IF(F543=1,1,G542))</f>
        <v>1</v>
      </c>
      <c r="H543" s="5" t="n">
        <f aca="false">VA_base_426_data!B543</f>
        <v>1000.00000000003</v>
      </c>
      <c r="I543" s="5" t="n">
        <f aca="false">IF(AND(E543=1,OR(C543=4,C543=5)),25*12.1/24/D543*1000,0)</f>
        <v>406.586021505376</v>
      </c>
      <c r="J543" s="5" t="n">
        <f aca="false">VA_base_426_data!C543</f>
        <v>1000</v>
      </c>
      <c r="K543" s="5" t="n">
        <f aca="false">H543+I543-J543</f>
        <v>406.586021505405</v>
      </c>
      <c r="L543" s="5" t="n">
        <f aca="false">MIN($W$7,J543+K543)</f>
        <v>1406.5860215054</v>
      </c>
      <c r="M543" s="5" t="n">
        <f aca="false">VA_base_426_data!D543</f>
        <v>700</v>
      </c>
      <c r="N543" s="5" t="n">
        <f aca="false">IF(AND(C543=10,E543=1),$W$6,N542-P542)</f>
        <v>0</v>
      </c>
      <c r="O543" s="5" t="n">
        <f aca="false">IF(ABS(M543-L543)&gt;1,MIN(N543/((L543-M543)*24/12.1/1000),D543),D543)</f>
        <v>0</v>
      </c>
      <c r="P543" s="5" t="n">
        <f aca="false">MIN(IF(AND(G543,E543),(L543-M543)*24/12.1*O543/1000,0),N543)</f>
        <v>0</v>
      </c>
      <c r="Q543" s="5" t="n">
        <f aca="false">IF(P543&gt;0,P543/O543*12.1/24*1000+M543,0)</f>
        <v>0</v>
      </c>
      <c r="R543" s="0" t="n">
        <f aca="false">IF(Q543&gt;0,TRUNC(O543),0)</f>
        <v>0</v>
      </c>
      <c r="S543" s="5" t="n">
        <f aca="false">(M543*(D543-R543)+(Q543*R543))/D543</f>
        <v>700</v>
      </c>
      <c r="T543" s="6" t="n">
        <f aca="false">(Q543-M543)*R543*24/12.1/1000</f>
        <v>-0</v>
      </c>
    </row>
    <row r="544" customFormat="false" ht="14.35" hidden="false" customHeight="false" outlineLevel="0" collapsed="false">
      <c r="A544" s="4" t="n">
        <v>24288</v>
      </c>
      <c r="B544" s="15" t="n">
        <f aca="false">IF(C544&lt;=9,YEAR(A544),YEAR(A544)+1)</f>
        <v>1966</v>
      </c>
      <c r="C544" s="15" t="n">
        <f aca="false">MONTH(A544)</f>
        <v>6</v>
      </c>
      <c r="D544" s="15" t="n">
        <f aca="false">DAY(A544)</f>
        <v>30</v>
      </c>
      <c r="E544" s="15" t="n">
        <f aca="false">VLOOKUP(B544,WYT!$A$2:$L$97,12)</f>
        <v>1</v>
      </c>
      <c r="F544" s="15" t="n">
        <f aca="false">IF(C544=$W$5,1,0)</f>
        <v>0</v>
      </c>
      <c r="G544" s="15" t="n">
        <f aca="false">IF(C544=10,0,IF(F544=1,1,G543))</f>
        <v>1</v>
      </c>
      <c r="H544" s="5" t="n">
        <f aca="false">VA_base_426_data!B544</f>
        <v>3835.40297739571</v>
      </c>
      <c r="I544" s="5" t="n">
        <f aca="false">IF(AND(E544=1,OR(C544=4,C544=5)),25*12.1/24/D544*1000,0)</f>
        <v>0</v>
      </c>
      <c r="J544" s="5" t="n">
        <f aca="false">VA_base_426_data!C544</f>
        <v>1000</v>
      </c>
      <c r="K544" s="5" t="n">
        <f aca="false">H544+I544-J544</f>
        <v>2835.40297739571</v>
      </c>
      <c r="L544" s="5" t="n">
        <f aca="false">MIN($W$7,J544+K544)</f>
        <v>2000</v>
      </c>
      <c r="M544" s="5" t="n">
        <f aca="false">VA_base_426_data!D544</f>
        <v>700</v>
      </c>
      <c r="N544" s="5" t="n">
        <f aca="false">IF(AND(C544=10,E544=1),$W$6,N543-P543)</f>
        <v>0</v>
      </c>
      <c r="O544" s="5" t="n">
        <f aca="false">IF(ABS(M544-L544)&gt;1,MIN(N544/((L544-M544)*24/12.1/1000),D544),D544)</f>
        <v>0</v>
      </c>
      <c r="P544" s="5" t="n">
        <f aca="false">MIN(IF(AND(G544,E544),(L544-M544)*24/12.1*O544/1000,0),N544)</f>
        <v>0</v>
      </c>
      <c r="Q544" s="5" t="n">
        <f aca="false">IF(P544&gt;0,P544/O544*12.1/24*1000+M544,0)</f>
        <v>0</v>
      </c>
      <c r="R544" s="0" t="n">
        <f aca="false">IF(Q544&gt;0,TRUNC(O544),0)</f>
        <v>0</v>
      </c>
      <c r="S544" s="5" t="n">
        <f aca="false">(M544*(D544-R544)+(Q544*R544))/D544</f>
        <v>700</v>
      </c>
      <c r="T544" s="6" t="n">
        <f aca="false">(Q544-M544)*R544*24/12.1/1000</f>
        <v>-0</v>
      </c>
    </row>
    <row r="545" customFormat="false" ht="14.35" hidden="false" customHeight="false" outlineLevel="0" collapsed="false">
      <c r="A545" s="4" t="n">
        <v>24319</v>
      </c>
      <c r="B545" s="15" t="n">
        <f aca="false">IF(C545&lt;=9,YEAR(A545),YEAR(A545)+1)</f>
        <v>1966</v>
      </c>
      <c r="C545" s="15" t="n">
        <f aca="false">MONTH(A545)</f>
        <v>7</v>
      </c>
      <c r="D545" s="15" t="n">
        <f aca="false">DAY(A545)</f>
        <v>31</v>
      </c>
      <c r="E545" s="15" t="n">
        <f aca="false">VLOOKUP(B545,WYT!$A$2:$L$97,12)</f>
        <v>1</v>
      </c>
      <c r="F545" s="15" t="n">
        <f aca="false">IF(C545=$W$5,1,0)</f>
        <v>0</v>
      </c>
      <c r="G545" s="15" t="n">
        <f aca="false">IF(C545=10,0,IF(F545=1,1,G544))</f>
        <v>1</v>
      </c>
      <c r="H545" s="5" t="n">
        <f aca="false">VA_base_426_data!B545</f>
        <v>10000</v>
      </c>
      <c r="I545" s="5" t="n">
        <f aca="false">IF(AND(E545=1,OR(C545=4,C545=5)),25*12.1/24/D545*1000,0)</f>
        <v>0</v>
      </c>
      <c r="J545" s="5" t="n">
        <f aca="false">VA_base_426_data!C545</f>
        <v>1000</v>
      </c>
      <c r="K545" s="5" t="n">
        <f aca="false">H545+I545-J545</f>
        <v>9000</v>
      </c>
      <c r="L545" s="5" t="n">
        <f aca="false">MIN($W$7,J545+K545)</f>
        <v>2000</v>
      </c>
      <c r="M545" s="5" t="n">
        <f aca="false">VA_base_426_data!D545</f>
        <v>700</v>
      </c>
      <c r="N545" s="5" t="n">
        <f aca="false">IF(AND(C545=10,E545=1),$W$6,N544-P544)</f>
        <v>0</v>
      </c>
      <c r="O545" s="5" t="n">
        <f aca="false">IF(ABS(M545-L545)&gt;1,MIN(N545/((L545-M545)*24/12.1/1000),D545),D545)</f>
        <v>0</v>
      </c>
      <c r="P545" s="5" t="n">
        <f aca="false">MIN(IF(AND(G545,E545),(L545-M545)*24/12.1*O545/1000,0),N545)</f>
        <v>0</v>
      </c>
      <c r="Q545" s="5" t="n">
        <f aca="false">IF(P545&gt;0,P545/O545*12.1/24*1000+M545,0)</f>
        <v>0</v>
      </c>
      <c r="R545" s="0" t="n">
        <f aca="false">IF(Q545&gt;0,TRUNC(O545),0)</f>
        <v>0</v>
      </c>
      <c r="S545" s="5" t="n">
        <f aca="false">(M545*(D545-R545)+(Q545*R545))/D545</f>
        <v>700</v>
      </c>
      <c r="T545" s="6" t="n">
        <f aca="false">(Q545-M545)*R545*24/12.1/1000</f>
        <v>-0</v>
      </c>
    </row>
    <row r="546" customFormat="false" ht="14.35" hidden="false" customHeight="false" outlineLevel="0" collapsed="false">
      <c r="A546" s="4" t="n">
        <v>24350</v>
      </c>
      <c r="B546" s="15" t="n">
        <f aca="false">IF(C546&lt;=9,YEAR(A546),YEAR(A546)+1)</f>
        <v>1966</v>
      </c>
      <c r="C546" s="15" t="n">
        <f aca="false">MONTH(A546)</f>
        <v>8</v>
      </c>
      <c r="D546" s="15" t="n">
        <f aca="false">DAY(A546)</f>
        <v>31</v>
      </c>
      <c r="E546" s="15" t="n">
        <f aca="false">VLOOKUP(B546,WYT!$A$2:$L$97,12)</f>
        <v>1</v>
      </c>
      <c r="F546" s="15" t="n">
        <f aca="false">IF(C546=$W$5,1,0)</f>
        <v>0</v>
      </c>
      <c r="G546" s="15" t="n">
        <f aca="false">IF(C546=10,0,IF(F546=1,1,G545))</f>
        <v>1</v>
      </c>
      <c r="H546" s="5" t="n">
        <f aca="false">VA_base_426_data!B546</f>
        <v>8070.51797862552</v>
      </c>
      <c r="I546" s="5" t="n">
        <f aca="false">IF(AND(E546=1,OR(C546=4,C546=5)),25*12.1/24/D546*1000,0)</f>
        <v>0</v>
      </c>
      <c r="J546" s="5" t="n">
        <f aca="false">VA_base_426_data!C546</f>
        <v>1000</v>
      </c>
      <c r="K546" s="5" t="n">
        <f aca="false">H546+I546-J546</f>
        <v>7070.51797862552</v>
      </c>
      <c r="L546" s="5" t="n">
        <f aca="false">MIN($W$7,J546+K546)</f>
        <v>2000</v>
      </c>
      <c r="M546" s="5" t="n">
        <f aca="false">VA_base_426_data!D546</f>
        <v>700</v>
      </c>
      <c r="N546" s="5" t="n">
        <f aca="false">IF(AND(C546=10,E546=1),$W$6,N545-P545)</f>
        <v>0</v>
      </c>
      <c r="O546" s="5" t="n">
        <f aca="false">IF(ABS(M546-L546)&gt;1,MIN(N546/((L546-M546)*24/12.1/1000),D546),D546)</f>
        <v>0</v>
      </c>
      <c r="P546" s="5" t="n">
        <f aca="false">MIN(IF(AND(G546,E546),(L546-M546)*24/12.1*O546/1000,0),N546)</f>
        <v>0</v>
      </c>
      <c r="Q546" s="5" t="n">
        <f aca="false">IF(P546&gt;0,P546/O546*12.1/24*1000+M546,0)</f>
        <v>0</v>
      </c>
      <c r="R546" s="0" t="n">
        <f aca="false">IF(Q546&gt;0,TRUNC(O546),0)</f>
        <v>0</v>
      </c>
      <c r="S546" s="5" t="n">
        <f aca="false">(M546*(D546-R546)+(Q546*R546))/D546</f>
        <v>700</v>
      </c>
      <c r="T546" s="6" t="n">
        <f aca="false">(Q546-M546)*R546*24/12.1/1000</f>
        <v>-0</v>
      </c>
    </row>
    <row r="547" customFormat="false" ht="14.35" hidden="false" customHeight="false" outlineLevel="0" collapsed="false">
      <c r="A547" s="4" t="n">
        <v>24380</v>
      </c>
      <c r="B547" s="15" t="n">
        <f aca="false">IF(C547&lt;=9,YEAR(A547),YEAR(A547)+1)</f>
        <v>1966</v>
      </c>
      <c r="C547" s="15" t="n">
        <f aca="false">MONTH(A547)</f>
        <v>9</v>
      </c>
      <c r="D547" s="15" t="n">
        <f aca="false">DAY(A547)</f>
        <v>30</v>
      </c>
      <c r="E547" s="15" t="n">
        <f aca="false">VLOOKUP(B547,WYT!$A$2:$L$97,12)</f>
        <v>1</v>
      </c>
      <c r="F547" s="15" t="n">
        <f aca="false">IF(C547=$W$5,1,0)</f>
        <v>0</v>
      </c>
      <c r="G547" s="15" t="n">
        <f aca="false">IF(C547=10,0,IF(F547=1,1,G546))</f>
        <v>1</v>
      </c>
      <c r="H547" s="5" t="n">
        <f aca="false">VA_base_426_data!B547</f>
        <v>1092.03164760903</v>
      </c>
      <c r="I547" s="5" t="n">
        <f aca="false">IF(AND(E547=1,OR(C547=4,C547=5)),25*12.1/24/D547*1000,0)</f>
        <v>0</v>
      </c>
      <c r="J547" s="5" t="n">
        <f aca="false">VA_base_426_data!C547</f>
        <v>1000</v>
      </c>
      <c r="K547" s="5" t="n">
        <f aca="false">H547+I547-J547</f>
        <v>92.0316476090297</v>
      </c>
      <c r="L547" s="5" t="n">
        <f aca="false">MIN($W$7,J547+K547)</f>
        <v>1092.03164760903</v>
      </c>
      <c r="M547" s="5" t="n">
        <f aca="false">VA_base_426_data!D547</f>
        <v>773.3333333</v>
      </c>
      <c r="N547" s="5" t="n">
        <f aca="false">IF(AND(C547=10,E547=1),$W$6,N546-P546)</f>
        <v>0</v>
      </c>
      <c r="O547" s="5" t="n">
        <f aca="false">IF(ABS(M547-L547)&gt;1,MIN(N547/((L547-M547)*24/12.1/1000),D547),D547)</f>
        <v>0</v>
      </c>
      <c r="P547" s="5" t="n">
        <f aca="false">MIN(IF(AND(G547,E547),(L547-M547)*24/12.1*O547/1000,0),N547)</f>
        <v>0</v>
      </c>
      <c r="Q547" s="5" t="n">
        <f aca="false">IF(P547&gt;0,P547/O547*12.1/24*1000+M547,0)</f>
        <v>0</v>
      </c>
      <c r="R547" s="0" t="n">
        <f aca="false">IF(Q547&gt;0,TRUNC(O547),0)</f>
        <v>0</v>
      </c>
      <c r="S547" s="5" t="n">
        <f aca="false">(M547*(D547-R547)+(Q547*R547))/D547</f>
        <v>773.3333333</v>
      </c>
      <c r="T547" s="6" t="n">
        <f aca="false">(Q547-M547)*R547*24/12.1/1000</f>
        <v>-0</v>
      </c>
    </row>
    <row r="548" customFormat="false" ht="14.35" hidden="false" customHeight="false" outlineLevel="0" collapsed="false">
      <c r="A548" s="4" t="n">
        <v>24411</v>
      </c>
      <c r="B548" s="15" t="n">
        <f aca="false">IF(C548&lt;=9,YEAR(A548),YEAR(A548)+1)</f>
        <v>1967</v>
      </c>
      <c r="C548" s="15" t="n">
        <f aca="false">MONTH(A548)</f>
        <v>10</v>
      </c>
      <c r="D548" s="15" t="n">
        <f aca="false">DAY(A548)</f>
        <v>31</v>
      </c>
      <c r="E548" s="15" t="n">
        <f aca="false">VLOOKUP(B548,WYT!$A$2:$L$97,12)</f>
        <v>0</v>
      </c>
      <c r="F548" s="15" t="n">
        <f aca="false">IF(C548=$W$5,1,0)</f>
        <v>0</v>
      </c>
      <c r="G548" s="15" t="n">
        <f aca="false">IF(C548=10,0,IF(F548=1,1,G547))</f>
        <v>0</v>
      </c>
      <c r="H548" s="5" t="n">
        <f aca="false">VA_base_426_data!B548</f>
        <v>1700.00000000001</v>
      </c>
      <c r="I548" s="5" t="n">
        <f aca="false">IF(AND(E548=1,OR(C548=4,C548=5)),25*12.1/24/D548*1000,0)</f>
        <v>0</v>
      </c>
      <c r="J548" s="5" t="n">
        <f aca="false">VA_base_426_data!C548</f>
        <v>1700</v>
      </c>
      <c r="K548" s="5" t="n">
        <f aca="false">H548+I548-J548</f>
        <v>7.73070496506989E-012</v>
      </c>
      <c r="L548" s="5" t="n">
        <f aca="false">MIN($W$7,J548+K548)</f>
        <v>1700.00000000001</v>
      </c>
      <c r="M548" s="5" t="n">
        <f aca="false">VA_base_426_data!D548</f>
        <v>800</v>
      </c>
      <c r="N548" s="5" t="n">
        <f aca="false">IF(AND(C548=10,E548=1),$W$6,N547-P547)</f>
        <v>0</v>
      </c>
      <c r="O548" s="5" t="n">
        <f aca="false">IF(ABS(M548-L548)&gt;1,MIN(N548/((L548-M548)*24/12.1/1000),D548),D548)</f>
        <v>0</v>
      </c>
      <c r="P548" s="5" t="n">
        <f aca="false">MIN(IF(AND(G548,E548),(L548-M548)*24/12.1*O548/1000,0),N548)</f>
        <v>0</v>
      </c>
      <c r="Q548" s="5" t="n">
        <f aca="false">IF(P548&gt;0,P548/O548*12.1/24*1000+M548,0)</f>
        <v>0</v>
      </c>
      <c r="R548" s="0" t="n">
        <f aca="false">IF(Q548&gt;0,TRUNC(O548),0)</f>
        <v>0</v>
      </c>
      <c r="S548" s="5" t="n">
        <f aca="false">(M548*(D548-R548)+(Q548*R548))/D548</f>
        <v>800</v>
      </c>
      <c r="T548" s="6" t="n">
        <f aca="false">(Q548-M548)*R548*24/12.1/1000</f>
        <v>-0</v>
      </c>
    </row>
    <row r="549" customFormat="false" ht="14.35" hidden="false" customHeight="false" outlineLevel="0" collapsed="false">
      <c r="A549" s="4" t="n">
        <v>24441</v>
      </c>
      <c r="B549" s="15" t="n">
        <f aca="false">IF(C549&lt;=9,YEAR(A549),YEAR(A549)+1)</f>
        <v>1967</v>
      </c>
      <c r="C549" s="15" t="n">
        <f aca="false">MONTH(A549)</f>
        <v>11</v>
      </c>
      <c r="D549" s="15" t="n">
        <f aca="false">DAY(A549)</f>
        <v>30</v>
      </c>
      <c r="E549" s="15" t="n">
        <f aca="false">VLOOKUP(B549,WYT!$A$2:$L$97,12)</f>
        <v>0</v>
      </c>
      <c r="F549" s="15" t="n">
        <f aca="false">IF(C549=$W$5,1,0)</f>
        <v>0</v>
      </c>
      <c r="G549" s="15" t="n">
        <f aca="false">IF(C549=10,0,IF(F549=1,1,G548))</f>
        <v>0</v>
      </c>
      <c r="H549" s="5" t="n">
        <f aca="false">VA_base_426_data!B549</f>
        <v>1700</v>
      </c>
      <c r="I549" s="5" t="n">
        <f aca="false">IF(AND(E549=1,OR(C549=4,C549=5)),25*12.1/24/D549*1000,0)</f>
        <v>0</v>
      </c>
      <c r="J549" s="5" t="n">
        <f aca="false">VA_base_426_data!C549</f>
        <v>1700</v>
      </c>
      <c r="K549" s="5" t="n">
        <f aca="false">H549+I549-J549</f>
        <v>0</v>
      </c>
      <c r="L549" s="5" t="n">
        <f aca="false">MIN($W$7,J549+K549)</f>
        <v>1700</v>
      </c>
      <c r="M549" s="5" t="n">
        <f aca="false">VA_base_426_data!D549</f>
        <v>800</v>
      </c>
      <c r="N549" s="5" t="n">
        <f aca="false">IF(AND(C549=10,E549=1),$W$6,N548-P548)</f>
        <v>0</v>
      </c>
      <c r="O549" s="5" t="n">
        <f aca="false">IF(ABS(M549-L549)&gt;1,MIN(N549/((L549-M549)*24/12.1/1000),D549),D549)</f>
        <v>0</v>
      </c>
      <c r="P549" s="5" t="n">
        <f aca="false">MIN(IF(AND(G549,E549),(L549-M549)*24/12.1*O549/1000,0),N549)</f>
        <v>0</v>
      </c>
      <c r="Q549" s="5" t="n">
        <f aca="false">IF(P549&gt;0,P549/O549*12.1/24*1000+M549,0)</f>
        <v>0</v>
      </c>
      <c r="R549" s="0" t="n">
        <f aca="false">IF(Q549&gt;0,TRUNC(O549),0)</f>
        <v>0</v>
      </c>
      <c r="S549" s="5" t="n">
        <f aca="false">(M549*(D549-R549)+(Q549*R549))/D549</f>
        <v>800</v>
      </c>
      <c r="T549" s="6" t="n">
        <f aca="false">(Q549-M549)*R549*24/12.1/1000</f>
        <v>-0</v>
      </c>
    </row>
    <row r="550" customFormat="false" ht="14.35" hidden="false" customHeight="false" outlineLevel="0" collapsed="false">
      <c r="A550" s="4" t="n">
        <v>24472</v>
      </c>
      <c r="B550" s="15" t="n">
        <f aca="false">IF(C550&lt;=9,YEAR(A550),YEAR(A550)+1)</f>
        <v>1967</v>
      </c>
      <c r="C550" s="15" t="n">
        <f aca="false">MONTH(A550)</f>
        <v>12</v>
      </c>
      <c r="D550" s="15" t="n">
        <f aca="false">DAY(A550)</f>
        <v>31</v>
      </c>
      <c r="E550" s="15" t="n">
        <f aca="false">VLOOKUP(B550,WYT!$A$2:$L$97,12)</f>
        <v>0</v>
      </c>
      <c r="F550" s="15" t="n">
        <f aca="false">IF(C550=$W$5,1,0)</f>
        <v>0</v>
      </c>
      <c r="G550" s="15" t="n">
        <f aca="false">IF(C550=10,0,IF(F550=1,1,G549))</f>
        <v>0</v>
      </c>
      <c r="H550" s="5" t="n">
        <f aca="false">VA_base_426_data!B550</f>
        <v>1700</v>
      </c>
      <c r="I550" s="5" t="n">
        <f aca="false">IF(AND(E550=1,OR(C550=4,C550=5)),25*12.1/24/D550*1000,0)</f>
        <v>0</v>
      </c>
      <c r="J550" s="5" t="n">
        <f aca="false">VA_base_426_data!C550</f>
        <v>1700</v>
      </c>
      <c r="K550" s="5" t="n">
        <f aca="false">H550+I550-J550</f>
        <v>0</v>
      </c>
      <c r="L550" s="5" t="n">
        <f aca="false">MIN($W$7,J550+K550)</f>
        <v>1700</v>
      </c>
      <c r="M550" s="5" t="n">
        <f aca="false">VA_base_426_data!D550</f>
        <v>800</v>
      </c>
      <c r="N550" s="5" t="n">
        <f aca="false">IF(AND(C550=10,E550=1),$W$6,N549-P549)</f>
        <v>0</v>
      </c>
      <c r="O550" s="5" t="n">
        <f aca="false">IF(ABS(M550-L550)&gt;1,MIN(N550/((L550-M550)*24/12.1/1000),D550),D550)</f>
        <v>0</v>
      </c>
      <c r="P550" s="5" t="n">
        <f aca="false">MIN(IF(AND(G550,E550),(L550-M550)*24/12.1*O550/1000,0),N550)</f>
        <v>0</v>
      </c>
      <c r="Q550" s="5" t="n">
        <f aca="false">IF(P550&gt;0,P550/O550*12.1/24*1000+M550,0)</f>
        <v>0</v>
      </c>
      <c r="R550" s="0" t="n">
        <f aca="false">IF(Q550&gt;0,TRUNC(O550),0)</f>
        <v>0</v>
      </c>
      <c r="S550" s="5" t="n">
        <f aca="false">(M550*(D550-R550)+(Q550*R550))/D550</f>
        <v>800</v>
      </c>
      <c r="T550" s="6" t="n">
        <f aca="false">(Q550-M550)*R550*24/12.1/1000</f>
        <v>-0</v>
      </c>
    </row>
    <row r="551" customFormat="false" ht="14.35" hidden="false" customHeight="false" outlineLevel="0" collapsed="false">
      <c r="A551" s="4" t="n">
        <v>24503</v>
      </c>
      <c r="B551" s="15" t="n">
        <f aca="false">IF(C551&lt;=9,YEAR(A551),YEAR(A551)+1)</f>
        <v>1967</v>
      </c>
      <c r="C551" s="15" t="n">
        <f aca="false">MONTH(A551)</f>
        <v>1</v>
      </c>
      <c r="D551" s="15" t="n">
        <f aca="false">DAY(A551)</f>
        <v>31</v>
      </c>
      <c r="E551" s="15" t="n">
        <f aca="false">VLOOKUP(B551,WYT!$A$2:$L$97,12)</f>
        <v>0</v>
      </c>
      <c r="F551" s="15" t="n">
        <f aca="false">IF(C551=$W$5,1,0)</f>
        <v>0</v>
      </c>
      <c r="G551" s="15" t="n">
        <f aca="false">IF(C551=10,0,IF(F551=1,1,G550))</f>
        <v>0</v>
      </c>
      <c r="H551" s="5" t="n">
        <f aca="false">VA_base_426_data!B551</f>
        <v>1700</v>
      </c>
      <c r="I551" s="5" t="n">
        <f aca="false">IF(AND(E551=1,OR(C551=4,C551=5)),25*12.1/24/D551*1000,0)</f>
        <v>0</v>
      </c>
      <c r="J551" s="5" t="n">
        <f aca="false">VA_base_426_data!C551</f>
        <v>1700</v>
      </c>
      <c r="K551" s="5" t="n">
        <f aca="false">H551+I551-J551</f>
        <v>0</v>
      </c>
      <c r="L551" s="5" t="n">
        <f aca="false">MIN($W$7,J551+K551)</f>
        <v>1700</v>
      </c>
      <c r="M551" s="5" t="n">
        <f aca="false">VA_base_426_data!D551</f>
        <v>800</v>
      </c>
      <c r="N551" s="5" t="n">
        <f aca="false">IF(AND(C551=10,E551=1),$W$6,N550-P550)</f>
        <v>0</v>
      </c>
      <c r="O551" s="5" t="n">
        <f aca="false">IF(ABS(M551-L551)&gt;1,MIN(N551/((L551-M551)*24/12.1/1000),D551),D551)</f>
        <v>0</v>
      </c>
      <c r="P551" s="5" t="n">
        <f aca="false">MIN(IF(AND(G551,E551),(L551-M551)*24/12.1*O551/1000,0),N551)</f>
        <v>0</v>
      </c>
      <c r="Q551" s="5" t="n">
        <f aca="false">IF(P551&gt;0,P551/O551*12.1/24*1000+M551,0)</f>
        <v>0</v>
      </c>
      <c r="R551" s="0" t="n">
        <f aca="false">IF(Q551&gt;0,TRUNC(O551),0)</f>
        <v>0</v>
      </c>
      <c r="S551" s="5" t="n">
        <f aca="false">(M551*(D551-R551)+(Q551*R551))/D551</f>
        <v>800</v>
      </c>
      <c r="T551" s="6" t="n">
        <f aca="false">(Q551-M551)*R551*24/12.1/1000</f>
        <v>-0</v>
      </c>
    </row>
    <row r="552" customFormat="false" ht="14.35" hidden="false" customHeight="false" outlineLevel="0" collapsed="false">
      <c r="A552" s="4" t="n">
        <v>24531</v>
      </c>
      <c r="B552" s="15" t="n">
        <f aca="false">IF(C552&lt;=9,YEAR(A552),YEAR(A552)+1)</f>
        <v>1967</v>
      </c>
      <c r="C552" s="15" t="n">
        <f aca="false">MONTH(A552)</f>
        <v>2</v>
      </c>
      <c r="D552" s="15" t="n">
        <f aca="false">DAY(A552)</f>
        <v>28</v>
      </c>
      <c r="E552" s="15" t="n">
        <f aca="false">VLOOKUP(B552,WYT!$A$2:$L$97,12)</f>
        <v>0</v>
      </c>
      <c r="F552" s="15" t="n">
        <f aca="false">IF(C552=$W$5,1,0)</f>
        <v>1</v>
      </c>
      <c r="G552" s="15" t="n">
        <f aca="false">IF(C552=10,0,IF(F552=1,1,G551))</f>
        <v>1</v>
      </c>
      <c r="H552" s="5" t="n">
        <f aca="false">VA_base_426_data!B552</f>
        <v>1700</v>
      </c>
      <c r="I552" s="5" t="n">
        <f aca="false">IF(AND(E552=1,OR(C552=4,C552=5)),25*12.1/24/D552*1000,0)</f>
        <v>0</v>
      </c>
      <c r="J552" s="5" t="n">
        <f aca="false">VA_base_426_data!C552</f>
        <v>1700</v>
      </c>
      <c r="K552" s="5" t="n">
        <f aca="false">H552+I552-J552</f>
        <v>0</v>
      </c>
      <c r="L552" s="5" t="n">
        <f aca="false">MIN($W$7,J552+K552)</f>
        <v>1700</v>
      </c>
      <c r="M552" s="5" t="n">
        <f aca="false">VA_base_426_data!D552</f>
        <v>800</v>
      </c>
      <c r="N552" s="5" t="n">
        <f aca="false">IF(AND(C552=10,E552=1),$W$6,N551-P551)</f>
        <v>0</v>
      </c>
      <c r="O552" s="5" t="n">
        <f aca="false">IF(ABS(M552-L552)&gt;1,MIN(N552/((L552-M552)*24/12.1/1000),D552),D552)</f>
        <v>0</v>
      </c>
      <c r="P552" s="5" t="n">
        <f aca="false">MIN(IF(AND(G552,E552),(L552-M552)*24/12.1*O552/1000,0),N552)</f>
        <v>0</v>
      </c>
      <c r="Q552" s="5" t="n">
        <f aca="false">IF(P552&gt;0,P552/O552*12.1/24*1000+M552,0)</f>
        <v>0</v>
      </c>
      <c r="R552" s="0" t="n">
        <f aca="false">IF(Q552&gt;0,TRUNC(O552),0)</f>
        <v>0</v>
      </c>
      <c r="S552" s="5" t="n">
        <f aca="false">(M552*(D552-R552)+(Q552*R552))/D552</f>
        <v>800</v>
      </c>
      <c r="T552" s="6" t="n">
        <f aca="false">(Q552-M552)*R552*24/12.1/1000</f>
        <v>-0</v>
      </c>
    </row>
    <row r="553" customFormat="false" ht="14.35" hidden="false" customHeight="false" outlineLevel="0" collapsed="false">
      <c r="A553" s="4" t="n">
        <v>24562</v>
      </c>
      <c r="B553" s="15" t="n">
        <f aca="false">IF(C553&lt;=9,YEAR(A553),YEAR(A553)+1)</f>
        <v>1967</v>
      </c>
      <c r="C553" s="15" t="n">
        <f aca="false">MONTH(A553)</f>
        <v>3</v>
      </c>
      <c r="D553" s="15" t="n">
        <f aca="false">DAY(A553)</f>
        <v>31</v>
      </c>
      <c r="E553" s="15" t="n">
        <f aca="false">VLOOKUP(B553,WYT!$A$2:$L$97,12)</f>
        <v>0</v>
      </c>
      <c r="F553" s="15" t="n">
        <f aca="false">IF(C553=$W$5,1,0)</f>
        <v>0</v>
      </c>
      <c r="G553" s="15" t="n">
        <f aca="false">IF(C553=10,0,IF(F553=1,1,G552))</f>
        <v>1</v>
      </c>
      <c r="H553" s="5" t="n">
        <f aca="false">VA_base_426_data!B553</f>
        <v>9943.60934595606</v>
      </c>
      <c r="I553" s="5" t="n">
        <f aca="false">IF(AND(E553=1,OR(C553=4,C553=5)),25*12.1/24/D553*1000,0)</f>
        <v>0</v>
      </c>
      <c r="J553" s="5" t="n">
        <f aca="false">VA_base_426_data!C553</f>
        <v>1700</v>
      </c>
      <c r="K553" s="5" t="n">
        <f aca="false">H553+I553-J553</f>
        <v>8243.60934595606</v>
      </c>
      <c r="L553" s="5" t="n">
        <f aca="false">MIN($W$7,J553+K553)</f>
        <v>2000</v>
      </c>
      <c r="M553" s="5" t="n">
        <f aca="false">VA_base_426_data!D553</f>
        <v>800</v>
      </c>
      <c r="N553" s="5" t="n">
        <f aca="false">IF(AND(C553=10,E553=1),$W$6,N552-P552)</f>
        <v>0</v>
      </c>
      <c r="O553" s="5" t="n">
        <f aca="false">IF(ABS(M553-L553)&gt;1,MIN(N553/((L553-M553)*24/12.1/1000),D553),D553)</f>
        <v>0</v>
      </c>
      <c r="P553" s="5" t="n">
        <f aca="false">MIN(IF(AND(G553,E553),(L553-M553)*24/12.1*O553/1000,0),N553)</f>
        <v>0</v>
      </c>
      <c r="Q553" s="5" t="n">
        <f aca="false">IF(P553&gt;0,P553/O553*12.1/24*1000+M553,0)</f>
        <v>0</v>
      </c>
      <c r="R553" s="0" t="n">
        <f aca="false">IF(Q553&gt;0,TRUNC(O553),0)</f>
        <v>0</v>
      </c>
      <c r="S553" s="5" t="n">
        <f aca="false">(M553*(D553-R553)+(Q553*R553))/D553</f>
        <v>800</v>
      </c>
      <c r="T553" s="6" t="n">
        <f aca="false">(Q553-M553)*R553*24/12.1/1000</f>
        <v>-0</v>
      </c>
    </row>
    <row r="554" customFormat="false" ht="14.35" hidden="false" customHeight="false" outlineLevel="0" collapsed="false">
      <c r="A554" s="4" t="n">
        <v>24592</v>
      </c>
      <c r="B554" s="15" t="n">
        <f aca="false">IF(C554&lt;=9,YEAR(A554),YEAR(A554)+1)</f>
        <v>1967</v>
      </c>
      <c r="C554" s="15" t="n">
        <f aca="false">MONTH(A554)</f>
        <v>4</v>
      </c>
      <c r="D554" s="15" t="n">
        <f aca="false">DAY(A554)</f>
        <v>30</v>
      </c>
      <c r="E554" s="15" t="n">
        <f aca="false">VLOOKUP(B554,WYT!$A$2:$L$97,12)</f>
        <v>0</v>
      </c>
      <c r="F554" s="15" t="n">
        <f aca="false">IF(C554=$W$5,1,0)</f>
        <v>0</v>
      </c>
      <c r="G554" s="15" t="n">
        <f aca="false">IF(C554=10,0,IF(F554=1,1,G553))</f>
        <v>1</v>
      </c>
      <c r="H554" s="5" t="n">
        <f aca="false">VA_base_426_data!B554</f>
        <v>2159.99745016713</v>
      </c>
      <c r="I554" s="5" t="n">
        <f aca="false">IF(AND(E554=1,OR(C554=4,C554=5)),25*12.1/24/D554*1000,0)</f>
        <v>0</v>
      </c>
      <c r="J554" s="5" t="n">
        <f aca="false">VA_base_426_data!C554</f>
        <v>1000</v>
      </c>
      <c r="K554" s="5" t="n">
        <f aca="false">H554+I554-J554</f>
        <v>1159.99745016713</v>
      </c>
      <c r="L554" s="5" t="n">
        <f aca="false">MIN($W$7,J554+K554)</f>
        <v>2000</v>
      </c>
      <c r="M554" s="5" t="n">
        <f aca="false">VA_base_426_data!D554</f>
        <v>700</v>
      </c>
      <c r="N554" s="5" t="n">
        <f aca="false">IF(AND(C554=10,E554=1),$W$6,N553-P553)</f>
        <v>0</v>
      </c>
      <c r="O554" s="5" t="n">
        <f aca="false">IF(ABS(M554-L554)&gt;1,MIN(N554/((L554-M554)*24/12.1/1000),D554),D554)</f>
        <v>0</v>
      </c>
      <c r="P554" s="5" t="n">
        <f aca="false">MIN(IF(AND(G554,E554),(L554-M554)*24/12.1*O554/1000,0),N554)</f>
        <v>0</v>
      </c>
      <c r="Q554" s="5" t="n">
        <f aca="false">IF(P554&gt;0,P554/O554*12.1/24*1000+M554,0)</f>
        <v>0</v>
      </c>
      <c r="R554" s="0" t="n">
        <f aca="false">IF(Q554&gt;0,TRUNC(O554),0)</f>
        <v>0</v>
      </c>
      <c r="S554" s="5" t="n">
        <f aca="false">(M554*(D554-R554)+(Q554*R554))/D554</f>
        <v>700</v>
      </c>
      <c r="T554" s="6" t="n">
        <f aca="false">(Q554-M554)*R554*24/12.1/1000</f>
        <v>-0</v>
      </c>
    </row>
    <row r="555" customFormat="false" ht="14.35" hidden="false" customHeight="false" outlineLevel="0" collapsed="false">
      <c r="A555" s="4" t="n">
        <v>24623</v>
      </c>
      <c r="B555" s="15" t="n">
        <f aca="false">IF(C555&lt;=9,YEAR(A555),YEAR(A555)+1)</f>
        <v>1967</v>
      </c>
      <c r="C555" s="15" t="n">
        <f aca="false">MONTH(A555)</f>
        <v>5</v>
      </c>
      <c r="D555" s="15" t="n">
        <f aca="false">DAY(A555)</f>
        <v>31</v>
      </c>
      <c r="E555" s="15" t="n">
        <f aca="false">VLOOKUP(B555,WYT!$A$2:$L$97,12)</f>
        <v>0</v>
      </c>
      <c r="F555" s="15" t="n">
        <f aca="false">IF(C555=$W$5,1,0)</f>
        <v>0</v>
      </c>
      <c r="G555" s="15" t="n">
        <f aca="false">IF(C555=10,0,IF(F555=1,1,G554))</f>
        <v>1</v>
      </c>
      <c r="H555" s="5" t="n">
        <f aca="false">VA_base_426_data!B555</f>
        <v>9235.64953089231</v>
      </c>
      <c r="I555" s="5" t="n">
        <f aca="false">IF(AND(E555=1,OR(C555=4,C555=5)),25*12.1/24/D555*1000,0)</f>
        <v>0</v>
      </c>
      <c r="J555" s="5" t="n">
        <f aca="false">VA_base_426_data!C555</f>
        <v>1000</v>
      </c>
      <c r="K555" s="5" t="n">
        <f aca="false">H555+I555-J555</f>
        <v>8235.64953089231</v>
      </c>
      <c r="L555" s="5" t="n">
        <f aca="false">MIN($W$7,J555+K555)</f>
        <v>2000</v>
      </c>
      <c r="M555" s="5" t="n">
        <f aca="false">VA_base_426_data!D555</f>
        <v>700</v>
      </c>
      <c r="N555" s="5" t="n">
        <f aca="false">IF(AND(C555=10,E555=1),$W$6,N554-P554)</f>
        <v>0</v>
      </c>
      <c r="O555" s="5" t="n">
        <f aca="false">IF(ABS(M555-L555)&gt;1,MIN(N555/((L555-M555)*24/12.1/1000),D555),D555)</f>
        <v>0</v>
      </c>
      <c r="P555" s="5" t="n">
        <f aca="false">MIN(IF(AND(G555,E555),(L555-M555)*24/12.1*O555/1000,0),N555)</f>
        <v>0</v>
      </c>
      <c r="Q555" s="5" t="n">
        <f aca="false">IF(P555&gt;0,P555/O555*12.1/24*1000+M555,0)</f>
        <v>0</v>
      </c>
      <c r="R555" s="0" t="n">
        <f aca="false">IF(Q555&gt;0,TRUNC(O555),0)</f>
        <v>0</v>
      </c>
      <c r="S555" s="5" t="n">
        <f aca="false">(M555*(D555-R555)+(Q555*R555))/D555</f>
        <v>700</v>
      </c>
      <c r="T555" s="6" t="n">
        <f aca="false">(Q555-M555)*R555*24/12.1/1000</f>
        <v>-0</v>
      </c>
    </row>
    <row r="556" customFormat="false" ht="14.35" hidden="false" customHeight="false" outlineLevel="0" collapsed="false">
      <c r="A556" s="4" t="n">
        <v>24653</v>
      </c>
      <c r="B556" s="15" t="n">
        <f aca="false">IF(C556&lt;=9,YEAR(A556),YEAR(A556)+1)</f>
        <v>1967</v>
      </c>
      <c r="C556" s="15" t="n">
        <f aca="false">MONTH(A556)</f>
        <v>6</v>
      </c>
      <c r="D556" s="15" t="n">
        <f aca="false">DAY(A556)</f>
        <v>30</v>
      </c>
      <c r="E556" s="15" t="n">
        <f aca="false">VLOOKUP(B556,WYT!$A$2:$L$97,12)</f>
        <v>0</v>
      </c>
      <c r="F556" s="15" t="n">
        <f aca="false">IF(C556=$W$5,1,0)</f>
        <v>0</v>
      </c>
      <c r="G556" s="15" t="n">
        <f aca="false">IF(C556=10,0,IF(F556=1,1,G555))</f>
        <v>1</v>
      </c>
      <c r="H556" s="5" t="n">
        <f aca="false">VA_base_426_data!B556</f>
        <v>8491.61925673883</v>
      </c>
      <c r="I556" s="5" t="n">
        <f aca="false">IF(AND(E556=1,OR(C556=4,C556=5)),25*12.1/24/D556*1000,0)</f>
        <v>0</v>
      </c>
      <c r="J556" s="5" t="n">
        <f aca="false">VA_base_426_data!C556</f>
        <v>1000</v>
      </c>
      <c r="K556" s="5" t="n">
        <f aca="false">H556+I556-J556</f>
        <v>7491.61925673883</v>
      </c>
      <c r="L556" s="5" t="n">
        <f aca="false">MIN($W$7,J556+K556)</f>
        <v>2000</v>
      </c>
      <c r="M556" s="5" t="n">
        <f aca="false">VA_base_426_data!D556</f>
        <v>700</v>
      </c>
      <c r="N556" s="5" t="n">
        <f aca="false">IF(AND(C556=10,E556=1),$W$6,N555-P555)</f>
        <v>0</v>
      </c>
      <c r="O556" s="5" t="n">
        <f aca="false">IF(ABS(M556-L556)&gt;1,MIN(N556/((L556-M556)*24/12.1/1000),D556),D556)</f>
        <v>0</v>
      </c>
      <c r="P556" s="5" t="n">
        <f aca="false">MIN(IF(AND(G556,E556),(L556-M556)*24/12.1*O556/1000,0),N556)</f>
        <v>0</v>
      </c>
      <c r="Q556" s="5" t="n">
        <f aca="false">IF(P556&gt;0,P556/O556*12.1/24*1000+M556,0)</f>
        <v>0</v>
      </c>
      <c r="R556" s="0" t="n">
        <f aca="false">IF(Q556&gt;0,TRUNC(O556),0)</f>
        <v>0</v>
      </c>
      <c r="S556" s="5" t="n">
        <f aca="false">(M556*(D556-R556)+(Q556*R556))/D556</f>
        <v>700</v>
      </c>
      <c r="T556" s="6" t="n">
        <f aca="false">(Q556-M556)*R556*24/12.1/1000</f>
        <v>-0</v>
      </c>
    </row>
    <row r="557" customFormat="false" ht="14.35" hidden="false" customHeight="false" outlineLevel="0" collapsed="false">
      <c r="A557" s="4" t="n">
        <v>24684</v>
      </c>
      <c r="B557" s="15" t="n">
        <f aca="false">IF(C557&lt;=9,YEAR(A557),YEAR(A557)+1)</f>
        <v>1967</v>
      </c>
      <c r="C557" s="15" t="n">
        <f aca="false">MONTH(A557)</f>
        <v>7</v>
      </c>
      <c r="D557" s="15" t="n">
        <f aca="false">DAY(A557)</f>
        <v>31</v>
      </c>
      <c r="E557" s="15" t="n">
        <f aca="false">VLOOKUP(B557,WYT!$A$2:$L$97,12)</f>
        <v>0</v>
      </c>
      <c r="F557" s="15" t="n">
        <f aca="false">IF(C557=$W$5,1,0)</f>
        <v>0</v>
      </c>
      <c r="G557" s="15" t="n">
        <f aca="false">IF(C557=10,0,IF(F557=1,1,G556))</f>
        <v>1</v>
      </c>
      <c r="H557" s="5" t="n">
        <f aca="false">VA_base_426_data!B557</f>
        <v>1416.53239705475</v>
      </c>
      <c r="I557" s="5" t="n">
        <f aca="false">IF(AND(E557=1,OR(C557=4,C557=5)),25*12.1/24/D557*1000,0)</f>
        <v>0</v>
      </c>
      <c r="J557" s="5" t="n">
        <f aca="false">VA_base_426_data!C557</f>
        <v>1000</v>
      </c>
      <c r="K557" s="5" t="n">
        <f aca="false">H557+I557-J557</f>
        <v>416.532397054754</v>
      </c>
      <c r="L557" s="5" t="n">
        <f aca="false">MIN($W$7,J557+K557)</f>
        <v>1416.53239705475</v>
      </c>
      <c r="M557" s="5" t="n">
        <f aca="false">VA_base_426_data!D557</f>
        <v>700</v>
      </c>
      <c r="N557" s="5" t="n">
        <f aca="false">IF(AND(C557=10,E557=1),$W$6,N556-P556)</f>
        <v>0</v>
      </c>
      <c r="O557" s="5" t="n">
        <f aca="false">IF(ABS(M557-L557)&gt;1,MIN(N557/((L557-M557)*24/12.1/1000),D557),D557)</f>
        <v>0</v>
      </c>
      <c r="P557" s="5" t="n">
        <f aca="false">MIN(IF(AND(G557,E557),(L557-M557)*24/12.1*O557/1000,0),N557)</f>
        <v>0</v>
      </c>
      <c r="Q557" s="5" t="n">
        <f aca="false">IF(P557&gt;0,P557/O557*12.1/24*1000+M557,0)</f>
        <v>0</v>
      </c>
      <c r="R557" s="0" t="n">
        <f aca="false">IF(Q557&gt;0,TRUNC(O557),0)</f>
        <v>0</v>
      </c>
      <c r="S557" s="5" t="n">
        <f aca="false">(M557*(D557-R557)+(Q557*R557))/D557</f>
        <v>700</v>
      </c>
      <c r="T557" s="6" t="n">
        <f aca="false">(Q557-M557)*R557*24/12.1/1000</f>
        <v>-0</v>
      </c>
    </row>
    <row r="558" customFormat="false" ht="14.35" hidden="false" customHeight="false" outlineLevel="0" collapsed="false">
      <c r="A558" s="4" t="n">
        <v>24715</v>
      </c>
      <c r="B558" s="15" t="n">
        <f aca="false">IF(C558&lt;=9,YEAR(A558),YEAR(A558)+1)</f>
        <v>1967</v>
      </c>
      <c r="C558" s="15" t="n">
        <f aca="false">MONTH(A558)</f>
        <v>8</v>
      </c>
      <c r="D558" s="15" t="n">
        <f aca="false">DAY(A558)</f>
        <v>31</v>
      </c>
      <c r="E558" s="15" t="n">
        <f aca="false">VLOOKUP(B558,WYT!$A$2:$L$97,12)</f>
        <v>0</v>
      </c>
      <c r="F558" s="15" t="n">
        <f aca="false">IF(C558=$W$5,1,0)</f>
        <v>0</v>
      </c>
      <c r="G558" s="15" t="n">
        <f aca="false">IF(C558=10,0,IF(F558=1,1,G557))</f>
        <v>1</v>
      </c>
      <c r="H558" s="5" t="n">
        <f aca="false">VA_base_426_data!B558</f>
        <v>1390.38790976898</v>
      </c>
      <c r="I558" s="5" t="n">
        <f aca="false">IF(AND(E558=1,OR(C558=4,C558=5)),25*12.1/24/D558*1000,0)</f>
        <v>0</v>
      </c>
      <c r="J558" s="5" t="n">
        <f aca="false">VA_base_426_data!C558</f>
        <v>1000</v>
      </c>
      <c r="K558" s="5" t="n">
        <f aca="false">H558+I558-J558</f>
        <v>390.387909768983</v>
      </c>
      <c r="L558" s="5" t="n">
        <f aca="false">MIN($W$7,J558+K558)</f>
        <v>1390.38790976898</v>
      </c>
      <c r="M558" s="5" t="n">
        <f aca="false">VA_base_426_data!D558</f>
        <v>700</v>
      </c>
      <c r="N558" s="5" t="n">
        <f aca="false">IF(AND(C558=10,E558=1),$W$6,N557-P557)</f>
        <v>0</v>
      </c>
      <c r="O558" s="5" t="n">
        <f aca="false">IF(ABS(M558-L558)&gt;1,MIN(N558/((L558-M558)*24/12.1/1000),D558),D558)</f>
        <v>0</v>
      </c>
      <c r="P558" s="5" t="n">
        <f aca="false">MIN(IF(AND(G558,E558),(L558-M558)*24/12.1*O558/1000,0),N558)</f>
        <v>0</v>
      </c>
      <c r="Q558" s="5" t="n">
        <f aca="false">IF(P558&gt;0,P558/O558*12.1/24*1000+M558,0)</f>
        <v>0</v>
      </c>
      <c r="R558" s="0" t="n">
        <f aca="false">IF(Q558&gt;0,TRUNC(O558),0)</f>
        <v>0</v>
      </c>
      <c r="S558" s="5" t="n">
        <f aca="false">(M558*(D558-R558)+(Q558*R558))/D558</f>
        <v>700</v>
      </c>
      <c r="T558" s="6" t="n">
        <f aca="false">(Q558-M558)*R558*24/12.1/1000</f>
        <v>-0</v>
      </c>
    </row>
    <row r="559" customFormat="false" ht="14.35" hidden="false" customHeight="false" outlineLevel="0" collapsed="false">
      <c r="A559" s="4" t="n">
        <v>24745</v>
      </c>
      <c r="B559" s="15" t="n">
        <f aca="false">IF(C559&lt;=9,YEAR(A559),YEAR(A559)+1)</f>
        <v>1967</v>
      </c>
      <c r="C559" s="15" t="n">
        <f aca="false">MONTH(A559)</f>
        <v>9</v>
      </c>
      <c r="D559" s="15" t="n">
        <f aca="false">DAY(A559)</f>
        <v>30</v>
      </c>
      <c r="E559" s="15" t="n">
        <f aca="false">VLOOKUP(B559,WYT!$A$2:$L$97,12)</f>
        <v>0</v>
      </c>
      <c r="F559" s="15" t="n">
        <f aca="false">IF(C559=$W$5,1,0)</f>
        <v>0</v>
      </c>
      <c r="G559" s="15" t="n">
        <f aca="false">IF(C559=10,0,IF(F559=1,1,G558))</f>
        <v>1</v>
      </c>
      <c r="H559" s="5" t="n">
        <f aca="false">VA_base_426_data!B559</f>
        <v>9360.28904760449</v>
      </c>
      <c r="I559" s="5" t="n">
        <f aca="false">IF(AND(E559=1,OR(C559=4,C559=5)),25*12.1/24/D559*1000,0)</f>
        <v>0</v>
      </c>
      <c r="J559" s="5" t="n">
        <f aca="false">VA_base_426_data!C559</f>
        <v>1000</v>
      </c>
      <c r="K559" s="5" t="n">
        <f aca="false">H559+I559-J559</f>
        <v>8360.28904760449</v>
      </c>
      <c r="L559" s="5" t="n">
        <f aca="false">MIN($W$7,J559+K559)</f>
        <v>2000</v>
      </c>
      <c r="M559" s="5" t="n">
        <f aca="false">VA_base_426_data!D559</f>
        <v>773.3333333</v>
      </c>
      <c r="N559" s="5" t="n">
        <f aca="false">IF(AND(C559=10,E559=1),$W$6,N558-P558)</f>
        <v>0</v>
      </c>
      <c r="O559" s="5" t="n">
        <f aca="false">IF(ABS(M559-L559)&gt;1,MIN(N559/((L559-M559)*24/12.1/1000),D559),D559)</f>
        <v>0</v>
      </c>
      <c r="P559" s="5" t="n">
        <f aca="false">MIN(IF(AND(G559,E559),(L559-M559)*24/12.1*O559/1000,0),N559)</f>
        <v>0</v>
      </c>
      <c r="Q559" s="5" t="n">
        <f aca="false">IF(P559&gt;0,P559/O559*12.1/24*1000+M559,0)</f>
        <v>0</v>
      </c>
      <c r="R559" s="0" t="n">
        <f aca="false">IF(Q559&gt;0,TRUNC(O559),0)</f>
        <v>0</v>
      </c>
      <c r="S559" s="5" t="n">
        <f aca="false">(M559*(D559-R559)+(Q559*R559))/D559</f>
        <v>773.3333333</v>
      </c>
      <c r="T559" s="6" t="n">
        <f aca="false">(Q559-M559)*R559*24/12.1/1000</f>
        <v>-0</v>
      </c>
    </row>
    <row r="560" customFormat="false" ht="14.35" hidden="false" customHeight="false" outlineLevel="0" collapsed="false">
      <c r="A560" s="4" t="n">
        <v>24776</v>
      </c>
      <c r="B560" s="15" t="n">
        <f aca="false">IF(C560&lt;=9,YEAR(A560),YEAR(A560)+1)</f>
        <v>1968</v>
      </c>
      <c r="C560" s="15" t="n">
        <f aca="false">MONTH(A560)</f>
        <v>10</v>
      </c>
      <c r="D560" s="15" t="n">
        <f aca="false">DAY(A560)</f>
        <v>31</v>
      </c>
      <c r="E560" s="15" t="n">
        <f aca="false">VLOOKUP(B560,WYT!$A$2:$L$97,12)</f>
        <v>1</v>
      </c>
      <c r="F560" s="15" t="n">
        <f aca="false">IF(C560=$W$5,1,0)</f>
        <v>0</v>
      </c>
      <c r="G560" s="15" t="n">
        <f aca="false">IF(C560=10,0,IF(F560=1,1,G559))</f>
        <v>0</v>
      </c>
      <c r="H560" s="5" t="n">
        <f aca="false">VA_base_426_data!B560</f>
        <v>4000</v>
      </c>
      <c r="I560" s="5" t="n">
        <f aca="false">IF(AND(E560=1,OR(C560=4,C560=5)),25*12.1/24/D560*1000,0)</f>
        <v>0</v>
      </c>
      <c r="J560" s="5" t="n">
        <f aca="false">VA_base_426_data!C560</f>
        <v>1700</v>
      </c>
      <c r="K560" s="5" t="n">
        <f aca="false">H560+I560-J560</f>
        <v>2300</v>
      </c>
      <c r="L560" s="5" t="n">
        <f aca="false">MIN($W$7,J560+K560)</f>
        <v>2000</v>
      </c>
      <c r="M560" s="5" t="n">
        <f aca="false">VA_base_426_data!D560</f>
        <v>800</v>
      </c>
      <c r="N560" s="5" t="n">
        <f aca="false">IF(AND(C560=10,E560=1),$W$6,N559-P559)</f>
        <v>43</v>
      </c>
      <c r="O560" s="5" t="n">
        <f aca="false">IF(ABS(M560-L560)&gt;1,MIN(N560/((L560-M560)*24/12.1/1000),D560),D560)</f>
        <v>18.0659722222222</v>
      </c>
      <c r="P560" s="5" t="n">
        <f aca="false">MIN(IF(AND(G560,E560),(L560-M560)*24/12.1*O560/1000,0),N560)</f>
        <v>0</v>
      </c>
      <c r="Q560" s="5" t="n">
        <f aca="false">IF(P560&gt;0,P560/O560*12.1/24*1000+M560,0)</f>
        <v>0</v>
      </c>
      <c r="R560" s="0" t="n">
        <f aca="false">IF(Q560&gt;0,TRUNC(O560),0)</f>
        <v>0</v>
      </c>
      <c r="S560" s="5" t="n">
        <f aca="false">(M560*(D560-R560)+(Q560*R560))/D560</f>
        <v>800</v>
      </c>
      <c r="T560" s="6" t="n">
        <f aca="false">(Q560-M560)*R560*24/12.1/1000</f>
        <v>-0</v>
      </c>
    </row>
    <row r="561" customFormat="false" ht="14.35" hidden="false" customHeight="false" outlineLevel="0" collapsed="false">
      <c r="A561" s="4" t="n">
        <v>24806</v>
      </c>
      <c r="B561" s="15" t="n">
        <f aca="false">IF(C561&lt;=9,YEAR(A561),YEAR(A561)+1)</f>
        <v>1968</v>
      </c>
      <c r="C561" s="15" t="n">
        <f aca="false">MONTH(A561)</f>
        <v>11</v>
      </c>
      <c r="D561" s="15" t="n">
        <f aca="false">DAY(A561)</f>
        <v>30</v>
      </c>
      <c r="E561" s="15" t="n">
        <f aca="false">VLOOKUP(B561,WYT!$A$2:$L$97,12)</f>
        <v>1</v>
      </c>
      <c r="F561" s="15" t="n">
        <f aca="false">IF(C561=$W$5,1,0)</f>
        <v>0</v>
      </c>
      <c r="G561" s="15" t="n">
        <f aca="false">IF(C561=10,0,IF(F561=1,1,G560))</f>
        <v>0</v>
      </c>
      <c r="H561" s="5" t="n">
        <f aca="false">VA_base_426_data!B561</f>
        <v>2500</v>
      </c>
      <c r="I561" s="5" t="n">
        <f aca="false">IF(AND(E561=1,OR(C561=4,C561=5)),25*12.1/24/D561*1000,0)</f>
        <v>0</v>
      </c>
      <c r="J561" s="5" t="n">
        <f aca="false">VA_base_426_data!C561</f>
        <v>1700</v>
      </c>
      <c r="K561" s="5" t="n">
        <f aca="false">H561+I561-J561</f>
        <v>800</v>
      </c>
      <c r="L561" s="5" t="n">
        <f aca="false">MIN($W$7,J561+K561)</f>
        <v>2000</v>
      </c>
      <c r="M561" s="5" t="n">
        <f aca="false">VA_base_426_data!D561</f>
        <v>800</v>
      </c>
      <c r="N561" s="5" t="n">
        <f aca="false">IF(AND(C561=10,E561=1),$W$6,N560-P560)</f>
        <v>43</v>
      </c>
      <c r="O561" s="5" t="n">
        <f aca="false">IF(ABS(M561-L561)&gt;1,MIN(N561/((L561-M561)*24/12.1/1000),D561),D561)</f>
        <v>18.0659722222222</v>
      </c>
      <c r="P561" s="5" t="n">
        <f aca="false">MIN(IF(AND(G561,E561),(L561-M561)*24/12.1*O561/1000,0),N561)</f>
        <v>0</v>
      </c>
      <c r="Q561" s="5" t="n">
        <f aca="false">IF(P561&gt;0,P561/O561*12.1/24*1000+M561,0)</f>
        <v>0</v>
      </c>
      <c r="R561" s="0" t="n">
        <f aca="false">IF(Q561&gt;0,TRUNC(O561),0)</f>
        <v>0</v>
      </c>
      <c r="S561" s="5" t="n">
        <f aca="false">(M561*(D561-R561)+(Q561*R561))/D561</f>
        <v>800</v>
      </c>
      <c r="T561" s="6" t="n">
        <f aca="false">(Q561-M561)*R561*24/12.1/1000</f>
        <v>-0</v>
      </c>
    </row>
    <row r="562" customFormat="false" ht="14.35" hidden="false" customHeight="false" outlineLevel="0" collapsed="false">
      <c r="A562" s="4" t="n">
        <v>24837</v>
      </c>
      <c r="B562" s="15" t="n">
        <f aca="false">IF(C562&lt;=9,YEAR(A562),YEAR(A562)+1)</f>
        <v>1968</v>
      </c>
      <c r="C562" s="15" t="n">
        <f aca="false">MONTH(A562)</f>
        <v>12</v>
      </c>
      <c r="D562" s="15" t="n">
        <f aca="false">DAY(A562)</f>
        <v>31</v>
      </c>
      <c r="E562" s="15" t="n">
        <f aca="false">VLOOKUP(B562,WYT!$A$2:$L$97,12)</f>
        <v>1</v>
      </c>
      <c r="F562" s="15" t="n">
        <f aca="false">IF(C562=$W$5,1,0)</f>
        <v>0</v>
      </c>
      <c r="G562" s="15" t="n">
        <f aca="false">IF(C562=10,0,IF(F562=1,1,G561))</f>
        <v>0</v>
      </c>
      <c r="H562" s="5" t="n">
        <f aca="false">VA_base_426_data!B562</f>
        <v>4507.56536214403</v>
      </c>
      <c r="I562" s="5" t="n">
        <f aca="false">IF(AND(E562=1,OR(C562=4,C562=5)),25*12.1/24/D562*1000,0)</f>
        <v>0</v>
      </c>
      <c r="J562" s="5" t="n">
        <f aca="false">VA_base_426_data!C562</f>
        <v>1700</v>
      </c>
      <c r="K562" s="5" t="n">
        <f aca="false">H562+I562-J562</f>
        <v>2807.56536214403</v>
      </c>
      <c r="L562" s="5" t="n">
        <f aca="false">MIN($W$7,J562+K562)</f>
        <v>2000</v>
      </c>
      <c r="M562" s="5" t="n">
        <f aca="false">VA_base_426_data!D562</f>
        <v>800</v>
      </c>
      <c r="N562" s="5" t="n">
        <f aca="false">IF(AND(C562=10,E562=1),$W$6,N561-P561)</f>
        <v>43</v>
      </c>
      <c r="O562" s="5" t="n">
        <f aca="false">IF(ABS(M562-L562)&gt;1,MIN(N562/((L562-M562)*24/12.1/1000),D562),D562)</f>
        <v>18.0659722222222</v>
      </c>
      <c r="P562" s="5" t="n">
        <f aca="false">MIN(IF(AND(G562,E562),(L562-M562)*24/12.1*O562/1000,0),N562)</f>
        <v>0</v>
      </c>
      <c r="Q562" s="5" t="n">
        <f aca="false">IF(P562&gt;0,P562/O562*12.1/24*1000+M562,0)</f>
        <v>0</v>
      </c>
      <c r="R562" s="0" t="n">
        <f aca="false">IF(Q562&gt;0,TRUNC(O562),0)</f>
        <v>0</v>
      </c>
      <c r="S562" s="5" t="n">
        <f aca="false">(M562*(D562-R562)+(Q562*R562))/D562</f>
        <v>800</v>
      </c>
      <c r="T562" s="6" t="n">
        <f aca="false">(Q562-M562)*R562*24/12.1/1000</f>
        <v>-0</v>
      </c>
    </row>
    <row r="563" customFormat="false" ht="14.35" hidden="false" customHeight="false" outlineLevel="0" collapsed="false">
      <c r="A563" s="4" t="n">
        <v>24868</v>
      </c>
      <c r="B563" s="15" t="n">
        <f aca="false">IF(C563&lt;=9,YEAR(A563),YEAR(A563)+1)</f>
        <v>1968</v>
      </c>
      <c r="C563" s="15" t="n">
        <f aca="false">MONTH(A563)</f>
        <v>1</v>
      </c>
      <c r="D563" s="15" t="n">
        <f aca="false">DAY(A563)</f>
        <v>31</v>
      </c>
      <c r="E563" s="15" t="n">
        <f aca="false">VLOOKUP(B563,WYT!$A$2:$L$97,12)</f>
        <v>1</v>
      </c>
      <c r="F563" s="15" t="n">
        <f aca="false">IF(C563=$W$5,1,0)</f>
        <v>0</v>
      </c>
      <c r="G563" s="15" t="n">
        <f aca="false">IF(C563=10,0,IF(F563=1,1,G562))</f>
        <v>0</v>
      </c>
      <c r="H563" s="5" t="n">
        <f aca="false">VA_base_426_data!B563</f>
        <v>1700</v>
      </c>
      <c r="I563" s="5" t="n">
        <f aca="false">IF(AND(E563=1,OR(C563=4,C563=5)),25*12.1/24/D563*1000,0)</f>
        <v>0</v>
      </c>
      <c r="J563" s="5" t="n">
        <f aca="false">VA_base_426_data!C563</f>
        <v>1700</v>
      </c>
      <c r="K563" s="5" t="n">
        <f aca="false">H563+I563-J563</f>
        <v>0</v>
      </c>
      <c r="L563" s="5" t="n">
        <f aca="false">MIN($W$7,J563+K563)</f>
        <v>1700</v>
      </c>
      <c r="M563" s="5" t="n">
        <f aca="false">VA_base_426_data!D563</f>
        <v>800</v>
      </c>
      <c r="N563" s="5" t="n">
        <f aca="false">IF(AND(C563=10,E563=1),$W$6,N562-P562)</f>
        <v>43</v>
      </c>
      <c r="O563" s="5" t="n">
        <f aca="false">IF(ABS(M563-L563)&gt;1,MIN(N563/((L563-M563)*24/12.1/1000),D563),D563)</f>
        <v>24.087962962963</v>
      </c>
      <c r="P563" s="5" t="n">
        <f aca="false">MIN(IF(AND(G563,E563),(L563-M563)*24/12.1*O563/1000,0),N563)</f>
        <v>0</v>
      </c>
      <c r="Q563" s="5" t="n">
        <f aca="false">IF(P563&gt;0,P563/O563*12.1/24*1000+M563,0)</f>
        <v>0</v>
      </c>
      <c r="R563" s="0" t="n">
        <f aca="false">IF(Q563&gt;0,TRUNC(O563),0)</f>
        <v>0</v>
      </c>
      <c r="S563" s="5" t="n">
        <f aca="false">(M563*(D563-R563)+(Q563*R563))/D563</f>
        <v>800</v>
      </c>
      <c r="T563" s="6" t="n">
        <f aca="false">(Q563-M563)*R563*24/12.1/1000</f>
        <v>-0</v>
      </c>
    </row>
    <row r="564" customFormat="false" ht="14.35" hidden="false" customHeight="false" outlineLevel="0" collapsed="false">
      <c r="A564" s="4" t="n">
        <v>24897</v>
      </c>
      <c r="B564" s="15" t="n">
        <f aca="false">IF(C564&lt;=9,YEAR(A564),YEAR(A564)+1)</f>
        <v>1968</v>
      </c>
      <c r="C564" s="15" t="n">
        <f aca="false">MONTH(A564)</f>
        <v>2</v>
      </c>
      <c r="D564" s="15" t="n">
        <f aca="false">DAY(A564)</f>
        <v>29</v>
      </c>
      <c r="E564" s="15" t="n">
        <f aca="false">VLOOKUP(B564,WYT!$A$2:$L$97,12)</f>
        <v>1</v>
      </c>
      <c r="F564" s="15" t="n">
        <f aca="false">IF(C564=$W$5,1,0)</f>
        <v>1</v>
      </c>
      <c r="G564" s="15" t="n">
        <f aca="false">IF(C564=10,0,IF(F564=1,1,G563))</f>
        <v>1</v>
      </c>
      <c r="H564" s="5" t="n">
        <f aca="false">VA_base_426_data!B564</f>
        <v>7035.80442350569</v>
      </c>
      <c r="I564" s="5" t="n">
        <f aca="false">IF(AND(E564=1,OR(C564=4,C564=5)),25*12.1/24/D564*1000,0)</f>
        <v>0</v>
      </c>
      <c r="J564" s="5" t="n">
        <f aca="false">VA_base_426_data!C564</f>
        <v>1700</v>
      </c>
      <c r="K564" s="5" t="n">
        <f aca="false">H564+I564-J564</f>
        <v>5335.80442350569</v>
      </c>
      <c r="L564" s="5" t="n">
        <f aca="false">MIN($W$7,J564+K564)</f>
        <v>2000</v>
      </c>
      <c r="M564" s="5" t="n">
        <f aca="false">VA_base_426_data!D564</f>
        <v>800</v>
      </c>
      <c r="N564" s="5" t="n">
        <f aca="false">IF(AND(C564=10,E564=1),$W$6,N563-P563)</f>
        <v>43</v>
      </c>
      <c r="O564" s="5" t="n">
        <f aca="false">IF(ABS(M564-L564)&gt;1,MIN(N564/((L564-M564)*24/12.1/1000),D564),D564)</f>
        <v>18.0659722222222</v>
      </c>
      <c r="P564" s="5" t="n">
        <f aca="false">MIN(IF(AND(G564,E564),(L564-M564)*24/12.1*O564/1000,0),N564)</f>
        <v>43</v>
      </c>
      <c r="Q564" s="5" t="n">
        <f aca="false">IF(P564&gt;0,P564/O564*12.1/24*1000+M564,0)</f>
        <v>2000</v>
      </c>
      <c r="R564" s="0" t="n">
        <f aca="false">IF(Q564&gt;0,TRUNC(O564),0)</f>
        <v>18</v>
      </c>
      <c r="S564" s="5" t="n">
        <f aca="false">(M564*(D564-R564)+(Q564*R564))/D564</f>
        <v>1544.8275862069</v>
      </c>
      <c r="T564" s="6" t="n">
        <f aca="false">(Q564-M564)*R564*24/12.1/1000</f>
        <v>42.8429752066116</v>
      </c>
    </row>
    <row r="565" customFormat="false" ht="14.35" hidden="false" customHeight="false" outlineLevel="0" collapsed="false">
      <c r="A565" s="4" t="n">
        <v>24928</v>
      </c>
      <c r="B565" s="15" t="n">
        <f aca="false">IF(C565&lt;=9,YEAR(A565),YEAR(A565)+1)</f>
        <v>1968</v>
      </c>
      <c r="C565" s="15" t="n">
        <f aca="false">MONTH(A565)</f>
        <v>3</v>
      </c>
      <c r="D565" s="15" t="n">
        <f aca="false">DAY(A565)</f>
        <v>31</v>
      </c>
      <c r="E565" s="15" t="n">
        <f aca="false">VLOOKUP(B565,WYT!$A$2:$L$97,12)</f>
        <v>1</v>
      </c>
      <c r="F565" s="15" t="n">
        <f aca="false">IF(C565=$W$5,1,0)</f>
        <v>0</v>
      </c>
      <c r="G565" s="15" t="n">
        <f aca="false">IF(C565=10,0,IF(F565=1,1,G564))</f>
        <v>1</v>
      </c>
      <c r="H565" s="5" t="n">
        <f aca="false">VA_base_426_data!B565</f>
        <v>6618.57740343677</v>
      </c>
      <c r="I565" s="5" t="n">
        <f aca="false">IF(AND(E565=1,OR(C565=4,C565=5)),25*12.1/24/D565*1000,0)</f>
        <v>0</v>
      </c>
      <c r="J565" s="5" t="n">
        <f aca="false">VA_base_426_data!C565</f>
        <v>1700</v>
      </c>
      <c r="K565" s="5" t="n">
        <f aca="false">H565+I565-J565</f>
        <v>4918.57740343677</v>
      </c>
      <c r="L565" s="5" t="n">
        <f aca="false">MIN($W$7,J565+K565)</f>
        <v>2000</v>
      </c>
      <c r="M565" s="5" t="n">
        <f aca="false">VA_base_426_data!D565</f>
        <v>800</v>
      </c>
      <c r="N565" s="5" t="n">
        <f aca="false">IF(AND(C565=10,E565=1),$W$6,N564-P564)</f>
        <v>0</v>
      </c>
      <c r="O565" s="5" t="n">
        <f aca="false">IF(ABS(M565-L565)&gt;1,MIN(N565/((L565-M565)*24/12.1/1000),D565),D565)</f>
        <v>0</v>
      </c>
      <c r="P565" s="5" t="n">
        <f aca="false">MIN(IF(AND(G565,E565),(L565-M565)*24/12.1*O565/1000,0),N565)</f>
        <v>0</v>
      </c>
      <c r="Q565" s="5" t="n">
        <f aca="false">IF(P565&gt;0,P565/O565*12.1/24*1000+M565,0)</f>
        <v>0</v>
      </c>
      <c r="R565" s="0" t="n">
        <f aca="false">IF(Q565&gt;0,TRUNC(O565),0)</f>
        <v>0</v>
      </c>
      <c r="S565" s="5" t="n">
        <f aca="false">(M565*(D565-R565)+(Q565*R565))/D565</f>
        <v>800</v>
      </c>
      <c r="T565" s="6" t="n">
        <f aca="false">(Q565-M565)*R565*24/12.1/1000</f>
        <v>-0</v>
      </c>
    </row>
    <row r="566" customFormat="false" ht="14.35" hidden="false" customHeight="false" outlineLevel="0" collapsed="false">
      <c r="A566" s="4" t="n">
        <v>24958</v>
      </c>
      <c r="B566" s="15" t="n">
        <f aca="false">IF(C566&lt;=9,YEAR(A566),YEAR(A566)+1)</f>
        <v>1968</v>
      </c>
      <c r="C566" s="15" t="n">
        <f aca="false">MONTH(A566)</f>
        <v>4</v>
      </c>
      <c r="D566" s="15" t="n">
        <f aca="false">DAY(A566)</f>
        <v>30</v>
      </c>
      <c r="E566" s="15" t="n">
        <f aca="false">VLOOKUP(B566,WYT!$A$2:$L$97,12)</f>
        <v>1</v>
      </c>
      <c r="F566" s="15" t="n">
        <f aca="false">IF(C566=$W$5,1,0)</f>
        <v>0</v>
      </c>
      <c r="G566" s="15" t="n">
        <f aca="false">IF(C566=10,0,IF(F566=1,1,G565))</f>
        <v>1</v>
      </c>
      <c r="H566" s="5" t="n">
        <f aca="false">VA_base_426_data!B566</f>
        <v>1687.70651080741</v>
      </c>
      <c r="I566" s="5" t="n">
        <f aca="false">IF(AND(E566=1,OR(C566=4,C566=5)),25*12.1/24/D566*1000,0)</f>
        <v>420.138888888889</v>
      </c>
      <c r="J566" s="5" t="n">
        <f aca="false">VA_base_426_data!C566</f>
        <v>1000</v>
      </c>
      <c r="K566" s="5" t="n">
        <f aca="false">H566+I566-J566</f>
        <v>1107.8453996963</v>
      </c>
      <c r="L566" s="5" t="n">
        <f aca="false">MIN($W$7,J566+K566)</f>
        <v>2000</v>
      </c>
      <c r="M566" s="5" t="n">
        <f aca="false">VA_base_426_data!D566</f>
        <v>700</v>
      </c>
      <c r="N566" s="5" t="n">
        <f aca="false">IF(AND(C566=10,E566=1),$W$6,N565-P565)</f>
        <v>0</v>
      </c>
      <c r="O566" s="5" t="n">
        <f aca="false">IF(ABS(M566-L566)&gt;1,MIN(N566/((L566-M566)*24/12.1/1000),D566),D566)</f>
        <v>0</v>
      </c>
      <c r="P566" s="5" t="n">
        <f aca="false">MIN(IF(AND(G566,E566),(L566-M566)*24/12.1*O566/1000,0),N566)</f>
        <v>0</v>
      </c>
      <c r="Q566" s="5" t="n">
        <f aca="false">IF(P566&gt;0,P566/O566*12.1/24*1000+M566,0)</f>
        <v>0</v>
      </c>
      <c r="R566" s="0" t="n">
        <f aca="false">IF(Q566&gt;0,TRUNC(O566),0)</f>
        <v>0</v>
      </c>
      <c r="S566" s="5" t="n">
        <f aca="false">(M566*(D566-R566)+(Q566*R566))/D566</f>
        <v>700</v>
      </c>
      <c r="T566" s="6" t="n">
        <f aca="false">(Q566-M566)*R566*24/12.1/1000</f>
        <v>-0</v>
      </c>
    </row>
    <row r="567" customFormat="false" ht="14.35" hidden="false" customHeight="false" outlineLevel="0" collapsed="false">
      <c r="A567" s="4" t="n">
        <v>24989</v>
      </c>
      <c r="B567" s="15" t="n">
        <f aca="false">IF(C567&lt;=9,YEAR(A567),YEAR(A567)+1)</f>
        <v>1968</v>
      </c>
      <c r="C567" s="15" t="n">
        <f aca="false">MONTH(A567)</f>
        <v>5</v>
      </c>
      <c r="D567" s="15" t="n">
        <f aca="false">DAY(A567)</f>
        <v>31</v>
      </c>
      <c r="E567" s="15" t="n">
        <f aca="false">VLOOKUP(B567,WYT!$A$2:$L$97,12)</f>
        <v>1</v>
      </c>
      <c r="F567" s="15" t="n">
        <f aca="false">IF(C567=$W$5,1,0)</f>
        <v>0</v>
      </c>
      <c r="G567" s="15" t="n">
        <f aca="false">IF(C567=10,0,IF(F567=1,1,G566))</f>
        <v>1</v>
      </c>
      <c r="H567" s="5" t="n">
        <f aca="false">VA_base_426_data!B567</f>
        <v>1505.20757573375</v>
      </c>
      <c r="I567" s="5" t="n">
        <f aca="false">IF(AND(E567=1,OR(C567=4,C567=5)),25*12.1/24/D567*1000,0)</f>
        <v>406.586021505376</v>
      </c>
      <c r="J567" s="5" t="n">
        <f aca="false">VA_base_426_data!C567</f>
        <v>1000</v>
      </c>
      <c r="K567" s="5" t="n">
        <f aca="false">H567+I567-J567</f>
        <v>911.79359723913</v>
      </c>
      <c r="L567" s="5" t="n">
        <f aca="false">MIN($W$7,J567+K567)</f>
        <v>1911.79359723913</v>
      </c>
      <c r="M567" s="5" t="n">
        <f aca="false">VA_base_426_data!D567</f>
        <v>700</v>
      </c>
      <c r="N567" s="5" t="n">
        <f aca="false">IF(AND(C567=10,E567=1),$W$6,N566-P566)</f>
        <v>0</v>
      </c>
      <c r="O567" s="5" t="n">
        <f aca="false">IF(ABS(M567-L567)&gt;1,MIN(N567/((L567-M567)*24/12.1/1000),D567),D567)</f>
        <v>0</v>
      </c>
      <c r="P567" s="5" t="n">
        <f aca="false">MIN(IF(AND(G567,E567),(L567-M567)*24/12.1*O567/1000,0),N567)</f>
        <v>0</v>
      </c>
      <c r="Q567" s="5" t="n">
        <f aca="false">IF(P567&gt;0,P567/O567*12.1/24*1000+M567,0)</f>
        <v>0</v>
      </c>
      <c r="R567" s="0" t="n">
        <f aca="false">IF(Q567&gt;0,TRUNC(O567),0)</f>
        <v>0</v>
      </c>
      <c r="S567" s="5" t="n">
        <f aca="false">(M567*(D567-R567)+(Q567*R567))/D567</f>
        <v>700</v>
      </c>
      <c r="T567" s="6" t="n">
        <f aca="false">(Q567-M567)*R567*24/12.1/1000</f>
        <v>-0</v>
      </c>
    </row>
    <row r="568" customFormat="false" ht="14.35" hidden="false" customHeight="false" outlineLevel="0" collapsed="false">
      <c r="A568" s="4" t="n">
        <v>25019</v>
      </c>
      <c r="B568" s="15" t="n">
        <f aca="false">IF(C568&lt;=9,YEAR(A568),YEAR(A568)+1)</f>
        <v>1968</v>
      </c>
      <c r="C568" s="15" t="n">
        <f aca="false">MONTH(A568)</f>
        <v>6</v>
      </c>
      <c r="D568" s="15" t="n">
        <f aca="false">DAY(A568)</f>
        <v>30</v>
      </c>
      <c r="E568" s="15" t="n">
        <f aca="false">VLOOKUP(B568,WYT!$A$2:$L$97,12)</f>
        <v>1</v>
      </c>
      <c r="F568" s="15" t="n">
        <f aca="false">IF(C568=$W$5,1,0)</f>
        <v>0</v>
      </c>
      <c r="G568" s="15" t="n">
        <f aca="false">IF(C568=10,0,IF(F568=1,1,G567))</f>
        <v>1</v>
      </c>
      <c r="H568" s="5" t="n">
        <f aca="false">VA_base_426_data!B568</f>
        <v>4189.72046322163</v>
      </c>
      <c r="I568" s="5" t="n">
        <f aca="false">IF(AND(E568=1,OR(C568=4,C568=5)),25*12.1/24/D568*1000,0)</f>
        <v>0</v>
      </c>
      <c r="J568" s="5" t="n">
        <f aca="false">VA_base_426_data!C568</f>
        <v>1000</v>
      </c>
      <c r="K568" s="5" t="n">
        <f aca="false">H568+I568-J568</f>
        <v>3189.72046322163</v>
      </c>
      <c r="L568" s="5" t="n">
        <f aca="false">MIN($W$7,J568+K568)</f>
        <v>2000</v>
      </c>
      <c r="M568" s="5" t="n">
        <f aca="false">VA_base_426_data!D568</f>
        <v>700</v>
      </c>
      <c r="N568" s="5" t="n">
        <f aca="false">IF(AND(C568=10,E568=1),$W$6,N567-P567)</f>
        <v>0</v>
      </c>
      <c r="O568" s="5" t="n">
        <f aca="false">IF(ABS(M568-L568)&gt;1,MIN(N568/((L568-M568)*24/12.1/1000),D568),D568)</f>
        <v>0</v>
      </c>
      <c r="P568" s="5" t="n">
        <f aca="false">MIN(IF(AND(G568,E568),(L568-M568)*24/12.1*O568/1000,0),N568)</f>
        <v>0</v>
      </c>
      <c r="Q568" s="5" t="n">
        <f aca="false">IF(P568&gt;0,P568/O568*12.1/24*1000+M568,0)</f>
        <v>0</v>
      </c>
      <c r="R568" s="0" t="n">
        <f aca="false">IF(Q568&gt;0,TRUNC(O568),0)</f>
        <v>0</v>
      </c>
      <c r="S568" s="5" t="n">
        <f aca="false">(M568*(D568-R568)+(Q568*R568))/D568</f>
        <v>700</v>
      </c>
      <c r="T568" s="6" t="n">
        <f aca="false">(Q568-M568)*R568*24/12.1/1000</f>
        <v>-0</v>
      </c>
    </row>
    <row r="569" customFormat="false" ht="14.35" hidden="false" customHeight="false" outlineLevel="0" collapsed="false">
      <c r="A569" s="4" t="n">
        <v>25050</v>
      </c>
      <c r="B569" s="15" t="n">
        <f aca="false">IF(C569&lt;=9,YEAR(A569),YEAR(A569)+1)</f>
        <v>1968</v>
      </c>
      <c r="C569" s="15" t="n">
        <f aca="false">MONTH(A569)</f>
        <v>7</v>
      </c>
      <c r="D569" s="15" t="n">
        <f aca="false">DAY(A569)</f>
        <v>31</v>
      </c>
      <c r="E569" s="15" t="n">
        <f aca="false">VLOOKUP(B569,WYT!$A$2:$L$97,12)</f>
        <v>1</v>
      </c>
      <c r="F569" s="15" t="n">
        <f aca="false">IF(C569=$W$5,1,0)</f>
        <v>0</v>
      </c>
      <c r="G569" s="15" t="n">
        <f aca="false">IF(C569=10,0,IF(F569=1,1,G568))</f>
        <v>1</v>
      </c>
      <c r="H569" s="5" t="n">
        <f aca="false">VA_base_426_data!B569</f>
        <v>10000</v>
      </c>
      <c r="I569" s="5" t="n">
        <f aca="false">IF(AND(E569=1,OR(C569=4,C569=5)),25*12.1/24/D569*1000,0)</f>
        <v>0</v>
      </c>
      <c r="J569" s="5" t="n">
        <f aca="false">VA_base_426_data!C569</f>
        <v>1000</v>
      </c>
      <c r="K569" s="5" t="n">
        <f aca="false">H569+I569-J569</f>
        <v>9000</v>
      </c>
      <c r="L569" s="5" t="n">
        <f aca="false">MIN($W$7,J569+K569)</f>
        <v>2000</v>
      </c>
      <c r="M569" s="5" t="n">
        <f aca="false">VA_base_426_data!D569</f>
        <v>700</v>
      </c>
      <c r="N569" s="5" t="n">
        <f aca="false">IF(AND(C569=10,E569=1),$W$6,N568-P568)</f>
        <v>0</v>
      </c>
      <c r="O569" s="5" t="n">
        <f aca="false">IF(ABS(M569-L569)&gt;1,MIN(N569/((L569-M569)*24/12.1/1000),D569),D569)</f>
        <v>0</v>
      </c>
      <c r="P569" s="5" t="n">
        <f aca="false">MIN(IF(AND(G569,E569),(L569-M569)*24/12.1*O569/1000,0),N569)</f>
        <v>0</v>
      </c>
      <c r="Q569" s="5" t="n">
        <f aca="false">IF(P569&gt;0,P569/O569*12.1/24*1000+M569,0)</f>
        <v>0</v>
      </c>
      <c r="R569" s="0" t="n">
        <f aca="false">IF(Q569&gt;0,TRUNC(O569),0)</f>
        <v>0</v>
      </c>
      <c r="S569" s="5" t="n">
        <f aca="false">(M569*(D569-R569)+(Q569*R569))/D569</f>
        <v>700</v>
      </c>
      <c r="T569" s="6" t="n">
        <f aca="false">(Q569-M569)*R569*24/12.1/1000</f>
        <v>-0</v>
      </c>
    </row>
    <row r="570" customFormat="false" ht="14.35" hidden="false" customHeight="false" outlineLevel="0" collapsed="false">
      <c r="A570" s="4" t="n">
        <v>25081</v>
      </c>
      <c r="B570" s="15" t="n">
        <f aca="false">IF(C570&lt;=9,YEAR(A570),YEAR(A570)+1)</f>
        <v>1968</v>
      </c>
      <c r="C570" s="15" t="n">
        <f aca="false">MONTH(A570)</f>
        <v>8</v>
      </c>
      <c r="D570" s="15" t="n">
        <f aca="false">DAY(A570)</f>
        <v>31</v>
      </c>
      <c r="E570" s="15" t="n">
        <f aca="false">VLOOKUP(B570,WYT!$A$2:$L$97,12)</f>
        <v>1</v>
      </c>
      <c r="F570" s="15" t="n">
        <f aca="false">IF(C570=$W$5,1,0)</f>
        <v>0</v>
      </c>
      <c r="G570" s="15" t="n">
        <f aca="false">IF(C570=10,0,IF(F570=1,1,G569))</f>
        <v>1</v>
      </c>
      <c r="H570" s="5" t="n">
        <f aca="false">VA_base_426_data!B570</f>
        <v>7527.88639394057</v>
      </c>
      <c r="I570" s="5" t="n">
        <f aca="false">IF(AND(E570=1,OR(C570=4,C570=5)),25*12.1/24/D570*1000,0)</f>
        <v>0</v>
      </c>
      <c r="J570" s="5" t="n">
        <f aca="false">VA_base_426_data!C570</f>
        <v>1000</v>
      </c>
      <c r="K570" s="5" t="n">
        <f aca="false">H570+I570-J570</f>
        <v>6527.88639394057</v>
      </c>
      <c r="L570" s="5" t="n">
        <f aca="false">MIN($W$7,J570+K570)</f>
        <v>2000</v>
      </c>
      <c r="M570" s="5" t="n">
        <f aca="false">VA_base_426_data!D570</f>
        <v>700</v>
      </c>
      <c r="N570" s="5" t="n">
        <f aca="false">IF(AND(C570=10,E570=1),$W$6,N569-P569)</f>
        <v>0</v>
      </c>
      <c r="O570" s="5" t="n">
        <f aca="false">IF(ABS(M570-L570)&gt;1,MIN(N570/((L570-M570)*24/12.1/1000),D570),D570)</f>
        <v>0</v>
      </c>
      <c r="P570" s="5" t="n">
        <f aca="false">MIN(IF(AND(G570,E570),(L570-M570)*24/12.1*O570/1000,0),N570)</f>
        <v>0</v>
      </c>
      <c r="Q570" s="5" t="n">
        <f aca="false">IF(P570&gt;0,P570/O570*12.1/24*1000+M570,0)</f>
        <v>0</v>
      </c>
      <c r="R570" s="0" t="n">
        <f aca="false">IF(Q570&gt;0,TRUNC(O570),0)</f>
        <v>0</v>
      </c>
      <c r="S570" s="5" t="n">
        <f aca="false">(M570*(D570-R570)+(Q570*R570))/D570</f>
        <v>700</v>
      </c>
      <c r="T570" s="6" t="n">
        <f aca="false">(Q570-M570)*R570*24/12.1/1000</f>
        <v>-0</v>
      </c>
    </row>
    <row r="571" customFormat="false" ht="14.35" hidden="false" customHeight="false" outlineLevel="0" collapsed="false">
      <c r="A571" s="4" t="n">
        <v>25111</v>
      </c>
      <c r="B571" s="15" t="n">
        <f aca="false">IF(C571&lt;=9,YEAR(A571),YEAR(A571)+1)</f>
        <v>1968</v>
      </c>
      <c r="C571" s="15" t="n">
        <f aca="false">MONTH(A571)</f>
        <v>9</v>
      </c>
      <c r="D571" s="15" t="n">
        <f aca="false">DAY(A571)</f>
        <v>30</v>
      </c>
      <c r="E571" s="15" t="n">
        <f aca="false">VLOOKUP(B571,WYT!$A$2:$L$97,12)</f>
        <v>1</v>
      </c>
      <c r="F571" s="15" t="n">
        <f aca="false">IF(C571=$W$5,1,0)</f>
        <v>0</v>
      </c>
      <c r="G571" s="15" t="n">
        <f aca="false">IF(C571=10,0,IF(F571=1,1,G570))</f>
        <v>1</v>
      </c>
      <c r="H571" s="5" t="n">
        <f aca="false">VA_base_426_data!B571</f>
        <v>4743.26835232476</v>
      </c>
      <c r="I571" s="5" t="n">
        <f aca="false">IF(AND(E571=1,OR(C571=4,C571=5)),25*12.1/24/D571*1000,0)</f>
        <v>0</v>
      </c>
      <c r="J571" s="5" t="n">
        <f aca="false">VA_base_426_data!C571</f>
        <v>1000</v>
      </c>
      <c r="K571" s="5" t="n">
        <f aca="false">H571+I571-J571</f>
        <v>3743.26835232476</v>
      </c>
      <c r="L571" s="5" t="n">
        <f aca="false">MIN($W$7,J571+K571)</f>
        <v>2000</v>
      </c>
      <c r="M571" s="5" t="n">
        <f aca="false">VA_base_426_data!D571</f>
        <v>773.3333333</v>
      </c>
      <c r="N571" s="5" t="n">
        <f aca="false">IF(AND(C571=10,E571=1),$W$6,N570-P570)</f>
        <v>0</v>
      </c>
      <c r="O571" s="5" t="n">
        <f aca="false">IF(ABS(M571-L571)&gt;1,MIN(N571/((L571-M571)*24/12.1/1000),D571),D571)</f>
        <v>0</v>
      </c>
      <c r="P571" s="5" t="n">
        <f aca="false">MIN(IF(AND(G571,E571),(L571-M571)*24/12.1*O571/1000,0),N571)</f>
        <v>0</v>
      </c>
      <c r="Q571" s="5" t="n">
        <f aca="false">IF(P571&gt;0,P571/O571*12.1/24*1000+M571,0)</f>
        <v>0</v>
      </c>
      <c r="R571" s="0" t="n">
        <f aca="false">IF(Q571&gt;0,TRUNC(O571),0)</f>
        <v>0</v>
      </c>
      <c r="S571" s="5" t="n">
        <f aca="false">(M571*(D571-R571)+(Q571*R571))/D571</f>
        <v>773.3333333</v>
      </c>
      <c r="T571" s="6" t="n">
        <f aca="false">(Q571-M571)*R571*24/12.1/1000</f>
        <v>-0</v>
      </c>
    </row>
    <row r="572" customFormat="false" ht="14.35" hidden="false" customHeight="false" outlineLevel="0" collapsed="false">
      <c r="A572" s="4" t="n">
        <v>25142</v>
      </c>
      <c r="B572" s="15" t="n">
        <f aca="false">IF(C572&lt;=9,YEAR(A572),YEAR(A572)+1)</f>
        <v>1969</v>
      </c>
      <c r="C572" s="15" t="n">
        <f aca="false">MONTH(A572)</f>
        <v>10</v>
      </c>
      <c r="D572" s="15" t="n">
        <f aca="false">DAY(A572)</f>
        <v>31</v>
      </c>
      <c r="E572" s="15" t="n">
        <f aca="false">VLOOKUP(B572,WYT!$A$2:$L$97,12)</f>
        <v>0</v>
      </c>
      <c r="F572" s="15" t="n">
        <f aca="false">IF(C572=$W$5,1,0)</f>
        <v>0</v>
      </c>
      <c r="G572" s="15" t="n">
        <f aca="false">IF(C572=10,0,IF(F572=1,1,G571))</f>
        <v>0</v>
      </c>
      <c r="H572" s="5" t="n">
        <f aca="false">VA_base_426_data!B572</f>
        <v>2396.26486487769</v>
      </c>
      <c r="I572" s="5" t="n">
        <f aca="false">IF(AND(E572=1,OR(C572=4,C572=5)),25*12.1/24/D572*1000,0)</f>
        <v>0</v>
      </c>
      <c r="J572" s="5" t="n">
        <f aca="false">VA_base_426_data!C572</f>
        <v>1700</v>
      </c>
      <c r="K572" s="5" t="n">
        <f aca="false">H572+I572-J572</f>
        <v>696.264864877695</v>
      </c>
      <c r="L572" s="5" t="n">
        <f aca="false">MIN($W$7,J572+K572)</f>
        <v>2000</v>
      </c>
      <c r="M572" s="5" t="n">
        <f aca="false">VA_base_426_data!D572</f>
        <v>800</v>
      </c>
      <c r="N572" s="5" t="n">
        <f aca="false">IF(AND(C572=10,E572=1),$W$6,N571-P571)</f>
        <v>0</v>
      </c>
      <c r="O572" s="5" t="n">
        <f aca="false">IF(ABS(M572-L572)&gt;1,MIN(N572/((L572-M572)*24/12.1/1000),D572),D572)</f>
        <v>0</v>
      </c>
      <c r="P572" s="5" t="n">
        <f aca="false">MIN(IF(AND(G572,E572),(L572-M572)*24/12.1*O572/1000,0),N572)</f>
        <v>0</v>
      </c>
      <c r="Q572" s="5" t="n">
        <f aca="false">IF(P572&gt;0,P572/O572*12.1/24*1000+M572,0)</f>
        <v>0</v>
      </c>
      <c r="R572" s="0" t="n">
        <f aca="false">IF(Q572&gt;0,TRUNC(O572),0)</f>
        <v>0</v>
      </c>
      <c r="S572" s="5" t="n">
        <f aca="false">(M572*(D572-R572)+(Q572*R572))/D572</f>
        <v>800</v>
      </c>
      <c r="T572" s="6" t="n">
        <f aca="false">(Q572-M572)*R572*24/12.1/1000</f>
        <v>-0</v>
      </c>
    </row>
    <row r="573" customFormat="false" ht="14.35" hidden="false" customHeight="false" outlineLevel="0" collapsed="false">
      <c r="A573" s="4" t="n">
        <v>25172</v>
      </c>
      <c r="B573" s="15" t="n">
        <f aca="false">IF(C573&lt;=9,YEAR(A573),YEAR(A573)+1)</f>
        <v>1969</v>
      </c>
      <c r="C573" s="15" t="n">
        <f aca="false">MONTH(A573)</f>
        <v>11</v>
      </c>
      <c r="D573" s="15" t="n">
        <f aca="false">DAY(A573)</f>
        <v>30</v>
      </c>
      <c r="E573" s="15" t="n">
        <f aca="false">VLOOKUP(B573,WYT!$A$2:$L$97,12)</f>
        <v>0</v>
      </c>
      <c r="F573" s="15" t="n">
        <f aca="false">IF(C573=$W$5,1,0)</f>
        <v>0</v>
      </c>
      <c r="G573" s="15" t="n">
        <f aca="false">IF(C573=10,0,IF(F573=1,1,G572))</f>
        <v>0</v>
      </c>
      <c r="H573" s="5" t="n">
        <f aca="false">VA_base_426_data!B573</f>
        <v>1700.60393951068</v>
      </c>
      <c r="I573" s="5" t="n">
        <f aca="false">IF(AND(E573=1,OR(C573=4,C573=5)),25*12.1/24/D573*1000,0)</f>
        <v>0</v>
      </c>
      <c r="J573" s="5" t="n">
        <f aca="false">VA_base_426_data!C573</f>
        <v>1700</v>
      </c>
      <c r="K573" s="5" t="n">
        <f aca="false">H573+I573-J573</f>
        <v>0.603939510677947</v>
      </c>
      <c r="L573" s="5" t="n">
        <f aca="false">MIN($W$7,J573+K573)</f>
        <v>1700.60393951068</v>
      </c>
      <c r="M573" s="5" t="n">
        <f aca="false">VA_base_426_data!D573</f>
        <v>800</v>
      </c>
      <c r="N573" s="5" t="n">
        <f aca="false">IF(AND(C573=10,E573=1),$W$6,N572-P572)</f>
        <v>0</v>
      </c>
      <c r="O573" s="5" t="n">
        <f aca="false">IF(ABS(M573-L573)&gt;1,MIN(N573/((L573-M573)*24/12.1/1000),D573),D573)</f>
        <v>0</v>
      </c>
      <c r="P573" s="5" t="n">
        <f aca="false">MIN(IF(AND(G573,E573),(L573-M573)*24/12.1*O573/1000,0),N573)</f>
        <v>0</v>
      </c>
      <c r="Q573" s="5" t="n">
        <f aca="false">IF(P573&gt;0,P573/O573*12.1/24*1000+M573,0)</f>
        <v>0</v>
      </c>
      <c r="R573" s="0" t="n">
        <f aca="false">IF(Q573&gt;0,TRUNC(O573),0)</f>
        <v>0</v>
      </c>
      <c r="S573" s="5" t="n">
        <f aca="false">(M573*(D573-R573)+(Q573*R573))/D573</f>
        <v>800</v>
      </c>
      <c r="T573" s="6" t="n">
        <f aca="false">(Q573-M573)*R573*24/12.1/1000</f>
        <v>-0</v>
      </c>
    </row>
    <row r="574" customFormat="false" ht="14.35" hidden="false" customHeight="false" outlineLevel="0" collapsed="false">
      <c r="A574" s="4" t="n">
        <v>25203</v>
      </c>
      <c r="B574" s="15" t="n">
        <f aca="false">IF(C574&lt;=9,YEAR(A574),YEAR(A574)+1)</f>
        <v>1969</v>
      </c>
      <c r="C574" s="15" t="n">
        <f aca="false">MONTH(A574)</f>
        <v>12</v>
      </c>
      <c r="D574" s="15" t="n">
        <f aca="false">DAY(A574)</f>
        <v>31</v>
      </c>
      <c r="E574" s="15" t="n">
        <f aca="false">VLOOKUP(B574,WYT!$A$2:$L$97,12)</f>
        <v>0</v>
      </c>
      <c r="F574" s="15" t="n">
        <f aca="false">IF(C574=$W$5,1,0)</f>
        <v>0</v>
      </c>
      <c r="G574" s="15" t="n">
        <f aca="false">IF(C574=10,0,IF(F574=1,1,G573))</f>
        <v>0</v>
      </c>
      <c r="H574" s="5" t="n">
        <f aca="false">VA_base_426_data!B574</f>
        <v>1700</v>
      </c>
      <c r="I574" s="5" t="n">
        <f aca="false">IF(AND(E574=1,OR(C574=4,C574=5)),25*12.1/24/D574*1000,0)</f>
        <v>0</v>
      </c>
      <c r="J574" s="5" t="n">
        <f aca="false">VA_base_426_data!C574</f>
        <v>1700</v>
      </c>
      <c r="K574" s="5" t="n">
        <f aca="false">H574+I574-J574</f>
        <v>0</v>
      </c>
      <c r="L574" s="5" t="n">
        <f aca="false">MIN($W$7,J574+K574)</f>
        <v>1700</v>
      </c>
      <c r="M574" s="5" t="n">
        <f aca="false">VA_base_426_data!D574</f>
        <v>800</v>
      </c>
      <c r="N574" s="5" t="n">
        <f aca="false">IF(AND(C574=10,E574=1),$W$6,N573-P573)</f>
        <v>0</v>
      </c>
      <c r="O574" s="5" t="n">
        <f aca="false">IF(ABS(M574-L574)&gt;1,MIN(N574/((L574-M574)*24/12.1/1000),D574),D574)</f>
        <v>0</v>
      </c>
      <c r="P574" s="5" t="n">
        <f aca="false">MIN(IF(AND(G574,E574),(L574-M574)*24/12.1*O574/1000,0),N574)</f>
        <v>0</v>
      </c>
      <c r="Q574" s="5" t="n">
        <f aca="false">IF(P574&gt;0,P574/O574*12.1/24*1000+M574,0)</f>
        <v>0</v>
      </c>
      <c r="R574" s="0" t="n">
        <f aca="false">IF(Q574&gt;0,TRUNC(O574),0)</f>
        <v>0</v>
      </c>
      <c r="S574" s="5" t="n">
        <f aca="false">(M574*(D574-R574)+(Q574*R574))/D574</f>
        <v>800</v>
      </c>
      <c r="T574" s="6" t="n">
        <f aca="false">(Q574-M574)*R574*24/12.1/1000</f>
        <v>-0</v>
      </c>
    </row>
    <row r="575" customFormat="false" ht="14.35" hidden="false" customHeight="false" outlineLevel="0" collapsed="false">
      <c r="A575" s="4" t="n">
        <v>25234</v>
      </c>
      <c r="B575" s="15" t="n">
        <f aca="false">IF(C575&lt;=9,YEAR(A575),YEAR(A575)+1)</f>
        <v>1969</v>
      </c>
      <c r="C575" s="15" t="n">
        <f aca="false">MONTH(A575)</f>
        <v>1</v>
      </c>
      <c r="D575" s="15" t="n">
        <f aca="false">DAY(A575)</f>
        <v>31</v>
      </c>
      <c r="E575" s="15" t="n">
        <f aca="false">VLOOKUP(B575,WYT!$A$2:$L$97,12)</f>
        <v>0</v>
      </c>
      <c r="F575" s="15" t="n">
        <f aca="false">IF(C575=$W$5,1,0)</f>
        <v>0</v>
      </c>
      <c r="G575" s="15" t="n">
        <f aca="false">IF(C575=10,0,IF(F575=1,1,G574))</f>
        <v>0</v>
      </c>
      <c r="H575" s="5" t="n">
        <f aca="false">VA_base_426_data!B575</f>
        <v>6453.98998695442</v>
      </c>
      <c r="I575" s="5" t="n">
        <f aca="false">IF(AND(E575=1,OR(C575=4,C575=5)),25*12.1/24/D575*1000,0)</f>
        <v>0</v>
      </c>
      <c r="J575" s="5" t="n">
        <f aca="false">VA_base_426_data!C575</f>
        <v>1700</v>
      </c>
      <c r="K575" s="5" t="n">
        <f aca="false">H575+I575-J575</f>
        <v>4753.98998695442</v>
      </c>
      <c r="L575" s="5" t="n">
        <f aca="false">MIN($W$7,J575+K575)</f>
        <v>2000</v>
      </c>
      <c r="M575" s="5" t="n">
        <f aca="false">VA_base_426_data!D575</f>
        <v>800</v>
      </c>
      <c r="N575" s="5" t="n">
        <f aca="false">IF(AND(C575=10,E575=1),$W$6,N574-P574)</f>
        <v>0</v>
      </c>
      <c r="O575" s="5" t="n">
        <f aca="false">IF(ABS(M575-L575)&gt;1,MIN(N575/((L575-M575)*24/12.1/1000),D575),D575)</f>
        <v>0</v>
      </c>
      <c r="P575" s="5" t="n">
        <f aca="false">MIN(IF(AND(G575,E575),(L575-M575)*24/12.1*O575/1000,0),N575)</f>
        <v>0</v>
      </c>
      <c r="Q575" s="5" t="n">
        <f aca="false">IF(P575&gt;0,P575/O575*12.1/24*1000+M575,0)</f>
        <v>0</v>
      </c>
      <c r="R575" s="0" t="n">
        <f aca="false">IF(Q575&gt;0,TRUNC(O575),0)</f>
        <v>0</v>
      </c>
      <c r="S575" s="5" t="n">
        <f aca="false">(M575*(D575-R575)+(Q575*R575))/D575</f>
        <v>800</v>
      </c>
      <c r="T575" s="6" t="n">
        <f aca="false">(Q575-M575)*R575*24/12.1/1000</f>
        <v>-0</v>
      </c>
    </row>
    <row r="576" customFormat="false" ht="14.35" hidden="false" customHeight="false" outlineLevel="0" collapsed="false">
      <c r="A576" s="4" t="n">
        <v>25262</v>
      </c>
      <c r="B576" s="15" t="n">
        <f aca="false">IF(C576&lt;=9,YEAR(A576),YEAR(A576)+1)</f>
        <v>1969</v>
      </c>
      <c r="C576" s="15" t="n">
        <f aca="false">MONTH(A576)</f>
        <v>2</v>
      </c>
      <c r="D576" s="15" t="n">
        <f aca="false">DAY(A576)</f>
        <v>28</v>
      </c>
      <c r="E576" s="15" t="n">
        <f aca="false">VLOOKUP(B576,WYT!$A$2:$L$97,12)</f>
        <v>0</v>
      </c>
      <c r="F576" s="15" t="n">
        <f aca="false">IF(C576=$W$5,1,0)</f>
        <v>1</v>
      </c>
      <c r="G576" s="15" t="n">
        <f aca="false">IF(C576=10,0,IF(F576=1,1,G575))</f>
        <v>1</v>
      </c>
      <c r="H576" s="5" t="n">
        <f aca="false">VA_base_426_data!B576</f>
        <v>12472.486521228</v>
      </c>
      <c r="I576" s="5" t="n">
        <f aca="false">IF(AND(E576=1,OR(C576=4,C576=5)),25*12.1/24/D576*1000,0)</f>
        <v>0</v>
      </c>
      <c r="J576" s="5" t="n">
        <f aca="false">VA_base_426_data!C576</f>
        <v>1700</v>
      </c>
      <c r="K576" s="5" t="n">
        <f aca="false">H576+I576-J576</f>
        <v>10772.486521228</v>
      </c>
      <c r="L576" s="5" t="n">
        <f aca="false">MIN($W$7,J576+K576)</f>
        <v>2000</v>
      </c>
      <c r="M576" s="5" t="n">
        <f aca="false">VA_base_426_data!D576</f>
        <v>800</v>
      </c>
      <c r="N576" s="5" t="n">
        <f aca="false">IF(AND(C576=10,E576=1),$W$6,N575-P575)</f>
        <v>0</v>
      </c>
      <c r="O576" s="5" t="n">
        <f aca="false">IF(ABS(M576-L576)&gt;1,MIN(N576/((L576-M576)*24/12.1/1000),D576),D576)</f>
        <v>0</v>
      </c>
      <c r="P576" s="5" t="n">
        <f aca="false">MIN(IF(AND(G576,E576),(L576-M576)*24/12.1*O576/1000,0),N576)</f>
        <v>0</v>
      </c>
      <c r="Q576" s="5" t="n">
        <f aca="false">IF(P576&gt;0,P576/O576*12.1/24*1000+M576,0)</f>
        <v>0</v>
      </c>
      <c r="R576" s="0" t="n">
        <f aca="false">IF(Q576&gt;0,TRUNC(O576),0)</f>
        <v>0</v>
      </c>
      <c r="S576" s="5" t="n">
        <f aca="false">(M576*(D576-R576)+(Q576*R576))/D576</f>
        <v>800</v>
      </c>
      <c r="T576" s="6" t="n">
        <f aca="false">(Q576-M576)*R576*24/12.1/1000</f>
        <v>-0</v>
      </c>
    </row>
    <row r="577" customFormat="false" ht="14.35" hidden="false" customHeight="false" outlineLevel="0" collapsed="false">
      <c r="A577" s="4" t="n">
        <v>25293</v>
      </c>
      <c r="B577" s="15" t="n">
        <f aca="false">IF(C577&lt;=9,YEAR(A577),YEAR(A577)+1)</f>
        <v>1969</v>
      </c>
      <c r="C577" s="15" t="n">
        <f aca="false">MONTH(A577)</f>
        <v>3</v>
      </c>
      <c r="D577" s="15" t="n">
        <f aca="false">DAY(A577)</f>
        <v>31</v>
      </c>
      <c r="E577" s="15" t="n">
        <f aca="false">VLOOKUP(B577,WYT!$A$2:$L$97,12)</f>
        <v>0</v>
      </c>
      <c r="F577" s="15" t="n">
        <f aca="false">IF(C577=$W$5,1,0)</f>
        <v>0</v>
      </c>
      <c r="G577" s="15" t="n">
        <f aca="false">IF(C577=10,0,IF(F577=1,1,G576))</f>
        <v>1</v>
      </c>
      <c r="H577" s="5" t="n">
        <f aca="false">VA_base_426_data!B577</f>
        <v>6449.60628360804</v>
      </c>
      <c r="I577" s="5" t="n">
        <f aca="false">IF(AND(E577=1,OR(C577=4,C577=5)),25*12.1/24/D577*1000,0)</f>
        <v>0</v>
      </c>
      <c r="J577" s="5" t="n">
        <f aca="false">VA_base_426_data!C577</f>
        <v>1700</v>
      </c>
      <c r="K577" s="5" t="n">
        <f aca="false">H577+I577-J577</f>
        <v>4749.60628360804</v>
      </c>
      <c r="L577" s="5" t="n">
        <f aca="false">MIN($W$7,J577+K577)</f>
        <v>2000</v>
      </c>
      <c r="M577" s="5" t="n">
        <f aca="false">VA_base_426_data!D577</f>
        <v>800</v>
      </c>
      <c r="N577" s="5" t="n">
        <f aca="false">IF(AND(C577=10,E577=1),$W$6,N576-P576)</f>
        <v>0</v>
      </c>
      <c r="O577" s="5" t="n">
        <f aca="false">IF(ABS(M577-L577)&gt;1,MIN(N577/((L577-M577)*24/12.1/1000),D577),D577)</f>
        <v>0</v>
      </c>
      <c r="P577" s="5" t="n">
        <f aca="false">MIN(IF(AND(G577,E577),(L577-M577)*24/12.1*O577/1000,0),N577)</f>
        <v>0</v>
      </c>
      <c r="Q577" s="5" t="n">
        <f aca="false">IF(P577&gt;0,P577/O577*12.1/24*1000+M577,0)</f>
        <v>0</v>
      </c>
      <c r="R577" s="0" t="n">
        <f aca="false">IF(Q577&gt;0,TRUNC(O577),0)</f>
        <v>0</v>
      </c>
      <c r="S577" s="5" t="n">
        <f aca="false">(M577*(D577-R577)+(Q577*R577))/D577</f>
        <v>800</v>
      </c>
      <c r="T577" s="6" t="n">
        <f aca="false">(Q577-M577)*R577*24/12.1/1000</f>
        <v>-0</v>
      </c>
    </row>
    <row r="578" customFormat="false" ht="14.35" hidden="false" customHeight="false" outlineLevel="0" collapsed="false">
      <c r="A578" s="4" t="n">
        <v>25323</v>
      </c>
      <c r="B578" s="15" t="n">
        <f aca="false">IF(C578&lt;=9,YEAR(A578),YEAR(A578)+1)</f>
        <v>1969</v>
      </c>
      <c r="C578" s="15" t="n">
        <f aca="false">MONTH(A578)</f>
        <v>4</v>
      </c>
      <c r="D578" s="15" t="n">
        <f aca="false">DAY(A578)</f>
        <v>30</v>
      </c>
      <c r="E578" s="15" t="n">
        <f aca="false">VLOOKUP(B578,WYT!$A$2:$L$97,12)</f>
        <v>0</v>
      </c>
      <c r="F578" s="15" t="n">
        <f aca="false">IF(C578=$W$5,1,0)</f>
        <v>0</v>
      </c>
      <c r="G578" s="15" t="n">
        <f aca="false">IF(C578=10,0,IF(F578=1,1,G577))</f>
        <v>1</v>
      </c>
      <c r="H578" s="5" t="n">
        <f aca="false">VA_base_426_data!B578</f>
        <v>7559.97542206831</v>
      </c>
      <c r="I578" s="5" t="n">
        <f aca="false">IF(AND(E578=1,OR(C578=4,C578=5)),25*12.1/24/D578*1000,0)</f>
        <v>0</v>
      </c>
      <c r="J578" s="5" t="n">
        <f aca="false">VA_base_426_data!C578</f>
        <v>1000</v>
      </c>
      <c r="K578" s="5" t="n">
        <f aca="false">H578+I578-J578</f>
        <v>6559.97542206831</v>
      </c>
      <c r="L578" s="5" t="n">
        <f aca="false">MIN($W$7,J578+K578)</f>
        <v>2000</v>
      </c>
      <c r="M578" s="5" t="n">
        <f aca="false">VA_base_426_data!D578</f>
        <v>700</v>
      </c>
      <c r="N578" s="5" t="n">
        <f aca="false">IF(AND(C578=10,E578=1),$W$6,N577-P577)</f>
        <v>0</v>
      </c>
      <c r="O578" s="5" t="n">
        <f aca="false">IF(ABS(M578-L578)&gt;1,MIN(N578/((L578-M578)*24/12.1/1000),D578),D578)</f>
        <v>0</v>
      </c>
      <c r="P578" s="5" t="n">
        <f aca="false">MIN(IF(AND(G578,E578),(L578-M578)*24/12.1*O578/1000,0),N578)</f>
        <v>0</v>
      </c>
      <c r="Q578" s="5" t="n">
        <f aca="false">IF(P578&gt;0,P578/O578*12.1/24*1000+M578,0)</f>
        <v>0</v>
      </c>
      <c r="R578" s="0" t="n">
        <f aca="false">IF(Q578&gt;0,TRUNC(O578),0)</f>
        <v>0</v>
      </c>
      <c r="S578" s="5" t="n">
        <f aca="false">(M578*(D578-R578)+(Q578*R578))/D578</f>
        <v>700</v>
      </c>
      <c r="T578" s="6" t="n">
        <f aca="false">(Q578-M578)*R578*24/12.1/1000</f>
        <v>-0</v>
      </c>
    </row>
    <row r="579" customFormat="false" ht="14.35" hidden="false" customHeight="false" outlineLevel="0" collapsed="false">
      <c r="A579" s="4" t="n">
        <v>25354</v>
      </c>
      <c r="B579" s="15" t="n">
        <f aca="false">IF(C579&lt;=9,YEAR(A579),YEAR(A579)+1)</f>
        <v>1969</v>
      </c>
      <c r="C579" s="15" t="n">
        <f aca="false">MONTH(A579)</f>
        <v>5</v>
      </c>
      <c r="D579" s="15" t="n">
        <f aca="false">DAY(A579)</f>
        <v>31</v>
      </c>
      <c r="E579" s="15" t="n">
        <f aca="false">VLOOKUP(B579,WYT!$A$2:$L$97,12)</f>
        <v>0</v>
      </c>
      <c r="F579" s="15" t="n">
        <f aca="false">IF(C579=$W$5,1,0)</f>
        <v>0</v>
      </c>
      <c r="G579" s="15" t="n">
        <f aca="false">IF(C579=10,0,IF(F579=1,1,G578))</f>
        <v>1</v>
      </c>
      <c r="H579" s="5" t="n">
        <f aca="false">VA_base_426_data!B579</f>
        <v>12825.0923709155</v>
      </c>
      <c r="I579" s="5" t="n">
        <f aca="false">IF(AND(E579=1,OR(C579=4,C579=5)),25*12.1/24/D579*1000,0)</f>
        <v>0</v>
      </c>
      <c r="J579" s="5" t="n">
        <f aca="false">VA_base_426_data!C579</f>
        <v>1000</v>
      </c>
      <c r="K579" s="5" t="n">
        <f aca="false">H579+I579-J579</f>
        <v>11825.0923709155</v>
      </c>
      <c r="L579" s="5" t="n">
        <f aca="false">MIN($W$7,J579+K579)</f>
        <v>2000</v>
      </c>
      <c r="M579" s="5" t="n">
        <f aca="false">VA_base_426_data!D579</f>
        <v>700</v>
      </c>
      <c r="N579" s="5" t="n">
        <f aca="false">IF(AND(C579=10,E579=1),$W$6,N578-P578)</f>
        <v>0</v>
      </c>
      <c r="O579" s="5" t="n">
        <f aca="false">IF(ABS(M579-L579)&gt;1,MIN(N579/((L579-M579)*24/12.1/1000),D579),D579)</f>
        <v>0</v>
      </c>
      <c r="P579" s="5" t="n">
        <f aca="false">MIN(IF(AND(G579,E579),(L579-M579)*24/12.1*O579/1000,0),N579)</f>
        <v>0</v>
      </c>
      <c r="Q579" s="5" t="n">
        <f aca="false">IF(P579&gt;0,P579/O579*12.1/24*1000+M579,0)</f>
        <v>0</v>
      </c>
      <c r="R579" s="0" t="n">
        <f aca="false">IF(Q579&gt;0,TRUNC(O579),0)</f>
        <v>0</v>
      </c>
      <c r="S579" s="5" t="n">
        <f aca="false">(M579*(D579-R579)+(Q579*R579))/D579</f>
        <v>700</v>
      </c>
      <c r="T579" s="6" t="n">
        <f aca="false">(Q579-M579)*R579*24/12.1/1000</f>
        <v>-0</v>
      </c>
    </row>
    <row r="580" customFormat="false" ht="14.35" hidden="false" customHeight="false" outlineLevel="0" collapsed="false">
      <c r="A580" s="4" t="n">
        <v>25384</v>
      </c>
      <c r="B580" s="15" t="n">
        <f aca="false">IF(C580&lt;=9,YEAR(A580),YEAR(A580)+1)</f>
        <v>1969</v>
      </c>
      <c r="C580" s="15" t="n">
        <f aca="false">MONTH(A580)</f>
        <v>6</v>
      </c>
      <c r="D580" s="15" t="n">
        <f aca="false">DAY(A580)</f>
        <v>30</v>
      </c>
      <c r="E580" s="15" t="n">
        <f aca="false">VLOOKUP(B580,WYT!$A$2:$L$97,12)</f>
        <v>0</v>
      </c>
      <c r="F580" s="15" t="n">
        <f aca="false">IF(C580=$W$5,1,0)</f>
        <v>0</v>
      </c>
      <c r="G580" s="15" t="n">
        <f aca="false">IF(C580=10,0,IF(F580=1,1,G579))</f>
        <v>1</v>
      </c>
      <c r="H580" s="5" t="n">
        <f aca="false">VA_base_426_data!B580</f>
        <v>3740.85142656803</v>
      </c>
      <c r="I580" s="5" t="n">
        <f aca="false">IF(AND(E580=1,OR(C580=4,C580=5)),25*12.1/24/D580*1000,0)</f>
        <v>0</v>
      </c>
      <c r="J580" s="5" t="n">
        <f aca="false">VA_base_426_data!C580</f>
        <v>1000</v>
      </c>
      <c r="K580" s="5" t="n">
        <f aca="false">H580+I580-J580</f>
        <v>2740.85142656803</v>
      </c>
      <c r="L580" s="5" t="n">
        <f aca="false">MIN($W$7,J580+K580)</f>
        <v>2000</v>
      </c>
      <c r="M580" s="5" t="n">
        <f aca="false">VA_base_426_data!D580</f>
        <v>700</v>
      </c>
      <c r="N580" s="5" t="n">
        <f aca="false">IF(AND(C580=10,E580=1),$W$6,N579-P579)</f>
        <v>0</v>
      </c>
      <c r="O580" s="5" t="n">
        <f aca="false">IF(ABS(M580-L580)&gt;1,MIN(N580/((L580-M580)*24/12.1/1000),D580),D580)</f>
        <v>0</v>
      </c>
      <c r="P580" s="5" t="n">
        <f aca="false">MIN(IF(AND(G580,E580),(L580-M580)*24/12.1*O580/1000,0),N580)</f>
        <v>0</v>
      </c>
      <c r="Q580" s="5" t="n">
        <f aca="false">IF(P580&gt;0,P580/O580*12.1/24*1000+M580,0)</f>
        <v>0</v>
      </c>
      <c r="R580" s="0" t="n">
        <f aca="false">IF(Q580&gt;0,TRUNC(O580),0)</f>
        <v>0</v>
      </c>
      <c r="S580" s="5" t="n">
        <f aca="false">(M580*(D580-R580)+(Q580*R580))/D580</f>
        <v>700</v>
      </c>
      <c r="T580" s="6" t="n">
        <f aca="false">(Q580-M580)*R580*24/12.1/1000</f>
        <v>-0</v>
      </c>
    </row>
    <row r="581" customFormat="false" ht="14.35" hidden="false" customHeight="false" outlineLevel="0" collapsed="false">
      <c r="A581" s="4" t="n">
        <v>25415</v>
      </c>
      <c r="B581" s="15" t="n">
        <f aca="false">IF(C581&lt;=9,YEAR(A581),YEAR(A581)+1)</f>
        <v>1969</v>
      </c>
      <c r="C581" s="15" t="n">
        <f aca="false">MONTH(A581)</f>
        <v>7</v>
      </c>
      <c r="D581" s="15" t="n">
        <f aca="false">DAY(A581)</f>
        <v>31</v>
      </c>
      <c r="E581" s="15" t="n">
        <f aca="false">VLOOKUP(B581,WYT!$A$2:$L$97,12)</f>
        <v>0</v>
      </c>
      <c r="F581" s="15" t="n">
        <f aca="false">IF(C581=$W$5,1,0)</f>
        <v>0</v>
      </c>
      <c r="G581" s="15" t="n">
        <f aca="false">IF(C581=10,0,IF(F581=1,1,G580))</f>
        <v>1</v>
      </c>
      <c r="H581" s="5" t="n">
        <f aca="false">VA_base_426_data!B581</f>
        <v>5409.12471617888</v>
      </c>
      <c r="I581" s="5" t="n">
        <f aca="false">IF(AND(E581=1,OR(C581=4,C581=5)),25*12.1/24/D581*1000,0)</f>
        <v>0</v>
      </c>
      <c r="J581" s="5" t="n">
        <f aca="false">VA_base_426_data!C581</f>
        <v>1000</v>
      </c>
      <c r="K581" s="5" t="n">
        <f aca="false">H581+I581-J581</f>
        <v>4409.12471617888</v>
      </c>
      <c r="L581" s="5" t="n">
        <f aca="false">MIN($W$7,J581+K581)</f>
        <v>2000</v>
      </c>
      <c r="M581" s="5" t="n">
        <f aca="false">VA_base_426_data!D581</f>
        <v>700</v>
      </c>
      <c r="N581" s="5" t="n">
        <f aca="false">IF(AND(C581=10,E581=1),$W$6,N580-P580)</f>
        <v>0</v>
      </c>
      <c r="O581" s="5" t="n">
        <f aca="false">IF(ABS(M581-L581)&gt;1,MIN(N581/((L581-M581)*24/12.1/1000),D581),D581)</f>
        <v>0</v>
      </c>
      <c r="P581" s="5" t="n">
        <f aca="false">MIN(IF(AND(G581,E581),(L581-M581)*24/12.1*O581/1000,0),N581)</f>
        <v>0</v>
      </c>
      <c r="Q581" s="5" t="n">
        <f aca="false">IF(P581&gt;0,P581/O581*12.1/24*1000+M581,0)</f>
        <v>0</v>
      </c>
      <c r="R581" s="0" t="n">
        <f aca="false">IF(Q581&gt;0,TRUNC(O581),0)</f>
        <v>0</v>
      </c>
      <c r="S581" s="5" t="n">
        <f aca="false">(M581*(D581-R581)+(Q581*R581))/D581</f>
        <v>700</v>
      </c>
      <c r="T581" s="6" t="n">
        <f aca="false">(Q581-M581)*R581*24/12.1/1000</f>
        <v>-0</v>
      </c>
    </row>
    <row r="582" customFormat="false" ht="14.35" hidden="false" customHeight="false" outlineLevel="0" collapsed="false">
      <c r="A582" s="4" t="n">
        <v>25446</v>
      </c>
      <c r="B582" s="15" t="n">
        <f aca="false">IF(C582&lt;=9,YEAR(A582),YEAR(A582)+1)</f>
        <v>1969</v>
      </c>
      <c r="C582" s="15" t="n">
        <f aca="false">MONTH(A582)</f>
        <v>8</v>
      </c>
      <c r="D582" s="15" t="n">
        <f aca="false">DAY(A582)</f>
        <v>31</v>
      </c>
      <c r="E582" s="15" t="n">
        <f aca="false">VLOOKUP(B582,WYT!$A$2:$L$97,12)</f>
        <v>0</v>
      </c>
      <c r="F582" s="15" t="n">
        <f aca="false">IF(C582=$W$5,1,0)</f>
        <v>0</v>
      </c>
      <c r="G582" s="15" t="n">
        <f aca="false">IF(C582=10,0,IF(F582=1,1,G581))</f>
        <v>1</v>
      </c>
      <c r="H582" s="5" t="n">
        <f aca="false">VA_base_426_data!B582</f>
        <v>4434.95106326214</v>
      </c>
      <c r="I582" s="5" t="n">
        <f aca="false">IF(AND(E582=1,OR(C582=4,C582=5)),25*12.1/24/D582*1000,0)</f>
        <v>0</v>
      </c>
      <c r="J582" s="5" t="n">
        <f aca="false">VA_base_426_data!C582</f>
        <v>1000</v>
      </c>
      <c r="K582" s="5" t="n">
        <f aca="false">H582+I582-J582</f>
        <v>3434.95106326214</v>
      </c>
      <c r="L582" s="5" t="n">
        <f aca="false">MIN($W$7,J582+K582)</f>
        <v>2000</v>
      </c>
      <c r="M582" s="5" t="n">
        <f aca="false">VA_base_426_data!D582</f>
        <v>700</v>
      </c>
      <c r="N582" s="5" t="n">
        <f aca="false">IF(AND(C582=10,E582=1),$W$6,N581-P581)</f>
        <v>0</v>
      </c>
      <c r="O582" s="5" t="n">
        <f aca="false">IF(ABS(M582-L582)&gt;1,MIN(N582/((L582-M582)*24/12.1/1000),D582),D582)</f>
        <v>0</v>
      </c>
      <c r="P582" s="5" t="n">
        <f aca="false">MIN(IF(AND(G582,E582),(L582-M582)*24/12.1*O582/1000,0),N582)</f>
        <v>0</v>
      </c>
      <c r="Q582" s="5" t="n">
        <f aca="false">IF(P582&gt;0,P582/O582*12.1/24*1000+M582,0)</f>
        <v>0</v>
      </c>
      <c r="R582" s="0" t="n">
        <f aca="false">IF(Q582&gt;0,TRUNC(O582),0)</f>
        <v>0</v>
      </c>
      <c r="S582" s="5" t="n">
        <f aca="false">(M582*(D582-R582)+(Q582*R582))/D582</f>
        <v>700</v>
      </c>
      <c r="T582" s="6" t="n">
        <f aca="false">(Q582-M582)*R582*24/12.1/1000</f>
        <v>-0</v>
      </c>
    </row>
    <row r="583" customFormat="false" ht="14.35" hidden="false" customHeight="false" outlineLevel="0" collapsed="false">
      <c r="A583" s="4" t="n">
        <v>25476</v>
      </c>
      <c r="B583" s="15" t="n">
        <f aca="false">IF(C583&lt;=9,YEAR(A583),YEAR(A583)+1)</f>
        <v>1969</v>
      </c>
      <c r="C583" s="15" t="n">
        <f aca="false">MONTH(A583)</f>
        <v>9</v>
      </c>
      <c r="D583" s="15" t="n">
        <f aca="false">DAY(A583)</f>
        <v>30</v>
      </c>
      <c r="E583" s="15" t="n">
        <f aca="false">VLOOKUP(B583,WYT!$A$2:$L$97,12)</f>
        <v>0</v>
      </c>
      <c r="F583" s="15" t="n">
        <f aca="false">IF(C583=$W$5,1,0)</f>
        <v>0</v>
      </c>
      <c r="G583" s="15" t="n">
        <f aca="false">IF(C583=10,0,IF(F583=1,1,G582))</f>
        <v>1</v>
      </c>
      <c r="H583" s="5" t="n">
        <f aca="false">VA_base_426_data!B583</f>
        <v>9802.1974182129</v>
      </c>
      <c r="I583" s="5" t="n">
        <f aca="false">IF(AND(E583=1,OR(C583=4,C583=5)),25*12.1/24/D583*1000,0)</f>
        <v>0</v>
      </c>
      <c r="J583" s="5" t="n">
        <f aca="false">VA_base_426_data!C583</f>
        <v>1000</v>
      </c>
      <c r="K583" s="5" t="n">
        <f aca="false">H583+I583-J583</f>
        <v>8802.1974182129</v>
      </c>
      <c r="L583" s="5" t="n">
        <f aca="false">MIN($W$7,J583+K583)</f>
        <v>2000</v>
      </c>
      <c r="M583" s="5" t="n">
        <f aca="false">VA_base_426_data!D583</f>
        <v>773.3333333</v>
      </c>
      <c r="N583" s="5" t="n">
        <f aca="false">IF(AND(C583=10,E583=1),$W$6,N582-P582)</f>
        <v>0</v>
      </c>
      <c r="O583" s="5" t="n">
        <f aca="false">IF(ABS(M583-L583)&gt;1,MIN(N583/((L583-M583)*24/12.1/1000),D583),D583)</f>
        <v>0</v>
      </c>
      <c r="P583" s="5" t="n">
        <f aca="false">MIN(IF(AND(G583,E583),(L583-M583)*24/12.1*O583/1000,0),N583)</f>
        <v>0</v>
      </c>
      <c r="Q583" s="5" t="n">
        <f aca="false">IF(P583&gt;0,P583/O583*12.1/24*1000+M583,0)</f>
        <v>0</v>
      </c>
      <c r="R583" s="0" t="n">
        <f aca="false">IF(Q583&gt;0,TRUNC(O583),0)</f>
        <v>0</v>
      </c>
      <c r="S583" s="5" t="n">
        <f aca="false">(M583*(D583-R583)+(Q583*R583))/D583</f>
        <v>773.3333333</v>
      </c>
      <c r="T583" s="6" t="n">
        <f aca="false">(Q583-M583)*R583*24/12.1/1000</f>
        <v>-0</v>
      </c>
    </row>
    <row r="584" customFormat="false" ht="14.35" hidden="false" customHeight="false" outlineLevel="0" collapsed="false">
      <c r="A584" s="4" t="n">
        <v>25507</v>
      </c>
      <c r="B584" s="15" t="n">
        <f aca="false">IF(C584&lt;=9,YEAR(A584),YEAR(A584)+1)</f>
        <v>1970</v>
      </c>
      <c r="C584" s="15" t="n">
        <f aca="false">MONTH(A584)</f>
        <v>10</v>
      </c>
      <c r="D584" s="15" t="n">
        <f aca="false">DAY(A584)</f>
        <v>31</v>
      </c>
      <c r="E584" s="15" t="n">
        <f aca="false">VLOOKUP(B584,WYT!$A$2:$L$97,12)</f>
        <v>0</v>
      </c>
      <c r="F584" s="15" t="n">
        <f aca="false">IF(C584=$W$5,1,0)</f>
        <v>0</v>
      </c>
      <c r="G584" s="15" t="n">
        <f aca="false">IF(C584=10,0,IF(F584=1,1,G583))</f>
        <v>0</v>
      </c>
      <c r="H584" s="5" t="n">
        <f aca="false">VA_base_426_data!B584</f>
        <v>4000</v>
      </c>
      <c r="I584" s="5" t="n">
        <f aca="false">IF(AND(E584=1,OR(C584=4,C584=5)),25*12.1/24/D584*1000,0)</f>
        <v>0</v>
      </c>
      <c r="J584" s="5" t="n">
        <f aca="false">VA_base_426_data!C584</f>
        <v>1700</v>
      </c>
      <c r="K584" s="5" t="n">
        <f aca="false">H584+I584-J584</f>
        <v>2300</v>
      </c>
      <c r="L584" s="5" t="n">
        <f aca="false">MIN($W$7,J584+K584)</f>
        <v>2000</v>
      </c>
      <c r="M584" s="5" t="n">
        <f aca="false">VA_base_426_data!D584</f>
        <v>800</v>
      </c>
      <c r="N584" s="5" t="n">
        <f aca="false">IF(AND(C584=10,E584=1),$W$6,N583-P583)</f>
        <v>0</v>
      </c>
      <c r="O584" s="5" t="n">
        <f aca="false">IF(ABS(M584-L584)&gt;1,MIN(N584/((L584-M584)*24/12.1/1000),D584),D584)</f>
        <v>0</v>
      </c>
      <c r="P584" s="5" t="n">
        <f aca="false">MIN(IF(AND(G584,E584),(L584-M584)*24/12.1*O584/1000,0),N584)</f>
        <v>0</v>
      </c>
      <c r="Q584" s="5" t="n">
        <f aca="false">IF(P584&gt;0,P584/O584*12.1/24*1000+M584,0)</f>
        <v>0</v>
      </c>
      <c r="R584" s="0" t="n">
        <f aca="false">IF(Q584&gt;0,TRUNC(O584),0)</f>
        <v>0</v>
      </c>
      <c r="S584" s="5" t="n">
        <f aca="false">(M584*(D584-R584)+(Q584*R584))/D584</f>
        <v>800</v>
      </c>
      <c r="T584" s="6" t="n">
        <f aca="false">(Q584-M584)*R584*24/12.1/1000</f>
        <v>-0</v>
      </c>
    </row>
    <row r="585" customFormat="false" ht="14.35" hidden="false" customHeight="false" outlineLevel="0" collapsed="false">
      <c r="A585" s="4" t="n">
        <v>25537</v>
      </c>
      <c r="B585" s="15" t="n">
        <f aca="false">IF(C585&lt;=9,YEAR(A585),YEAR(A585)+1)</f>
        <v>1970</v>
      </c>
      <c r="C585" s="15" t="n">
        <f aca="false">MONTH(A585)</f>
        <v>11</v>
      </c>
      <c r="D585" s="15" t="n">
        <f aca="false">DAY(A585)</f>
        <v>30</v>
      </c>
      <c r="E585" s="15" t="n">
        <f aca="false">VLOOKUP(B585,WYT!$A$2:$L$97,12)</f>
        <v>0</v>
      </c>
      <c r="F585" s="15" t="n">
        <f aca="false">IF(C585=$W$5,1,0)</f>
        <v>0</v>
      </c>
      <c r="G585" s="15" t="n">
        <f aca="false">IF(C585=10,0,IF(F585=1,1,G584))</f>
        <v>0</v>
      </c>
      <c r="H585" s="5" t="n">
        <f aca="false">VA_base_426_data!B585</f>
        <v>2500</v>
      </c>
      <c r="I585" s="5" t="n">
        <f aca="false">IF(AND(E585=1,OR(C585=4,C585=5)),25*12.1/24/D585*1000,0)</f>
        <v>0</v>
      </c>
      <c r="J585" s="5" t="n">
        <f aca="false">VA_base_426_data!C585</f>
        <v>1700</v>
      </c>
      <c r="K585" s="5" t="n">
        <f aca="false">H585+I585-J585</f>
        <v>800</v>
      </c>
      <c r="L585" s="5" t="n">
        <f aca="false">MIN($W$7,J585+K585)</f>
        <v>2000</v>
      </c>
      <c r="M585" s="5" t="n">
        <f aca="false">VA_base_426_data!D585</f>
        <v>800</v>
      </c>
      <c r="N585" s="5" t="n">
        <f aca="false">IF(AND(C585=10,E585=1),$W$6,N584-P584)</f>
        <v>0</v>
      </c>
      <c r="O585" s="5" t="n">
        <f aca="false">IF(ABS(M585-L585)&gt;1,MIN(N585/((L585-M585)*24/12.1/1000),D585),D585)</f>
        <v>0</v>
      </c>
      <c r="P585" s="5" t="n">
        <f aca="false">MIN(IF(AND(G585,E585),(L585-M585)*24/12.1*O585/1000,0),N585)</f>
        <v>0</v>
      </c>
      <c r="Q585" s="5" t="n">
        <f aca="false">IF(P585&gt;0,P585/O585*12.1/24*1000+M585,0)</f>
        <v>0</v>
      </c>
      <c r="R585" s="0" t="n">
        <f aca="false">IF(Q585&gt;0,TRUNC(O585),0)</f>
        <v>0</v>
      </c>
      <c r="S585" s="5" t="n">
        <f aca="false">(M585*(D585-R585)+(Q585*R585))/D585</f>
        <v>800</v>
      </c>
      <c r="T585" s="6" t="n">
        <f aca="false">(Q585-M585)*R585*24/12.1/1000</f>
        <v>-0</v>
      </c>
    </row>
    <row r="586" customFormat="false" ht="14.35" hidden="false" customHeight="false" outlineLevel="0" collapsed="false">
      <c r="A586" s="4" t="n">
        <v>25568</v>
      </c>
      <c r="B586" s="15" t="n">
        <f aca="false">IF(C586&lt;=9,YEAR(A586),YEAR(A586)+1)</f>
        <v>1970</v>
      </c>
      <c r="C586" s="15" t="n">
        <f aca="false">MONTH(A586)</f>
        <v>12</v>
      </c>
      <c r="D586" s="15" t="n">
        <f aca="false">DAY(A586)</f>
        <v>31</v>
      </c>
      <c r="E586" s="15" t="n">
        <f aca="false">VLOOKUP(B586,WYT!$A$2:$L$97,12)</f>
        <v>0</v>
      </c>
      <c r="F586" s="15" t="n">
        <f aca="false">IF(C586=$W$5,1,0)</f>
        <v>0</v>
      </c>
      <c r="G586" s="15" t="n">
        <f aca="false">IF(C586=10,0,IF(F586=1,1,G585))</f>
        <v>0</v>
      </c>
      <c r="H586" s="5" t="n">
        <f aca="false">VA_base_426_data!B586</f>
        <v>1700</v>
      </c>
      <c r="I586" s="5" t="n">
        <f aca="false">IF(AND(E586=1,OR(C586=4,C586=5)),25*12.1/24/D586*1000,0)</f>
        <v>0</v>
      </c>
      <c r="J586" s="5" t="n">
        <f aca="false">VA_base_426_data!C586</f>
        <v>1700</v>
      </c>
      <c r="K586" s="5" t="n">
        <f aca="false">H586+I586-J586</f>
        <v>0</v>
      </c>
      <c r="L586" s="5" t="n">
        <f aca="false">MIN($W$7,J586+K586)</f>
        <v>1700</v>
      </c>
      <c r="M586" s="5" t="n">
        <f aca="false">VA_base_426_data!D586</f>
        <v>800</v>
      </c>
      <c r="N586" s="5" t="n">
        <f aca="false">IF(AND(C586=10,E586=1),$W$6,N585-P585)</f>
        <v>0</v>
      </c>
      <c r="O586" s="5" t="n">
        <f aca="false">IF(ABS(M586-L586)&gt;1,MIN(N586/((L586-M586)*24/12.1/1000),D586),D586)</f>
        <v>0</v>
      </c>
      <c r="P586" s="5" t="n">
        <f aca="false">MIN(IF(AND(G586,E586),(L586-M586)*24/12.1*O586/1000,0),N586)</f>
        <v>0</v>
      </c>
      <c r="Q586" s="5" t="n">
        <f aca="false">IF(P586&gt;0,P586/O586*12.1/24*1000+M586,0)</f>
        <v>0</v>
      </c>
      <c r="R586" s="0" t="n">
        <f aca="false">IF(Q586&gt;0,TRUNC(O586),0)</f>
        <v>0</v>
      </c>
      <c r="S586" s="5" t="n">
        <f aca="false">(M586*(D586-R586)+(Q586*R586))/D586</f>
        <v>800</v>
      </c>
      <c r="T586" s="6" t="n">
        <f aca="false">(Q586-M586)*R586*24/12.1/1000</f>
        <v>-0</v>
      </c>
    </row>
    <row r="587" customFormat="false" ht="14.35" hidden="false" customHeight="false" outlineLevel="0" collapsed="false">
      <c r="A587" s="4" t="n">
        <v>25599</v>
      </c>
      <c r="B587" s="15" t="n">
        <f aca="false">IF(C587&lt;=9,YEAR(A587),YEAR(A587)+1)</f>
        <v>1970</v>
      </c>
      <c r="C587" s="15" t="n">
        <f aca="false">MONTH(A587)</f>
        <v>1</v>
      </c>
      <c r="D587" s="15" t="n">
        <f aca="false">DAY(A587)</f>
        <v>31</v>
      </c>
      <c r="E587" s="15" t="n">
        <f aca="false">VLOOKUP(B587,WYT!$A$2:$L$97,12)</f>
        <v>0</v>
      </c>
      <c r="F587" s="15" t="n">
        <f aca="false">IF(C587=$W$5,1,0)</f>
        <v>0</v>
      </c>
      <c r="G587" s="15" t="n">
        <f aca="false">IF(C587=10,0,IF(F587=1,1,G586))</f>
        <v>0</v>
      </c>
      <c r="H587" s="5" t="n">
        <f aca="false">VA_base_426_data!B587</f>
        <v>35769.8686162006</v>
      </c>
      <c r="I587" s="5" t="n">
        <f aca="false">IF(AND(E587=1,OR(C587=4,C587=5)),25*12.1/24/D587*1000,0)</f>
        <v>0</v>
      </c>
      <c r="J587" s="5" t="n">
        <f aca="false">VA_base_426_data!C587</f>
        <v>1700</v>
      </c>
      <c r="K587" s="5" t="n">
        <f aca="false">H587+I587-J587</f>
        <v>34069.8686162006</v>
      </c>
      <c r="L587" s="5" t="n">
        <f aca="false">MIN($W$7,J587+K587)</f>
        <v>2000</v>
      </c>
      <c r="M587" s="5" t="n">
        <f aca="false">VA_base_426_data!D587</f>
        <v>800</v>
      </c>
      <c r="N587" s="5" t="n">
        <f aca="false">IF(AND(C587=10,E587=1),$W$6,N586-P586)</f>
        <v>0</v>
      </c>
      <c r="O587" s="5" t="n">
        <f aca="false">IF(ABS(M587-L587)&gt;1,MIN(N587/((L587-M587)*24/12.1/1000),D587),D587)</f>
        <v>0</v>
      </c>
      <c r="P587" s="5" t="n">
        <f aca="false">MIN(IF(AND(G587,E587),(L587-M587)*24/12.1*O587/1000,0),N587)</f>
        <v>0</v>
      </c>
      <c r="Q587" s="5" t="n">
        <f aca="false">IF(P587&gt;0,P587/O587*12.1/24*1000+M587,0)</f>
        <v>0</v>
      </c>
      <c r="R587" s="0" t="n">
        <f aca="false">IF(Q587&gt;0,TRUNC(O587),0)</f>
        <v>0</v>
      </c>
      <c r="S587" s="5" t="n">
        <f aca="false">(M587*(D587-R587)+(Q587*R587))/D587</f>
        <v>800</v>
      </c>
      <c r="T587" s="6" t="n">
        <f aca="false">(Q587-M587)*R587*24/12.1/1000</f>
        <v>-0</v>
      </c>
    </row>
    <row r="588" customFormat="false" ht="14.35" hidden="false" customHeight="false" outlineLevel="0" collapsed="false">
      <c r="A588" s="4" t="n">
        <v>25627</v>
      </c>
      <c r="B588" s="15" t="n">
        <f aca="false">IF(C588&lt;=9,YEAR(A588),YEAR(A588)+1)</f>
        <v>1970</v>
      </c>
      <c r="C588" s="15" t="n">
        <f aca="false">MONTH(A588)</f>
        <v>2</v>
      </c>
      <c r="D588" s="15" t="n">
        <f aca="false">DAY(A588)</f>
        <v>28</v>
      </c>
      <c r="E588" s="15" t="n">
        <f aca="false">VLOOKUP(B588,WYT!$A$2:$L$97,12)</f>
        <v>0</v>
      </c>
      <c r="F588" s="15" t="n">
        <f aca="false">IF(C588=$W$5,1,0)</f>
        <v>1</v>
      </c>
      <c r="G588" s="15" t="n">
        <f aca="false">IF(C588=10,0,IF(F588=1,1,G587))</f>
        <v>1</v>
      </c>
      <c r="H588" s="5" t="n">
        <f aca="false">VA_base_426_data!B588</f>
        <v>10654.5581216252</v>
      </c>
      <c r="I588" s="5" t="n">
        <f aca="false">IF(AND(E588=1,OR(C588=4,C588=5)),25*12.1/24/D588*1000,0)</f>
        <v>0</v>
      </c>
      <c r="J588" s="5" t="n">
        <f aca="false">VA_base_426_data!C588</f>
        <v>1700</v>
      </c>
      <c r="K588" s="5" t="n">
        <f aca="false">H588+I588-J588</f>
        <v>8954.55812162521</v>
      </c>
      <c r="L588" s="5" t="n">
        <f aca="false">MIN($W$7,J588+K588)</f>
        <v>2000</v>
      </c>
      <c r="M588" s="5" t="n">
        <f aca="false">VA_base_426_data!D588</f>
        <v>800</v>
      </c>
      <c r="N588" s="5" t="n">
        <f aca="false">IF(AND(C588=10,E588=1),$W$6,N587-P587)</f>
        <v>0</v>
      </c>
      <c r="O588" s="5" t="n">
        <f aca="false">IF(ABS(M588-L588)&gt;1,MIN(N588/((L588-M588)*24/12.1/1000),D588),D588)</f>
        <v>0</v>
      </c>
      <c r="P588" s="5" t="n">
        <f aca="false">MIN(IF(AND(G588,E588),(L588-M588)*24/12.1*O588/1000,0),N588)</f>
        <v>0</v>
      </c>
      <c r="Q588" s="5" t="n">
        <f aca="false">IF(P588&gt;0,P588/O588*12.1/24*1000+M588,0)</f>
        <v>0</v>
      </c>
      <c r="R588" s="0" t="n">
        <f aca="false">IF(Q588&gt;0,TRUNC(O588),0)</f>
        <v>0</v>
      </c>
      <c r="S588" s="5" t="n">
        <f aca="false">(M588*(D588-R588)+(Q588*R588))/D588</f>
        <v>800</v>
      </c>
      <c r="T588" s="6" t="n">
        <f aca="false">(Q588-M588)*R588*24/12.1/1000</f>
        <v>-0</v>
      </c>
    </row>
    <row r="589" customFormat="false" ht="14.35" hidden="false" customHeight="false" outlineLevel="0" collapsed="false">
      <c r="A589" s="4" t="n">
        <v>25658</v>
      </c>
      <c r="B589" s="15" t="n">
        <f aca="false">IF(C589&lt;=9,YEAR(A589),YEAR(A589)+1)</f>
        <v>1970</v>
      </c>
      <c r="C589" s="15" t="n">
        <f aca="false">MONTH(A589)</f>
        <v>3</v>
      </c>
      <c r="D589" s="15" t="n">
        <f aca="false">DAY(A589)</f>
        <v>31</v>
      </c>
      <c r="E589" s="15" t="n">
        <f aca="false">VLOOKUP(B589,WYT!$A$2:$L$97,12)</f>
        <v>0</v>
      </c>
      <c r="F589" s="15" t="n">
        <f aca="false">IF(C589=$W$5,1,0)</f>
        <v>0</v>
      </c>
      <c r="G589" s="15" t="n">
        <f aca="false">IF(C589=10,0,IF(F589=1,1,G588))</f>
        <v>1</v>
      </c>
      <c r="H589" s="5" t="n">
        <f aca="false">VA_base_426_data!B589</f>
        <v>4108.83402382985</v>
      </c>
      <c r="I589" s="5" t="n">
        <f aca="false">IF(AND(E589=1,OR(C589=4,C589=5)),25*12.1/24/D589*1000,0)</f>
        <v>0</v>
      </c>
      <c r="J589" s="5" t="n">
        <f aca="false">VA_base_426_data!C589</f>
        <v>1700</v>
      </c>
      <c r="K589" s="5" t="n">
        <f aca="false">H589+I589-J589</f>
        <v>2408.83402382985</v>
      </c>
      <c r="L589" s="5" t="n">
        <f aca="false">MIN($W$7,J589+K589)</f>
        <v>2000</v>
      </c>
      <c r="M589" s="5" t="n">
        <f aca="false">VA_base_426_data!D589</f>
        <v>800</v>
      </c>
      <c r="N589" s="5" t="n">
        <f aca="false">IF(AND(C589=10,E589=1),$W$6,N588-P588)</f>
        <v>0</v>
      </c>
      <c r="O589" s="5" t="n">
        <f aca="false">IF(ABS(M589-L589)&gt;1,MIN(N589/((L589-M589)*24/12.1/1000),D589),D589)</f>
        <v>0</v>
      </c>
      <c r="P589" s="5" t="n">
        <f aca="false">MIN(IF(AND(G589,E589),(L589-M589)*24/12.1*O589/1000,0),N589)</f>
        <v>0</v>
      </c>
      <c r="Q589" s="5" t="n">
        <f aca="false">IF(P589&gt;0,P589/O589*12.1/24*1000+M589,0)</f>
        <v>0</v>
      </c>
      <c r="R589" s="0" t="n">
        <f aca="false">IF(Q589&gt;0,TRUNC(O589),0)</f>
        <v>0</v>
      </c>
      <c r="S589" s="5" t="n">
        <f aca="false">(M589*(D589-R589)+(Q589*R589))/D589</f>
        <v>800</v>
      </c>
      <c r="T589" s="6" t="n">
        <f aca="false">(Q589-M589)*R589*24/12.1/1000</f>
        <v>-0</v>
      </c>
    </row>
    <row r="590" customFormat="false" ht="14.35" hidden="false" customHeight="false" outlineLevel="0" collapsed="false">
      <c r="A590" s="4" t="n">
        <v>25688</v>
      </c>
      <c r="B590" s="15" t="n">
        <f aca="false">IF(C590&lt;=9,YEAR(A590),YEAR(A590)+1)</f>
        <v>1970</v>
      </c>
      <c r="C590" s="15" t="n">
        <f aca="false">MONTH(A590)</f>
        <v>4</v>
      </c>
      <c r="D590" s="15" t="n">
        <f aca="false">DAY(A590)</f>
        <v>30</v>
      </c>
      <c r="E590" s="15" t="n">
        <f aca="false">VLOOKUP(B590,WYT!$A$2:$L$97,12)</f>
        <v>0</v>
      </c>
      <c r="F590" s="15" t="n">
        <f aca="false">IF(C590=$W$5,1,0)</f>
        <v>0</v>
      </c>
      <c r="G590" s="15" t="n">
        <f aca="false">IF(C590=10,0,IF(F590=1,1,G589))</f>
        <v>1</v>
      </c>
      <c r="H590" s="5" t="n">
        <f aca="false">VA_base_426_data!B590</f>
        <v>1357.21306350448</v>
      </c>
      <c r="I590" s="5" t="n">
        <f aca="false">IF(AND(E590=1,OR(C590=4,C590=5)),25*12.1/24/D590*1000,0)</f>
        <v>0</v>
      </c>
      <c r="J590" s="5" t="n">
        <f aca="false">VA_base_426_data!C590</f>
        <v>1000</v>
      </c>
      <c r="K590" s="5" t="n">
        <f aca="false">H590+I590-J590</f>
        <v>357.213063504483</v>
      </c>
      <c r="L590" s="5" t="n">
        <f aca="false">MIN($W$7,J590+K590)</f>
        <v>1357.21306350448</v>
      </c>
      <c r="M590" s="5" t="n">
        <f aca="false">VA_base_426_data!D590</f>
        <v>700</v>
      </c>
      <c r="N590" s="5" t="n">
        <f aca="false">IF(AND(C590=10,E590=1),$W$6,N589-P589)</f>
        <v>0</v>
      </c>
      <c r="O590" s="5" t="n">
        <f aca="false">IF(ABS(M590-L590)&gt;1,MIN(N590/((L590-M590)*24/12.1/1000),D590),D590)</f>
        <v>0</v>
      </c>
      <c r="P590" s="5" t="n">
        <f aca="false">MIN(IF(AND(G590,E590),(L590-M590)*24/12.1*O590/1000,0),N590)</f>
        <v>0</v>
      </c>
      <c r="Q590" s="5" t="n">
        <f aca="false">IF(P590&gt;0,P590/O590*12.1/24*1000+M590,0)</f>
        <v>0</v>
      </c>
      <c r="R590" s="0" t="n">
        <f aca="false">IF(Q590&gt;0,TRUNC(O590),0)</f>
        <v>0</v>
      </c>
      <c r="S590" s="5" t="n">
        <f aca="false">(M590*(D590-R590)+(Q590*R590))/D590</f>
        <v>700</v>
      </c>
      <c r="T590" s="6" t="n">
        <f aca="false">(Q590-M590)*R590*24/12.1/1000</f>
        <v>-0</v>
      </c>
    </row>
    <row r="591" customFormat="false" ht="14.35" hidden="false" customHeight="false" outlineLevel="0" collapsed="false">
      <c r="A591" s="4" t="n">
        <v>25719</v>
      </c>
      <c r="B591" s="15" t="n">
        <f aca="false">IF(C591&lt;=9,YEAR(A591),YEAR(A591)+1)</f>
        <v>1970</v>
      </c>
      <c r="C591" s="15" t="n">
        <f aca="false">MONTH(A591)</f>
        <v>5</v>
      </c>
      <c r="D591" s="15" t="n">
        <f aca="false">DAY(A591)</f>
        <v>31</v>
      </c>
      <c r="E591" s="15" t="n">
        <f aca="false">VLOOKUP(B591,WYT!$A$2:$L$97,12)</f>
        <v>0</v>
      </c>
      <c r="F591" s="15" t="n">
        <f aca="false">IF(C591=$W$5,1,0)</f>
        <v>0</v>
      </c>
      <c r="G591" s="15" t="n">
        <f aca="false">IF(C591=10,0,IF(F591=1,1,G590))</f>
        <v>1</v>
      </c>
      <c r="H591" s="5" t="n">
        <f aca="false">VA_base_426_data!B591</f>
        <v>1000</v>
      </c>
      <c r="I591" s="5" t="n">
        <f aca="false">IF(AND(E591=1,OR(C591=4,C591=5)),25*12.1/24/D591*1000,0)</f>
        <v>0</v>
      </c>
      <c r="J591" s="5" t="n">
        <f aca="false">VA_base_426_data!C591</f>
        <v>1000</v>
      </c>
      <c r="K591" s="5" t="n">
        <f aca="false">H591+I591-J591</f>
        <v>0</v>
      </c>
      <c r="L591" s="5" t="n">
        <f aca="false">MIN($W$7,J591+K591)</f>
        <v>1000</v>
      </c>
      <c r="M591" s="5" t="n">
        <f aca="false">VA_base_426_data!D591</f>
        <v>700</v>
      </c>
      <c r="N591" s="5" t="n">
        <f aca="false">IF(AND(C591=10,E591=1),$W$6,N590-P590)</f>
        <v>0</v>
      </c>
      <c r="O591" s="5" t="n">
        <f aca="false">IF(ABS(M591-L591)&gt;1,MIN(N591/((L591-M591)*24/12.1/1000),D591),D591)</f>
        <v>0</v>
      </c>
      <c r="P591" s="5" t="n">
        <f aca="false">MIN(IF(AND(G591,E591),(L591-M591)*24/12.1*O591/1000,0),N591)</f>
        <v>0</v>
      </c>
      <c r="Q591" s="5" t="n">
        <f aca="false">IF(P591&gt;0,P591/O591*12.1/24*1000+M591,0)</f>
        <v>0</v>
      </c>
      <c r="R591" s="0" t="n">
        <f aca="false">IF(Q591&gt;0,TRUNC(O591),0)</f>
        <v>0</v>
      </c>
      <c r="S591" s="5" t="n">
        <f aca="false">(M591*(D591-R591)+(Q591*R591))/D591</f>
        <v>700</v>
      </c>
      <c r="T591" s="6" t="n">
        <f aca="false">(Q591-M591)*R591*24/12.1/1000</f>
        <v>-0</v>
      </c>
    </row>
    <row r="592" customFormat="false" ht="14.35" hidden="false" customHeight="false" outlineLevel="0" collapsed="false">
      <c r="A592" s="4" t="n">
        <v>25749</v>
      </c>
      <c r="B592" s="15" t="n">
        <f aca="false">IF(C592&lt;=9,YEAR(A592),YEAR(A592)+1)</f>
        <v>1970</v>
      </c>
      <c r="C592" s="15" t="n">
        <f aca="false">MONTH(A592)</f>
        <v>6</v>
      </c>
      <c r="D592" s="15" t="n">
        <f aca="false">DAY(A592)</f>
        <v>30</v>
      </c>
      <c r="E592" s="15" t="n">
        <f aca="false">VLOOKUP(B592,WYT!$A$2:$L$97,12)</f>
        <v>0</v>
      </c>
      <c r="F592" s="15" t="n">
        <f aca="false">IF(C592=$W$5,1,0)</f>
        <v>0</v>
      </c>
      <c r="G592" s="15" t="n">
        <f aca="false">IF(C592=10,0,IF(F592=1,1,G591))</f>
        <v>1</v>
      </c>
      <c r="H592" s="5" t="n">
        <f aca="false">VA_base_426_data!B592</f>
        <v>1895.48884746093</v>
      </c>
      <c r="I592" s="5" t="n">
        <f aca="false">IF(AND(E592=1,OR(C592=4,C592=5)),25*12.1/24/D592*1000,0)</f>
        <v>0</v>
      </c>
      <c r="J592" s="5" t="n">
        <f aca="false">VA_base_426_data!C592</f>
        <v>1000</v>
      </c>
      <c r="K592" s="5" t="n">
        <f aca="false">H592+I592-J592</f>
        <v>895.488847460935</v>
      </c>
      <c r="L592" s="5" t="n">
        <f aca="false">MIN($W$7,J592+K592)</f>
        <v>1895.48884746093</v>
      </c>
      <c r="M592" s="5" t="n">
        <f aca="false">VA_base_426_data!D592</f>
        <v>700</v>
      </c>
      <c r="N592" s="5" t="n">
        <f aca="false">IF(AND(C592=10,E592=1),$W$6,N591-P591)</f>
        <v>0</v>
      </c>
      <c r="O592" s="5" t="n">
        <f aca="false">IF(ABS(M592-L592)&gt;1,MIN(N592/((L592-M592)*24/12.1/1000),D592),D592)</f>
        <v>0</v>
      </c>
      <c r="P592" s="5" t="n">
        <f aca="false">MIN(IF(AND(G592,E592),(L592-M592)*24/12.1*O592/1000,0),N592)</f>
        <v>0</v>
      </c>
      <c r="Q592" s="5" t="n">
        <f aca="false">IF(P592&gt;0,P592/O592*12.1/24*1000+M592,0)</f>
        <v>0</v>
      </c>
      <c r="R592" s="0" t="n">
        <f aca="false">IF(Q592&gt;0,TRUNC(O592),0)</f>
        <v>0</v>
      </c>
      <c r="S592" s="5" t="n">
        <f aca="false">(M592*(D592-R592)+(Q592*R592))/D592</f>
        <v>700</v>
      </c>
      <c r="T592" s="6" t="n">
        <f aca="false">(Q592-M592)*R592*24/12.1/1000</f>
        <v>-0</v>
      </c>
    </row>
    <row r="593" customFormat="false" ht="14.35" hidden="false" customHeight="false" outlineLevel="0" collapsed="false">
      <c r="A593" s="4" t="n">
        <v>25780</v>
      </c>
      <c r="B593" s="15" t="n">
        <f aca="false">IF(C593&lt;=9,YEAR(A593),YEAR(A593)+1)</f>
        <v>1970</v>
      </c>
      <c r="C593" s="15" t="n">
        <f aca="false">MONTH(A593)</f>
        <v>7</v>
      </c>
      <c r="D593" s="15" t="n">
        <f aca="false">DAY(A593)</f>
        <v>31</v>
      </c>
      <c r="E593" s="15" t="n">
        <f aca="false">VLOOKUP(B593,WYT!$A$2:$L$97,12)</f>
        <v>0</v>
      </c>
      <c r="F593" s="15" t="n">
        <f aca="false">IF(C593=$W$5,1,0)</f>
        <v>0</v>
      </c>
      <c r="G593" s="15" t="n">
        <f aca="false">IF(C593=10,0,IF(F593=1,1,G592))</f>
        <v>1</v>
      </c>
      <c r="H593" s="5" t="n">
        <f aca="false">VA_base_426_data!B593</f>
        <v>8816.19825514669</v>
      </c>
      <c r="I593" s="5" t="n">
        <f aca="false">IF(AND(E593=1,OR(C593=4,C593=5)),25*12.1/24/D593*1000,0)</f>
        <v>0</v>
      </c>
      <c r="J593" s="5" t="n">
        <f aca="false">VA_base_426_data!C593</f>
        <v>1000</v>
      </c>
      <c r="K593" s="5" t="n">
        <f aca="false">H593+I593-J593</f>
        <v>7816.19825514669</v>
      </c>
      <c r="L593" s="5" t="n">
        <f aca="false">MIN($W$7,J593+K593)</f>
        <v>2000</v>
      </c>
      <c r="M593" s="5" t="n">
        <f aca="false">VA_base_426_data!D593</f>
        <v>700</v>
      </c>
      <c r="N593" s="5" t="n">
        <f aca="false">IF(AND(C593=10,E593=1),$W$6,N592-P592)</f>
        <v>0</v>
      </c>
      <c r="O593" s="5" t="n">
        <f aca="false">IF(ABS(M593-L593)&gt;1,MIN(N593/((L593-M593)*24/12.1/1000),D593),D593)</f>
        <v>0</v>
      </c>
      <c r="P593" s="5" t="n">
        <f aca="false">MIN(IF(AND(G593,E593),(L593-M593)*24/12.1*O593/1000,0),N593)</f>
        <v>0</v>
      </c>
      <c r="Q593" s="5" t="n">
        <f aca="false">IF(P593&gt;0,P593/O593*12.1/24*1000+M593,0)</f>
        <v>0</v>
      </c>
      <c r="R593" s="0" t="n">
        <f aca="false">IF(Q593&gt;0,TRUNC(O593),0)</f>
        <v>0</v>
      </c>
      <c r="S593" s="5" t="n">
        <f aca="false">(M593*(D593-R593)+(Q593*R593))/D593</f>
        <v>700</v>
      </c>
      <c r="T593" s="6" t="n">
        <f aca="false">(Q593-M593)*R593*24/12.1/1000</f>
        <v>-0</v>
      </c>
    </row>
    <row r="594" customFormat="false" ht="14.35" hidden="false" customHeight="false" outlineLevel="0" collapsed="false">
      <c r="A594" s="4" t="n">
        <v>25811</v>
      </c>
      <c r="B594" s="15" t="n">
        <f aca="false">IF(C594&lt;=9,YEAR(A594),YEAR(A594)+1)</f>
        <v>1970</v>
      </c>
      <c r="C594" s="15" t="n">
        <f aca="false">MONTH(A594)</f>
        <v>8</v>
      </c>
      <c r="D594" s="15" t="n">
        <f aca="false">DAY(A594)</f>
        <v>31</v>
      </c>
      <c r="E594" s="15" t="n">
        <f aca="false">VLOOKUP(B594,WYT!$A$2:$L$97,12)</f>
        <v>0</v>
      </c>
      <c r="F594" s="15" t="n">
        <f aca="false">IF(C594=$W$5,1,0)</f>
        <v>0</v>
      </c>
      <c r="G594" s="15" t="n">
        <f aca="false">IF(C594=10,0,IF(F594=1,1,G593))</f>
        <v>1</v>
      </c>
      <c r="H594" s="5" t="n">
        <f aca="false">VA_base_426_data!B594</f>
        <v>8039.35837960642</v>
      </c>
      <c r="I594" s="5" t="n">
        <f aca="false">IF(AND(E594=1,OR(C594=4,C594=5)),25*12.1/24/D594*1000,0)</f>
        <v>0</v>
      </c>
      <c r="J594" s="5" t="n">
        <f aca="false">VA_base_426_data!C594</f>
        <v>1000</v>
      </c>
      <c r="K594" s="5" t="n">
        <f aca="false">H594+I594-J594</f>
        <v>7039.35837960642</v>
      </c>
      <c r="L594" s="5" t="n">
        <f aca="false">MIN($W$7,J594+K594)</f>
        <v>2000</v>
      </c>
      <c r="M594" s="5" t="n">
        <f aca="false">VA_base_426_data!D594</f>
        <v>700</v>
      </c>
      <c r="N594" s="5" t="n">
        <f aca="false">IF(AND(C594=10,E594=1),$W$6,N593-P593)</f>
        <v>0</v>
      </c>
      <c r="O594" s="5" t="n">
        <f aca="false">IF(ABS(M594-L594)&gt;1,MIN(N594/((L594-M594)*24/12.1/1000),D594),D594)</f>
        <v>0</v>
      </c>
      <c r="P594" s="5" t="n">
        <f aca="false">MIN(IF(AND(G594,E594),(L594-M594)*24/12.1*O594/1000,0),N594)</f>
        <v>0</v>
      </c>
      <c r="Q594" s="5" t="n">
        <f aca="false">IF(P594&gt;0,P594/O594*12.1/24*1000+M594,0)</f>
        <v>0</v>
      </c>
      <c r="R594" s="0" t="n">
        <f aca="false">IF(Q594&gt;0,TRUNC(O594),0)</f>
        <v>0</v>
      </c>
      <c r="S594" s="5" t="n">
        <f aca="false">(M594*(D594-R594)+(Q594*R594))/D594</f>
        <v>700</v>
      </c>
      <c r="T594" s="6" t="n">
        <f aca="false">(Q594-M594)*R594*24/12.1/1000</f>
        <v>-0</v>
      </c>
    </row>
    <row r="595" customFormat="false" ht="14.35" hidden="false" customHeight="false" outlineLevel="0" collapsed="false">
      <c r="A595" s="4" t="n">
        <v>25841</v>
      </c>
      <c r="B595" s="15" t="n">
        <f aca="false">IF(C595&lt;=9,YEAR(A595),YEAR(A595)+1)</f>
        <v>1970</v>
      </c>
      <c r="C595" s="15" t="n">
        <f aca="false">MONTH(A595)</f>
        <v>9</v>
      </c>
      <c r="D595" s="15" t="n">
        <f aca="false">DAY(A595)</f>
        <v>30</v>
      </c>
      <c r="E595" s="15" t="n">
        <f aca="false">VLOOKUP(B595,WYT!$A$2:$L$97,12)</f>
        <v>0</v>
      </c>
      <c r="F595" s="15" t="n">
        <f aca="false">IF(C595=$W$5,1,0)</f>
        <v>0</v>
      </c>
      <c r="G595" s="15" t="n">
        <f aca="false">IF(C595=10,0,IF(F595=1,1,G594))</f>
        <v>1</v>
      </c>
      <c r="H595" s="5" t="n">
        <f aca="false">VA_base_426_data!B595</f>
        <v>9498.50025213506</v>
      </c>
      <c r="I595" s="5" t="n">
        <f aca="false">IF(AND(E595=1,OR(C595=4,C595=5)),25*12.1/24/D595*1000,0)</f>
        <v>0</v>
      </c>
      <c r="J595" s="5" t="n">
        <f aca="false">VA_base_426_data!C595</f>
        <v>1000</v>
      </c>
      <c r="K595" s="5" t="n">
        <f aca="false">H595+I595-J595</f>
        <v>8498.50025213506</v>
      </c>
      <c r="L595" s="5" t="n">
        <f aca="false">MIN($W$7,J595+K595)</f>
        <v>2000</v>
      </c>
      <c r="M595" s="5" t="n">
        <f aca="false">VA_base_426_data!D595</f>
        <v>773.3333333</v>
      </c>
      <c r="N595" s="5" t="n">
        <f aca="false">IF(AND(C595=10,E595=1),$W$6,N594-P594)</f>
        <v>0</v>
      </c>
      <c r="O595" s="5" t="n">
        <f aca="false">IF(ABS(M595-L595)&gt;1,MIN(N595/((L595-M595)*24/12.1/1000),D595),D595)</f>
        <v>0</v>
      </c>
      <c r="P595" s="5" t="n">
        <f aca="false">MIN(IF(AND(G595,E595),(L595-M595)*24/12.1*O595/1000,0),N595)</f>
        <v>0</v>
      </c>
      <c r="Q595" s="5" t="n">
        <f aca="false">IF(P595&gt;0,P595/O595*12.1/24*1000+M595,0)</f>
        <v>0</v>
      </c>
      <c r="R595" s="0" t="n">
        <f aca="false">IF(Q595&gt;0,TRUNC(O595),0)</f>
        <v>0</v>
      </c>
      <c r="S595" s="5" t="n">
        <f aca="false">(M595*(D595-R595)+(Q595*R595))/D595</f>
        <v>773.3333333</v>
      </c>
      <c r="T595" s="6" t="n">
        <f aca="false">(Q595-M595)*R595*24/12.1/1000</f>
        <v>-0</v>
      </c>
    </row>
    <row r="596" customFormat="false" ht="14.35" hidden="false" customHeight="false" outlineLevel="0" collapsed="false">
      <c r="A596" s="4" t="n">
        <v>25872</v>
      </c>
      <c r="B596" s="15" t="n">
        <f aca="false">IF(C596&lt;=9,YEAR(A596),YEAR(A596)+1)</f>
        <v>1971</v>
      </c>
      <c r="C596" s="15" t="n">
        <f aca="false">MONTH(A596)</f>
        <v>10</v>
      </c>
      <c r="D596" s="15" t="n">
        <f aca="false">DAY(A596)</f>
        <v>31</v>
      </c>
      <c r="E596" s="15" t="n">
        <f aca="false">VLOOKUP(B596,WYT!$A$2:$L$97,12)</f>
        <v>0</v>
      </c>
      <c r="F596" s="15" t="n">
        <f aca="false">IF(C596=$W$5,1,0)</f>
        <v>0</v>
      </c>
      <c r="G596" s="15" t="n">
        <f aca="false">IF(C596=10,0,IF(F596=1,1,G595))</f>
        <v>0</v>
      </c>
      <c r="H596" s="5" t="n">
        <f aca="false">VA_base_426_data!B596</f>
        <v>1700</v>
      </c>
      <c r="I596" s="5" t="n">
        <f aca="false">IF(AND(E596=1,OR(C596=4,C596=5)),25*12.1/24/D596*1000,0)</f>
        <v>0</v>
      </c>
      <c r="J596" s="5" t="n">
        <f aca="false">VA_base_426_data!C596</f>
        <v>1700</v>
      </c>
      <c r="K596" s="5" t="n">
        <f aca="false">H596+I596-J596</f>
        <v>0</v>
      </c>
      <c r="L596" s="5" t="n">
        <f aca="false">MIN($W$7,J596+K596)</f>
        <v>1700</v>
      </c>
      <c r="M596" s="5" t="n">
        <f aca="false">VA_base_426_data!D596</f>
        <v>800</v>
      </c>
      <c r="N596" s="5" t="n">
        <f aca="false">IF(AND(C596=10,E596=1),$W$6,N595-P595)</f>
        <v>0</v>
      </c>
      <c r="O596" s="5" t="n">
        <f aca="false">IF(ABS(M596-L596)&gt;1,MIN(N596/((L596-M596)*24/12.1/1000),D596),D596)</f>
        <v>0</v>
      </c>
      <c r="P596" s="5" t="n">
        <f aca="false">MIN(IF(AND(G596,E596),(L596-M596)*24/12.1*O596/1000,0),N596)</f>
        <v>0</v>
      </c>
      <c r="Q596" s="5" t="n">
        <f aca="false">IF(P596&gt;0,P596/O596*12.1/24*1000+M596,0)</f>
        <v>0</v>
      </c>
      <c r="R596" s="0" t="n">
        <f aca="false">IF(Q596&gt;0,TRUNC(O596),0)</f>
        <v>0</v>
      </c>
      <c r="S596" s="5" t="n">
        <f aca="false">(M596*(D596-R596)+(Q596*R596))/D596</f>
        <v>800</v>
      </c>
      <c r="T596" s="6" t="n">
        <f aca="false">(Q596-M596)*R596*24/12.1/1000</f>
        <v>-0</v>
      </c>
    </row>
    <row r="597" customFormat="false" ht="14.35" hidden="false" customHeight="false" outlineLevel="0" collapsed="false">
      <c r="A597" s="4" t="n">
        <v>25902</v>
      </c>
      <c r="B597" s="15" t="n">
        <f aca="false">IF(C597&lt;=9,YEAR(A597),YEAR(A597)+1)</f>
        <v>1971</v>
      </c>
      <c r="C597" s="15" t="n">
        <f aca="false">MONTH(A597)</f>
        <v>11</v>
      </c>
      <c r="D597" s="15" t="n">
        <f aca="false">DAY(A597)</f>
        <v>30</v>
      </c>
      <c r="E597" s="15" t="n">
        <f aca="false">VLOOKUP(B597,WYT!$A$2:$L$97,12)</f>
        <v>0</v>
      </c>
      <c r="F597" s="15" t="n">
        <f aca="false">IF(C597=$W$5,1,0)</f>
        <v>0</v>
      </c>
      <c r="G597" s="15" t="n">
        <f aca="false">IF(C597=10,0,IF(F597=1,1,G596))</f>
        <v>0</v>
      </c>
      <c r="H597" s="5" t="n">
        <f aca="false">VA_base_426_data!B597</f>
        <v>2641.20756484221</v>
      </c>
      <c r="I597" s="5" t="n">
        <f aca="false">IF(AND(E597=1,OR(C597=4,C597=5)),25*12.1/24/D597*1000,0)</f>
        <v>0</v>
      </c>
      <c r="J597" s="5" t="n">
        <f aca="false">VA_base_426_data!C597</f>
        <v>1700</v>
      </c>
      <c r="K597" s="5" t="n">
        <f aca="false">H597+I597-J597</f>
        <v>941.207564842209</v>
      </c>
      <c r="L597" s="5" t="n">
        <f aca="false">MIN($W$7,J597+K597)</f>
        <v>2000</v>
      </c>
      <c r="M597" s="5" t="n">
        <f aca="false">VA_base_426_data!D597</f>
        <v>800</v>
      </c>
      <c r="N597" s="5" t="n">
        <f aca="false">IF(AND(C597=10,E597=1),$W$6,N596-P596)</f>
        <v>0</v>
      </c>
      <c r="O597" s="5" t="n">
        <f aca="false">IF(ABS(M597-L597)&gt;1,MIN(N597/((L597-M597)*24/12.1/1000),D597),D597)</f>
        <v>0</v>
      </c>
      <c r="P597" s="5" t="n">
        <f aca="false">MIN(IF(AND(G597,E597),(L597-M597)*24/12.1*O597/1000,0),N597)</f>
        <v>0</v>
      </c>
      <c r="Q597" s="5" t="n">
        <f aca="false">IF(P597&gt;0,P597/O597*12.1/24*1000+M597,0)</f>
        <v>0</v>
      </c>
      <c r="R597" s="0" t="n">
        <f aca="false">IF(Q597&gt;0,TRUNC(O597),0)</f>
        <v>0</v>
      </c>
      <c r="S597" s="5" t="n">
        <f aca="false">(M597*(D597-R597)+(Q597*R597))/D597</f>
        <v>800</v>
      </c>
      <c r="T597" s="6" t="n">
        <f aca="false">(Q597-M597)*R597*24/12.1/1000</f>
        <v>-0</v>
      </c>
    </row>
    <row r="598" customFormat="false" ht="14.35" hidden="false" customHeight="false" outlineLevel="0" collapsed="false">
      <c r="A598" s="4" t="n">
        <v>25933</v>
      </c>
      <c r="B598" s="15" t="n">
        <f aca="false">IF(C598&lt;=9,YEAR(A598),YEAR(A598)+1)</f>
        <v>1971</v>
      </c>
      <c r="C598" s="15" t="n">
        <f aca="false">MONTH(A598)</f>
        <v>12</v>
      </c>
      <c r="D598" s="15" t="n">
        <f aca="false">DAY(A598)</f>
        <v>31</v>
      </c>
      <c r="E598" s="15" t="n">
        <f aca="false">VLOOKUP(B598,WYT!$A$2:$L$97,12)</f>
        <v>0</v>
      </c>
      <c r="F598" s="15" t="n">
        <f aca="false">IF(C598=$W$5,1,0)</f>
        <v>0</v>
      </c>
      <c r="G598" s="15" t="n">
        <f aca="false">IF(C598=10,0,IF(F598=1,1,G597))</f>
        <v>0</v>
      </c>
      <c r="H598" s="5" t="n">
        <f aca="false">VA_base_426_data!B598</f>
        <v>2141.20756484221</v>
      </c>
      <c r="I598" s="5" t="n">
        <f aca="false">IF(AND(E598=1,OR(C598=4,C598=5)),25*12.1/24/D598*1000,0)</f>
        <v>0</v>
      </c>
      <c r="J598" s="5" t="n">
        <f aca="false">VA_base_426_data!C598</f>
        <v>2141.20756484221</v>
      </c>
      <c r="K598" s="5" t="n">
        <f aca="false">H598+I598-J598</f>
        <v>0</v>
      </c>
      <c r="L598" s="5" t="n">
        <f aca="false">MIN($W$7,J598+K598)</f>
        <v>2000</v>
      </c>
      <c r="M598" s="5" t="n">
        <f aca="false">VA_base_426_data!D598</f>
        <v>800</v>
      </c>
      <c r="N598" s="5" t="n">
        <f aca="false">IF(AND(C598=10,E598=1),$W$6,N597-P597)</f>
        <v>0</v>
      </c>
      <c r="O598" s="5" t="n">
        <f aca="false">IF(ABS(M598-L598)&gt;1,MIN(N598/((L598-M598)*24/12.1/1000),D598),D598)</f>
        <v>0</v>
      </c>
      <c r="P598" s="5" t="n">
        <f aca="false">MIN(IF(AND(G598,E598),(L598-M598)*24/12.1*O598/1000,0),N598)</f>
        <v>0</v>
      </c>
      <c r="Q598" s="5" t="n">
        <f aca="false">IF(P598&gt;0,P598/O598*12.1/24*1000+M598,0)</f>
        <v>0</v>
      </c>
      <c r="R598" s="0" t="n">
        <f aca="false">IF(Q598&gt;0,TRUNC(O598),0)</f>
        <v>0</v>
      </c>
      <c r="S598" s="5" t="n">
        <f aca="false">(M598*(D598-R598)+(Q598*R598))/D598</f>
        <v>800</v>
      </c>
      <c r="T598" s="6" t="n">
        <f aca="false">(Q598-M598)*R598*24/12.1/1000</f>
        <v>-0</v>
      </c>
    </row>
    <row r="599" customFormat="false" ht="14.35" hidden="false" customHeight="false" outlineLevel="0" collapsed="false">
      <c r="A599" s="4" t="n">
        <v>25964</v>
      </c>
      <c r="B599" s="15" t="n">
        <f aca="false">IF(C599&lt;=9,YEAR(A599),YEAR(A599)+1)</f>
        <v>1971</v>
      </c>
      <c r="C599" s="15" t="n">
        <f aca="false">MONTH(A599)</f>
        <v>1</v>
      </c>
      <c r="D599" s="15" t="n">
        <f aca="false">DAY(A599)</f>
        <v>31</v>
      </c>
      <c r="E599" s="15" t="n">
        <f aca="false">VLOOKUP(B599,WYT!$A$2:$L$97,12)</f>
        <v>0</v>
      </c>
      <c r="F599" s="15" t="n">
        <f aca="false">IF(C599=$W$5,1,0)</f>
        <v>0</v>
      </c>
      <c r="G599" s="15" t="n">
        <f aca="false">IF(C599=10,0,IF(F599=1,1,G598))</f>
        <v>0</v>
      </c>
      <c r="H599" s="5" t="n">
        <f aca="false">VA_base_426_data!B599</f>
        <v>2141.20756484221</v>
      </c>
      <c r="I599" s="5" t="n">
        <f aca="false">IF(AND(E599=1,OR(C599=4,C599=5)),25*12.1/24/D599*1000,0)</f>
        <v>0</v>
      </c>
      <c r="J599" s="5" t="n">
        <f aca="false">VA_base_426_data!C599</f>
        <v>2141.20756484221</v>
      </c>
      <c r="K599" s="5" t="n">
        <f aca="false">H599+I599-J599</f>
        <v>0</v>
      </c>
      <c r="L599" s="5" t="n">
        <f aca="false">MIN($W$7,J599+K599)</f>
        <v>2000</v>
      </c>
      <c r="M599" s="5" t="n">
        <f aca="false">VA_base_426_data!D599</f>
        <v>800</v>
      </c>
      <c r="N599" s="5" t="n">
        <f aca="false">IF(AND(C599=10,E599=1),$W$6,N598-P598)</f>
        <v>0</v>
      </c>
      <c r="O599" s="5" t="n">
        <f aca="false">IF(ABS(M599-L599)&gt;1,MIN(N599/((L599-M599)*24/12.1/1000),D599),D599)</f>
        <v>0</v>
      </c>
      <c r="P599" s="5" t="n">
        <f aca="false">MIN(IF(AND(G599,E599),(L599-M599)*24/12.1*O599/1000,0),N599)</f>
        <v>0</v>
      </c>
      <c r="Q599" s="5" t="n">
        <f aca="false">IF(P599&gt;0,P599/O599*12.1/24*1000+M599,0)</f>
        <v>0</v>
      </c>
      <c r="R599" s="0" t="n">
        <f aca="false">IF(Q599&gt;0,TRUNC(O599),0)</f>
        <v>0</v>
      </c>
      <c r="S599" s="5" t="n">
        <f aca="false">(M599*(D599-R599)+(Q599*R599))/D599</f>
        <v>800</v>
      </c>
      <c r="T599" s="6" t="n">
        <f aca="false">(Q599-M599)*R599*24/12.1/1000</f>
        <v>-0</v>
      </c>
    </row>
    <row r="600" customFormat="false" ht="14.35" hidden="false" customHeight="false" outlineLevel="0" collapsed="false">
      <c r="A600" s="4" t="n">
        <v>25992</v>
      </c>
      <c r="B600" s="15" t="n">
        <f aca="false">IF(C600&lt;=9,YEAR(A600),YEAR(A600)+1)</f>
        <v>1971</v>
      </c>
      <c r="C600" s="15" t="n">
        <f aca="false">MONTH(A600)</f>
        <v>2</v>
      </c>
      <c r="D600" s="15" t="n">
        <f aca="false">DAY(A600)</f>
        <v>28</v>
      </c>
      <c r="E600" s="15" t="n">
        <f aca="false">VLOOKUP(B600,WYT!$A$2:$L$97,12)</f>
        <v>0</v>
      </c>
      <c r="F600" s="15" t="n">
        <f aca="false">IF(C600=$W$5,1,0)</f>
        <v>1</v>
      </c>
      <c r="G600" s="15" t="n">
        <f aca="false">IF(C600=10,0,IF(F600=1,1,G599))</f>
        <v>1</v>
      </c>
      <c r="H600" s="5" t="n">
        <f aca="false">VA_base_426_data!B600</f>
        <v>2141.20756484221</v>
      </c>
      <c r="I600" s="5" t="n">
        <f aca="false">IF(AND(E600=1,OR(C600=4,C600=5)),25*12.1/24/D600*1000,0)</f>
        <v>0</v>
      </c>
      <c r="J600" s="5" t="n">
        <f aca="false">VA_base_426_data!C600</f>
        <v>2141.20756484221</v>
      </c>
      <c r="K600" s="5" t="n">
        <f aca="false">H600+I600-J600</f>
        <v>0</v>
      </c>
      <c r="L600" s="5" t="n">
        <f aca="false">MIN($W$7,J600+K600)</f>
        <v>2000</v>
      </c>
      <c r="M600" s="5" t="n">
        <f aca="false">VA_base_426_data!D600</f>
        <v>800</v>
      </c>
      <c r="N600" s="5" t="n">
        <f aca="false">IF(AND(C600=10,E600=1),$W$6,N599-P599)</f>
        <v>0</v>
      </c>
      <c r="O600" s="5" t="n">
        <f aca="false">IF(ABS(M600-L600)&gt;1,MIN(N600/((L600-M600)*24/12.1/1000),D600),D600)</f>
        <v>0</v>
      </c>
      <c r="P600" s="5" t="n">
        <f aca="false">MIN(IF(AND(G600,E600),(L600-M600)*24/12.1*O600/1000,0),N600)</f>
        <v>0</v>
      </c>
      <c r="Q600" s="5" t="n">
        <f aca="false">IF(P600&gt;0,P600/O600*12.1/24*1000+M600,0)</f>
        <v>0</v>
      </c>
      <c r="R600" s="0" t="n">
        <f aca="false">IF(Q600&gt;0,TRUNC(O600),0)</f>
        <v>0</v>
      </c>
      <c r="S600" s="5" t="n">
        <f aca="false">(M600*(D600-R600)+(Q600*R600))/D600</f>
        <v>800</v>
      </c>
      <c r="T600" s="6" t="n">
        <f aca="false">(Q600-M600)*R600*24/12.1/1000</f>
        <v>-0</v>
      </c>
    </row>
    <row r="601" customFormat="false" ht="14.35" hidden="false" customHeight="false" outlineLevel="0" collapsed="false">
      <c r="A601" s="4" t="n">
        <v>26023</v>
      </c>
      <c r="B601" s="15" t="n">
        <f aca="false">IF(C601&lt;=9,YEAR(A601),YEAR(A601)+1)</f>
        <v>1971</v>
      </c>
      <c r="C601" s="15" t="n">
        <f aca="false">MONTH(A601)</f>
        <v>3</v>
      </c>
      <c r="D601" s="15" t="n">
        <f aca="false">DAY(A601)</f>
        <v>31</v>
      </c>
      <c r="E601" s="15" t="n">
        <f aca="false">VLOOKUP(B601,WYT!$A$2:$L$97,12)</f>
        <v>0</v>
      </c>
      <c r="F601" s="15" t="n">
        <f aca="false">IF(C601=$W$5,1,0)</f>
        <v>0</v>
      </c>
      <c r="G601" s="15" t="n">
        <f aca="false">IF(C601=10,0,IF(F601=1,1,G600))</f>
        <v>1</v>
      </c>
      <c r="H601" s="5" t="n">
        <f aca="false">VA_base_426_data!B601</f>
        <v>3185.64238460659</v>
      </c>
      <c r="I601" s="5" t="n">
        <f aca="false">IF(AND(E601=1,OR(C601=4,C601=5)),25*12.1/24/D601*1000,0)</f>
        <v>0</v>
      </c>
      <c r="J601" s="5" t="n">
        <f aca="false">VA_base_426_data!C601</f>
        <v>2141.20756484221</v>
      </c>
      <c r="K601" s="5" t="n">
        <f aca="false">H601+I601-J601</f>
        <v>1044.43481976439</v>
      </c>
      <c r="L601" s="5" t="n">
        <f aca="false">MIN($W$7,J601+K601)</f>
        <v>2000</v>
      </c>
      <c r="M601" s="5" t="n">
        <f aca="false">VA_base_426_data!D601</f>
        <v>800</v>
      </c>
      <c r="N601" s="5" t="n">
        <f aca="false">IF(AND(C601=10,E601=1),$W$6,N600-P600)</f>
        <v>0</v>
      </c>
      <c r="O601" s="5" t="n">
        <f aca="false">IF(ABS(M601-L601)&gt;1,MIN(N601/((L601-M601)*24/12.1/1000),D601),D601)</f>
        <v>0</v>
      </c>
      <c r="P601" s="5" t="n">
        <f aca="false">MIN(IF(AND(G601,E601),(L601-M601)*24/12.1*O601/1000,0),N601)</f>
        <v>0</v>
      </c>
      <c r="Q601" s="5" t="n">
        <f aca="false">IF(P601&gt;0,P601/O601*12.1/24*1000+M601,0)</f>
        <v>0</v>
      </c>
      <c r="R601" s="0" t="n">
        <f aca="false">IF(Q601&gt;0,TRUNC(O601),0)</f>
        <v>0</v>
      </c>
      <c r="S601" s="5" t="n">
        <f aca="false">(M601*(D601-R601)+(Q601*R601))/D601</f>
        <v>800</v>
      </c>
      <c r="T601" s="6" t="n">
        <f aca="false">(Q601-M601)*R601*24/12.1/1000</f>
        <v>-0</v>
      </c>
    </row>
    <row r="602" customFormat="false" ht="14.35" hidden="false" customHeight="false" outlineLevel="0" collapsed="false">
      <c r="A602" s="4" t="n">
        <v>26053</v>
      </c>
      <c r="B602" s="15" t="n">
        <f aca="false">IF(C602&lt;=9,YEAR(A602),YEAR(A602)+1)</f>
        <v>1971</v>
      </c>
      <c r="C602" s="15" t="n">
        <f aca="false">MONTH(A602)</f>
        <v>4</v>
      </c>
      <c r="D602" s="15" t="n">
        <f aca="false">DAY(A602)</f>
        <v>30</v>
      </c>
      <c r="E602" s="15" t="n">
        <f aca="false">VLOOKUP(B602,WYT!$A$2:$L$97,12)</f>
        <v>0</v>
      </c>
      <c r="F602" s="15" t="n">
        <f aca="false">IF(C602=$W$5,1,0)</f>
        <v>0</v>
      </c>
      <c r="G602" s="15" t="n">
        <f aca="false">IF(C602=10,0,IF(F602=1,1,G601))</f>
        <v>1</v>
      </c>
      <c r="H602" s="5" t="n">
        <f aca="false">VA_base_426_data!B602</f>
        <v>3841.87977465721</v>
      </c>
      <c r="I602" s="5" t="n">
        <f aca="false">IF(AND(E602=1,OR(C602=4,C602=5)),25*12.1/24/D602*1000,0)</f>
        <v>0</v>
      </c>
      <c r="J602" s="5" t="n">
        <f aca="false">VA_base_426_data!C602</f>
        <v>1000</v>
      </c>
      <c r="K602" s="5" t="n">
        <f aca="false">H602+I602-J602</f>
        <v>2841.87977465721</v>
      </c>
      <c r="L602" s="5" t="n">
        <f aca="false">MIN($W$7,J602+K602)</f>
        <v>2000</v>
      </c>
      <c r="M602" s="5" t="n">
        <f aca="false">VA_base_426_data!D602</f>
        <v>700</v>
      </c>
      <c r="N602" s="5" t="n">
        <f aca="false">IF(AND(C602=10,E602=1),$W$6,N601-P601)</f>
        <v>0</v>
      </c>
      <c r="O602" s="5" t="n">
        <f aca="false">IF(ABS(M602-L602)&gt;1,MIN(N602/((L602-M602)*24/12.1/1000),D602),D602)</f>
        <v>0</v>
      </c>
      <c r="P602" s="5" t="n">
        <f aca="false">MIN(IF(AND(G602,E602),(L602-M602)*24/12.1*O602/1000,0),N602)</f>
        <v>0</v>
      </c>
      <c r="Q602" s="5" t="n">
        <f aca="false">IF(P602&gt;0,P602/O602*12.1/24*1000+M602,0)</f>
        <v>0</v>
      </c>
      <c r="R602" s="0" t="n">
        <f aca="false">IF(Q602&gt;0,TRUNC(O602),0)</f>
        <v>0</v>
      </c>
      <c r="S602" s="5" t="n">
        <f aca="false">(M602*(D602-R602)+(Q602*R602))/D602</f>
        <v>700</v>
      </c>
      <c r="T602" s="6" t="n">
        <f aca="false">(Q602-M602)*R602*24/12.1/1000</f>
        <v>-0</v>
      </c>
    </row>
    <row r="603" customFormat="false" ht="14.35" hidden="false" customHeight="false" outlineLevel="0" collapsed="false">
      <c r="A603" s="4" t="n">
        <v>26084</v>
      </c>
      <c r="B603" s="15" t="n">
        <f aca="false">IF(C603&lt;=9,YEAR(A603),YEAR(A603)+1)</f>
        <v>1971</v>
      </c>
      <c r="C603" s="15" t="n">
        <f aca="false">MONTH(A603)</f>
        <v>5</v>
      </c>
      <c r="D603" s="15" t="n">
        <f aca="false">DAY(A603)</f>
        <v>31</v>
      </c>
      <c r="E603" s="15" t="n">
        <f aca="false">VLOOKUP(B603,WYT!$A$2:$L$97,12)</f>
        <v>0</v>
      </c>
      <c r="F603" s="15" t="n">
        <f aca="false">IF(C603=$W$5,1,0)</f>
        <v>0</v>
      </c>
      <c r="G603" s="15" t="n">
        <f aca="false">IF(C603=10,0,IF(F603=1,1,G602))</f>
        <v>1</v>
      </c>
      <c r="H603" s="5" t="n">
        <f aca="false">VA_base_426_data!B603</f>
        <v>8569.25095727019</v>
      </c>
      <c r="I603" s="5" t="n">
        <f aca="false">IF(AND(E603=1,OR(C603=4,C603=5)),25*12.1/24/D603*1000,0)</f>
        <v>0</v>
      </c>
      <c r="J603" s="5" t="n">
        <f aca="false">VA_base_426_data!C603</f>
        <v>1000</v>
      </c>
      <c r="K603" s="5" t="n">
        <f aca="false">H603+I603-J603</f>
        <v>7569.25095727019</v>
      </c>
      <c r="L603" s="5" t="n">
        <f aca="false">MIN($W$7,J603+K603)</f>
        <v>2000</v>
      </c>
      <c r="M603" s="5" t="n">
        <f aca="false">VA_base_426_data!D603</f>
        <v>700</v>
      </c>
      <c r="N603" s="5" t="n">
        <f aca="false">IF(AND(C603=10,E603=1),$W$6,N602-P602)</f>
        <v>0</v>
      </c>
      <c r="O603" s="5" t="n">
        <f aca="false">IF(ABS(M603-L603)&gt;1,MIN(N603/((L603-M603)*24/12.1/1000),D603),D603)</f>
        <v>0</v>
      </c>
      <c r="P603" s="5" t="n">
        <f aca="false">MIN(IF(AND(G603,E603),(L603-M603)*24/12.1*O603/1000,0),N603)</f>
        <v>0</v>
      </c>
      <c r="Q603" s="5" t="n">
        <f aca="false">IF(P603&gt;0,P603/O603*12.1/24*1000+M603,0)</f>
        <v>0</v>
      </c>
      <c r="R603" s="0" t="n">
        <f aca="false">IF(Q603&gt;0,TRUNC(O603),0)</f>
        <v>0</v>
      </c>
      <c r="S603" s="5" t="n">
        <f aca="false">(M603*(D603-R603)+(Q603*R603))/D603</f>
        <v>700</v>
      </c>
      <c r="T603" s="6" t="n">
        <f aca="false">(Q603-M603)*R603*24/12.1/1000</f>
        <v>-0</v>
      </c>
    </row>
    <row r="604" customFormat="false" ht="14.35" hidden="false" customHeight="false" outlineLevel="0" collapsed="false">
      <c r="A604" s="4" t="n">
        <v>26114</v>
      </c>
      <c r="B604" s="15" t="n">
        <f aca="false">IF(C604&lt;=9,YEAR(A604),YEAR(A604)+1)</f>
        <v>1971</v>
      </c>
      <c r="C604" s="15" t="n">
        <f aca="false">MONTH(A604)</f>
        <v>6</v>
      </c>
      <c r="D604" s="15" t="n">
        <f aca="false">DAY(A604)</f>
        <v>30</v>
      </c>
      <c r="E604" s="15" t="n">
        <f aca="false">VLOOKUP(B604,WYT!$A$2:$L$97,12)</f>
        <v>0</v>
      </c>
      <c r="F604" s="15" t="n">
        <f aca="false">IF(C604=$W$5,1,0)</f>
        <v>0</v>
      </c>
      <c r="G604" s="15" t="n">
        <f aca="false">IF(C604=10,0,IF(F604=1,1,G603))</f>
        <v>1</v>
      </c>
      <c r="H604" s="5" t="n">
        <f aca="false">VA_base_426_data!B604</f>
        <v>5604.59232402613</v>
      </c>
      <c r="I604" s="5" t="n">
        <f aca="false">IF(AND(E604=1,OR(C604=4,C604=5)),25*12.1/24/D604*1000,0)</f>
        <v>0</v>
      </c>
      <c r="J604" s="5" t="n">
        <f aca="false">VA_base_426_data!C604</f>
        <v>1000</v>
      </c>
      <c r="K604" s="5" t="n">
        <f aca="false">H604+I604-J604</f>
        <v>4604.59232402613</v>
      </c>
      <c r="L604" s="5" t="n">
        <f aca="false">MIN($W$7,J604+K604)</f>
        <v>2000</v>
      </c>
      <c r="M604" s="5" t="n">
        <f aca="false">VA_base_426_data!D604</f>
        <v>700</v>
      </c>
      <c r="N604" s="5" t="n">
        <f aca="false">IF(AND(C604=10,E604=1),$W$6,N603-P603)</f>
        <v>0</v>
      </c>
      <c r="O604" s="5" t="n">
        <f aca="false">IF(ABS(M604-L604)&gt;1,MIN(N604/((L604-M604)*24/12.1/1000),D604),D604)</f>
        <v>0</v>
      </c>
      <c r="P604" s="5" t="n">
        <f aca="false">MIN(IF(AND(G604,E604),(L604-M604)*24/12.1*O604/1000,0),N604)</f>
        <v>0</v>
      </c>
      <c r="Q604" s="5" t="n">
        <f aca="false">IF(P604&gt;0,P604/O604*12.1/24*1000+M604,0)</f>
        <v>0</v>
      </c>
      <c r="R604" s="0" t="n">
        <f aca="false">IF(Q604&gt;0,TRUNC(O604),0)</f>
        <v>0</v>
      </c>
      <c r="S604" s="5" t="n">
        <f aca="false">(M604*(D604-R604)+(Q604*R604))/D604</f>
        <v>700</v>
      </c>
      <c r="T604" s="6" t="n">
        <f aca="false">(Q604-M604)*R604*24/12.1/1000</f>
        <v>-0</v>
      </c>
    </row>
    <row r="605" customFormat="false" ht="14.35" hidden="false" customHeight="false" outlineLevel="0" collapsed="false">
      <c r="A605" s="4" t="n">
        <v>26145</v>
      </c>
      <c r="B605" s="15" t="n">
        <f aca="false">IF(C605&lt;=9,YEAR(A605),YEAR(A605)+1)</f>
        <v>1971</v>
      </c>
      <c r="C605" s="15" t="n">
        <f aca="false">MONTH(A605)</f>
        <v>7</v>
      </c>
      <c r="D605" s="15" t="n">
        <f aca="false">DAY(A605)</f>
        <v>31</v>
      </c>
      <c r="E605" s="15" t="n">
        <f aca="false">VLOOKUP(B605,WYT!$A$2:$L$97,12)</f>
        <v>0</v>
      </c>
      <c r="F605" s="15" t="n">
        <f aca="false">IF(C605=$W$5,1,0)</f>
        <v>0</v>
      </c>
      <c r="G605" s="15" t="n">
        <f aca="false">IF(C605=10,0,IF(F605=1,1,G604))</f>
        <v>1</v>
      </c>
      <c r="H605" s="5" t="n">
        <f aca="false">VA_base_426_data!B605</f>
        <v>9002.67779164201</v>
      </c>
      <c r="I605" s="5" t="n">
        <f aca="false">IF(AND(E605=1,OR(C605=4,C605=5)),25*12.1/24/D605*1000,0)</f>
        <v>0</v>
      </c>
      <c r="J605" s="5" t="n">
        <f aca="false">VA_base_426_data!C605</f>
        <v>1000</v>
      </c>
      <c r="K605" s="5" t="n">
        <f aca="false">H605+I605-J605</f>
        <v>8002.67779164201</v>
      </c>
      <c r="L605" s="5" t="n">
        <f aca="false">MIN($W$7,J605+K605)</f>
        <v>2000</v>
      </c>
      <c r="M605" s="5" t="n">
        <f aca="false">VA_base_426_data!D605</f>
        <v>700</v>
      </c>
      <c r="N605" s="5" t="n">
        <f aca="false">IF(AND(C605=10,E605=1),$W$6,N604-P604)</f>
        <v>0</v>
      </c>
      <c r="O605" s="5" t="n">
        <f aca="false">IF(ABS(M605-L605)&gt;1,MIN(N605/((L605-M605)*24/12.1/1000),D605),D605)</f>
        <v>0</v>
      </c>
      <c r="P605" s="5" t="n">
        <f aca="false">MIN(IF(AND(G605,E605),(L605-M605)*24/12.1*O605/1000,0),N605)</f>
        <v>0</v>
      </c>
      <c r="Q605" s="5" t="n">
        <f aca="false">IF(P605&gt;0,P605/O605*12.1/24*1000+M605,0)</f>
        <v>0</v>
      </c>
      <c r="R605" s="0" t="n">
        <f aca="false">IF(Q605&gt;0,TRUNC(O605),0)</f>
        <v>0</v>
      </c>
      <c r="S605" s="5" t="n">
        <f aca="false">(M605*(D605-R605)+(Q605*R605))/D605</f>
        <v>700</v>
      </c>
      <c r="T605" s="6" t="n">
        <f aca="false">(Q605-M605)*R605*24/12.1/1000</f>
        <v>-0</v>
      </c>
    </row>
    <row r="606" customFormat="false" ht="14.35" hidden="false" customHeight="false" outlineLevel="0" collapsed="false">
      <c r="A606" s="4" t="n">
        <v>26176</v>
      </c>
      <c r="B606" s="15" t="n">
        <f aca="false">IF(C606&lt;=9,YEAR(A606),YEAR(A606)+1)</f>
        <v>1971</v>
      </c>
      <c r="C606" s="15" t="n">
        <f aca="false">MONTH(A606)</f>
        <v>8</v>
      </c>
      <c r="D606" s="15" t="n">
        <f aca="false">DAY(A606)</f>
        <v>31</v>
      </c>
      <c r="E606" s="15" t="n">
        <f aca="false">VLOOKUP(B606,WYT!$A$2:$L$97,12)</f>
        <v>0</v>
      </c>
      <c r="F606" s="15" t="n">
        <f aca="false">IF(C606=$W$5,1,0)</f>
        <v>0</v>
      </c>
      <c r="G606" s="15" t="n">
        <f aca="false">IF(C606=10,0,IF(F606=1,1,G605))</f>
        <v>1</v>
      </c>
      <c r="H606" s="5" t="n">
        <f aca="false">VA_base_426_data!B606</f>
        <v>7153.20082194195</v>
      </c>
      <c r="I606" s="5" t="n">
        <f aca="false">IF(AND(E606=1,OR(C606=4,C606=5)),25*12.1/24/D606*1000,0)</f>
        <v>0</v>
      </c>
      <c r="J606" s="5" t="n">
        <f aca="false">VA_base_426_data!C606</f>
        <v>1000</v>
      </c>
      <c r="K606" s="5" t="n">
        <f aca="false">H606+I606-J606</f>
        <v>6153.20082194195</v>
      </c>
      <c r="L606" s="5" t="n">
        <f aca="false">MIN($W$7,J606+K606)</f>
        <v>2000</v>
      </c>
      <c r="M606" s="5" t="n">
        <f aca="false">VA_base_426_data!D606</f>
        <v>700</v>
      </c>
      <c r="N606" s="5" t="n">
        <f aca="false">IF(AND(C606=10,E606=1),$W$6,N605-P605)</f>
        <v>0</v>
      </c>
      <c r="O606" s="5" t="n">
        <f aca="false">IF(ABS(M606-L606)&gt;1,MIN(N606/((L606-M606)*24/12.1/1000),D606),D606)</f>
        <v>0</v>
      </c>
      <c r="P606" s="5" t="n">
        <f aca="false">MIN(IF(AND(G606,E606),(L606-M606)*24/12.1*O606/1000,0),N606)</f>
        <v>0</v>
      </c>
      <c r="Q606" s="5" t="n">
        <f aca="false">IF(P606&gt;0,P606/O606*12.1/24*1000+M606,0)</f>
        <v>0</v>
      </c>
      <c r="R606" s="0" t="n">
        <f aca="false">IF(Q606&gt;0,TRUNC(O606),0)</f>
        <v>0</v>
      </c>
      <c r="S606" s="5" t="n">
        <f aca="false">(M606*(D606-R606)+(Q606*R606))/D606</f>
        <v>700</v>
      </c>
      <c r="T606" s="6" t="n">
        <f aca="false">(Q606-M606)*R606*24/12.1/1000</f>
        <v>-0</v>
      </c>
    </row>
    <row r="607" customFormat="false" ht="14.35" hidden="false" customHeight="false" outlineLevel="0" collapsed="false">
      <c r="A607" s="4" t="n">
        <v>26206</v>
      </c>
      <c r="B607" s="15" t="n">
        <f aca="false">IF(C607&lt;=9,YEAR(A607),YEAR(A607)+1)</f>
        <v>1971</v>
      </c>
      <c r="C607" s="15" t="n">
        <f aca="false">MONTH(A607)</f>
        <v>9</v>
      </c>
      <c r="D607" s="15" t="n">
        <f aca="false">DAY(A607)</f>
        <v>30</v>
      </c>
      <c r="E607" s="15" t="n">
        <f aca="false">VLOOKUP(B607,WYT!$A$2:$L$97,12)</f>
        <v>0</v>
      </c>
      <c r="F607" s="15" t="n">
        <f aca="false">IF(C607=$W$5,1,0)</f>
        <v>0</v>
      </c>
      <c r="G607" s="15" t="n">
        <f aca="false">IF(C607=10,0,IF(F607=1,1,G606))</f>
        <v>1</v>
      </c>
      <c r="H607" s="5" t="n">
        <f aca="false">VA_base_426_data!B607</f>
        <v>9526.54671815181</v>
      </c>
      <c r="I607" s="5" t="n">
        <f aca="false">IF(AND(E607=1,OR(C607=4,C607=5)),25*12.1/24/D607*1000,0)</f>
        <v>0</v>
      </c>
      <c r="J607" s="5" t="n">
        <f aca="false">VA_base_426_data!C607</f>
        <v>1000</v>
      </c>
      <c r="K607" s="5" t="n">
        <f aca="false">H607+I607-J607</f>
        <v>8526.54671815181</v>
      </c>
      <c r="L607" s="5" t="n">
        <f aca="false">MIN($W$7,J607+K607)</f>
        <v>2000</v>
      </c>
      <c r="M607" s="5" t="n">
        <f aca="false">VA_base_426_data!D607</f>
        <v>773.3333333</v>
      </c>
      <c r="N607" s="5" t="n">
        <f aca="false">IF(AND(C607=10,E607=1),$W$6,N606-P606)</f>
        <v>0</v>
      </c>
      <c r="O607" s="5" t="n">
        <f aca="false">IF(ABS(M607-L607)&gt;1,MIN(N607/((L607-M607)*24/12.1/1000),D607),D607)</f>
        <v>0</v>
      </c>
      <c r="P607" s="5" t="n">
        <f aca="false">MIN(IF(AND(G607,E607),(L607-M607)*24/12.1*O607/1000,0),N607)</f>
        <v>0</v>
      </c>
      <c r="Q607" s="5" t="n">
        <f aca="false">IF(P607&gt;0,P607/O607*12.1/24*1000+M607,0)</f>
        <v>0</v>
      </c>
      <c r="R607" s="0" t="n">
        <f aca="false">IF(Q607&gt;0,TRUNC(O607),0)</f>
        <v>0</v>
      </c>
      <c r="S607" s="5" t="n">
        <f aca="false">(M607*(D607-R607)+(Q607*R607))/D607</f>
        <v>773.3333333</v>
      </c>
      <c r="T607" s="6" t="n">
        <f aca="false">(Q607-M607)*R607*24/12.1/1000</f>
        <v>-0</v>
      </c>
    </row>
    <row r="608" customFormat="false" ht="14.35" hidden="false" customHeight="false" outlineLevel="0" collapsed="false">
      <c r="A608" s="4" t="n">
        <v>26237</v>
      </c>
      <c r="B608" s="15" t="n">
        <f aca="false">IF(C608&lt;=9,YEAR(A608),YEAR(A608)+1)</f>
        <v>1972</v>
      </c>
      <c r="C608" s="15" t="n">
        <f aca="false">MONTH(A608)</f>
        <v>10</v>
      </c>
      <c r="D608" s="15" t="n">
        <f aca="false">DAY(A608)</f>
        <v>31</v>
      </c>
      <c r="E608" s="15" t="n">
        <f aca="false">VLOOKUP(B608,WYT!$A$2:$L$97,12)</f>
        <v>1</v>
      </c>
      <c r="F608" s="15" t="n">
        <f aca="false">IF(C608=$W$5,1,0)</f>
        <v>0</v>
      </c>
      <c r="G608" s="15" t="n">
        <f aca="false">IF(C608=10,0,IF(F608=1,1,G607))</f>
        <v>0</v>
      </c>
      <c r="H608" s="5" t="n">
        <f aca="false">VA_base_426_data!B608</f>
        <v>4000</v>
      </c>
      <c r="I608" s="5" t="n">
        <f aca="false">IF(AND(E608=1,OR(C608=4,C608=5)),25*12.1/24/D608*1000,0)</f>
        <v>0</v>
      </c>
      <c r="J608" s="5" t="n">
        <f aca="false">VA_base_426_data!C608</f>
        <v>1700</v>
      </c>
      <c r="K608" s="5" t="n">
        <f aca="false">H608+I608-J608</f>
        <v>2300</v>
      </c>
      <c r="L608" s="5" t="n">
        <f aca="false">MIN($W$7,J608+K608)</f>
        <v>2000</v>
      </c>
      <c r="M608" s="5" t="n">
        <f aca="false">VA_base_426_data!D608</f>
        <v>800</v>
      </c>
      <c r="N608" s="5" t="n">
        <f aca="false">IF(AND(C608=10,E608=1),$W$6,N607-P607)</f>
        <v>43</v>
      </c>
      <c r="O608" s="5" t="n">
        <f aca="false">IF(ABS(M608-L608)&gt;1,MIN(N608/((L608-M608)*24/12.1/1000),D608),D608)</f>
        <v>18.0659722222222</v>
      </c>
      <c r="P608" s="5" t="n">
        <f aca="false">MIN(IF(AND(G608,E608),(L608-M608)*24/12.1*O608/1000,0),N608)</f>
        <v>0</v>
      </c>
      <c r="Q608" s="5" t="n">
        <f aca="false">IF(P608&gt;0,P608/O608*12.1/24*1000+M608,0)</f>
        <v>0</v>
      </c>
      <c r="R608" s="0" t="n">
        <f aca="false">IF(Q608&gt;0,TRUNC(O608),0)</f>
        <v>0</v>
      </c>
      <c r="S608" s="5" t="n">
        <f aca="false">(M608*(D608-R608)+(Q608*R608))/D608</f>
        <v>800</v>
      </c>
      <c r="T608" s="6" t="n">
        <f aca="false">(Q608-M608)*R608*24/12.1/1000</f>
        <v>-0</v>
      </c>
    </row>
    <row r="609" customFormat="false" ht="14.35" hidden="false" customHeight="false" outlineLevel="0" collapsed="false">
      <c r="A609" s="4" t="n">
        <v>26267</v>
      </c>
      <c r="B609" s="15" t="n">
        <f aca="false">IF(C609&lt;=9,YEAR(A609),YEAR(A609)+1)</f>
        <v>1972</v>
      </c>
      <c r="C609" s="15" t="n">
        <f aca="false">MONTH(A609)</f>
        <v>11</v>
      </c>
      <c r="D609" s="15" t="n">
        <f aca="false">DAY(A609)</f>
        <v>30</v>
      </c>
      <c r="E609" s="15" t="n">
        <f aca="false">VLOOKUP(B609,WYT!$A$2:$L$97,12)</f>
        <v>1</v>
      </c>
      <c r="F609" s="15" t="n">
        <f aca="false">IF(C609=$W$5,1,0)</f>
        <v>0</v>
      </c>
      <c r="G609" s="15" t="n">
        <f aca="false">IF(C609=10,0,IF(F609=1,1,G608))</f>
        <v>0</v>
      </c>
      <c r="H609" s="5" t="n">
        <f aca="false">VA_base_426_data!B609</f>
        <v>2500</v>
      </c>
      <c r="I609" s="5" t="n">
        <f aca="false">IF(AND(E609=1,OR(C609=4,C609=5)),25*12.1/24/D609*1000,0)</f>
        <v>0</v>
      </c>
      <c r="J609" s="5" t="n">
        <f aca="false">VA_base_426_data!C609</f>
        <v>1700</v>
      </c>
      <c r="K609" s="5" t="n">
        <f aca="false">H609+I609-J609</f>
        <v>800</v>
      </c>
      <c r="L609" s="5" t="n">
        <f aca="false">MIN($W$7,J609+K609)</f>
        <v>2000</v>
      </c>
      <c r="M609" s="5" t="n">
        <f aca="false">VA_base_426_data!D609</f>
        <v>800</v>
      </c>
      <c r="N609" s="5" t="n">
        <f aca="false">IF(AND(C609=10,E609=1),$W$6,N608-P608)</f>
        <v>43</v>
      </c>
      <c r="O609" s="5" t="n">
        <f aca="false">IF(ABS(M609-L609)&gt;1,MIN(N609/((L609-M609)*24/12.1/1000),D609),D609)</f>
        <v>18.0659722222222</v>
      </c>
      <c r="P609" s="5" t="n">
        <f aca="false">MIN(IF(AND(G609,E609),(L609-M609)*24/12.1*O609/1000,0),N609)</f>
        <v>0</v>
      </c>
      <c r="Q609" s="5" t="n">
        <f aca="false">IF(P609&gt;0,P609/O609*12.1/24*1000+M609,0)</f>
        <v>0</v>
      </c>
      <c r="R609" s="0" t="n">
        <f aca="false">IF(Q609&gt;0,TRUNC(O609),0)</f>
        <v>0</v>
      </c>
      <c r="S609" s="5" t="n">
        <f aca="false">(M609*(D609-R609)+(Q609*R609))/D609</f>
        <v>800</v>
      </c>
      <c r="T609" s="6" t="n">
        <f aca="false">(Q609-M609)*R609*24/12.1/1000</f>
        <v>-0</v>
      </c>
    </row>
    <row r="610" customFormat="false" ht="14.35" hidden="false" customHeight="false" outlineLevel="0" collapsed="false">
      <c r="A610" s="4" t="n">
        <v>26298</v>
      </c>
      <c r="B610" s="15" t="n">
        <f aca="false">IF(C610&lt;=9,YEAR(A610),YEAR(A610)+1)</f>
        <v>1972</v>
      </c>
      <c r="C610" s="15" t="n">
        <f aca="false">MONTH(A610)</f>
        <v>12</v>
      </c>
      <c r="D610" s="15" t="n">
        <f aca="false">DAY(A610)</f>
        <v>31</v>
      </c>
      <c r="E610" s="15" t="n">
        <f aca="false">VLOOKUP(B610,WYT!$A$2:$L$97,12)</f>
        <v>1</v>
      </c>
      <c r="F610" s="15" t="n">
        <f aca="false">IF(C610=$W$5,1,0)</f>
        <v>0</v>
      </c>
      <c r="G610" s="15" t="n">
        <f aca="false">IF(C610=10,0,IF(F610=1,1,G609))</f>
        <v>0</v>
      </c>
      <c r="H610" s="5" t="n">
        <f aca="false">VA_base_426_data!B610</f>
        <v>1700</v>
      </c>
      <c r="I610" s="5" t="n">
        <f aca="false">IF(AND(E610=1,OR(C610=4,C610=5)),25*12.1/24/D610*1000,0)</f>
        <v>0</v>
      </c>
      <c r="J610" s="5" t="n">
        <f aca="false">VA_base_426_data!C610</f>
        <v>1700</v>
      </c>
      <c r="K610" s="5" t="n">
        <f aca="false">H610+I610-J610</f>
        <v>0</v>
      </c>
      <c r="L610" s="5" t="n">
        <f aca="false">MIN($W$7,J610+K610)</f>
        <v>1700</v>
      </c>
      <c r="M610" s="5" t="n">
        <f aca="false">VA_base_426_data!D610</f>
        <v>800</v>
      </c>
      <c r="N610" s="5" t="n">
        <f aca="false">IF(AND(C610=10,E610=1),$W$6,N609-P609)</f>
        <v>43</v>
      </c>
      <c r="O610" s="5" t="n">
        <f aca="false">IF(ABS(M610-L610)&gt;1,MIN(N610/((L610-M610)*24/12.1/1000),D610),D610)</f>
        <v>24.087962962963</v>
      </c>
      <c r="P610" s="5" t="n">
        <f aca="false">MIN(IF(AND(G610,E610),(L610-M610)*24/12.1*O610/1000,0),N610)</f>
        <v>0</v>
      </c>
      <c r="Q610" s="5" t="n">
        <f aca="false">IF(P610&gt;0,P610/O610*12.1/24*1000+M610,0)</f>
        <v>0</v>
      </c>
      <c r="R610" s="0" t="n">
        <f aca="false">IF(Q610&gt;0,TRUNC(O610),0)</f>
        <v>0</v>
      </c>
      <c r="S610" s="5" t="n">
        <f aca="false">(M610*(D610-R610)+(Q610*R610))/D610</f>
        <v>800</v>
      </c>
      <c r="T610" s="6" t="n">
        <f aca="false">(Q610-M610)*R610*24/12.1/1000</f>
        <v>-0</v>
      </c>
    </row>
    <row r="611" customFormat="false" ht="14.35" hidden="false" customHeight="false" outlineLevel="0" collapsed="false">
      <c r="A611" s="4" t="n">
        <v>26329</v>
      </c>
      <c r="B611" s="15" t="n">
        <f aca="false">IF(C611&lt;=9,YEAR(A611),YEAR(A611)+1)</f>
        <v>1972</v>
      </c>
      <c r="C611" s="15" t="n">
        <f aca="false">MONTH(A611)</f>
        <v>1</v>
      </c>
      <c r="D611" s="15" t="n">
        <f aca="false">DAY(A611)</f>
        <v>31</v>
      </c>
      <c r="E611" s="15" t="n">
        <f aca="false">VLOOKUP(B611,WYT!$A$2:$L$97,12)</f>
        <v>1</v>
      </c>
      <c r="F611" s="15" t="n">
        <f aca="false">IF(C611=$W$5,1,0)</f>
        <v>0</v>
      </c>
      <c r="G611" s="15" t="n">
        <f aca="false">IF(C611=10,0,IF(F611=1,1,G610))</f>
        <v>0</v>
      </c>
      <c r="H611" s="5" t="n">
        <f aca="false">VA_base_426_data!B611</f>
        <v>1700</v>
      </c>
      <c r="I611" s="5" t="n">
        <f aca="false">IF(AND(E611=1,OR(C611=4,C611=5)),25*12.1/24/D611*1000,0)</f>
        <v>0</v>
      </c>
      <c r="J611" s="5" t="n">
        <f aca="false">VA_base_426_data!C611</f>
        <v>1700</v>
      </c>
      <c r="K611" s="5" t="n">
        <f aca="false">H611+I611-J611</f>
        <v>0</v>
      </c>
      <c r="L611" s="5" t="n">
        <f aca="false">MIN($W$7,J611+K611)</f>
        <v>1700</v>
      </c>
      <c r="M611" s="5" t="n">
        <f aca="false">VA_base_426_data!D611</f>
        <v>800</v>
      </c>
      <c r="N611" s="5" t="n">
        <f aca="false">IF(AND(C611=10,E611=1),$W$6,N610-P610)</f>
        <v>43</v>
      </c>
      <c r="O611" s="5" t="n">
        <f aca="false">IF(ABS(M611-L611)&gt;1,MIN(N611/((L611-M611)*24/12.1/1000),D611),D611)</f>
        <v>24.087962962963</v>
      </c>
      <c r="P611" s="5" t="n">
        <f aca="false">MIN(IF(AND(G611,E611),(L611-M611)*24/12.1*O611/1000,0),N611)</f>
        <v>0</v>
      </c>
      <c r="Q611" s="5" t="n">
        <f aca="false">IF(P611&gt;0,P611/O611*12.1/24*1000+M611,0)</f>
        <v>0</v>
      </c>
      <c r="R611" s="0" t="n">
        <f aca="false">IF(Q611&gt;0,TRUNC(O611),0)</f>
        <v>0</v>
      </c>
      <c r="S611" s="5" t="n">
        <f aca="false">(M611*(D611-R611)+(Q611*R611))/D611</f>
        <v>800</v>
      </c>
      <c r="T611" s="6" t="n">
        <f aca="false">(Q611-M611)*R611*24/12.1/1000</f>
        <v>-0</v>
      </c>
    </row>
    <row r="612" customFormat="false" ht="14.35" hidden="false" customHeight="false" outlineLevel="0" collapsed="false">
      <c r="A612" s="4" t="n">
        <v>26358</v>
      </c>
      <c r="B612" s="15" t="n">
        <f aca="false">IF(C612&lt;=9,YEAR(A612),YEAR(A612)+1)</f>
        <v>1972</v>
      </c>
      <c r="C612" s="15" t="n">
        <f aca="false">MONTH(A612)</f>
        <v>2</v>
      </c>
      <c r="D612" s="15" t="n">
        <f aca="false">DAY(A612)</f>
        <v>29</v>
      </c>
      <c r="E612" s="15" t="n">
        <f aca="false">VLOOKUP(B612,WYT!$A$2:$L$97,12)</f>
        <v>1</v>
      </c>
      <c r="F612" s="15" t="n">
        <f aca="false">IF(C612=$W$5,1,0)</f>
        <v>1</v>
      </c>
      <c r="G612" s="15" t="n">
        <f aca="false">IF(C612=10,0,IF(F612=1,1,G611))</f>
        <v>1</v>
      </c>
      <c r="H612" s="5" t="n">
        <f aca="false">VA_base_426_data!B612</f>
        <v>1700</v>
      </c>
      <c r="I612" s="5" t="n">
        <f aca="false">IF(AND(E612=1,OR(C612=4,C612=5)),25*12.1/24/D612*1000,0)</f>
        <v>0</v>
      </c>
      <c r="J612" s="5" t="n">
        <f aca="false">VA_base_426_data!C612</f>
        <v>1700</v>
      </c>
      <c r="K612" s="5" t="n">
        <f aca="false">H612+I612-J612</f>
        <v>0</v>
      </c>
      <c r="L612" s="5" t="n">
        <f aca="false">MIN($W$7,J612+K612)</f>
        <v>1700</v>
      </c>
      <c r="M612" s="5" t="n">
        <f aca="false">VA_base_426_data!D612</f>
        <v>800</v>
      </c>
      <c r="N612" s="5" t="n">
        <f aca="false">IF(AND(C612=10,E612=1),$W$6,N611-P611)</f>
        <v>43</v>
      </c>
      <c r="O612" s="5" t="n">
        <f aca="false">IF(ABS(M612-L612)&gt;1,MIN(N612/((L612-M612)*24/12.1/1000),D612),D612)</f>
        <v>24.087962962963</v>
      </c>
      <c r="P612" s="5" t="n">
        <f aca="false">MIN(IF(AND(G612,E612),(L612-M612)*24/12.1*O612/1000,0),N612)</f>
        <v>43</v>
      </c>
      <c r="Q612" s="5" t="n">
        <f aca="false">IF(P612&gt;0,P612/O612*12.1/24*1000+M612,0)</f>
        <v>1700</v>
      </c>
      <c r="R612" s="0" t="n">
        <f aca="false">IF(Q612&gt;0,TRUNC(O612),0)</f>
        <v>24</v>
      </c>
      <c r="S612" s="5" t="n">
        <f aca="false">(M612*(D612-R612)+(Q612*R612))/D612</f>
        <v>1544.8275862069</v>
      </c>
      <c r="T612" s="6" t="n">
        <f aca="false">(Q612-M612)*R612*24/12.1/1000</f>
        <v>42.8429752066116</v>
      </c>
    </row>
    <row r="613" customFormat="false" ht="14.35" hidden="false" customHeight="false" outlineLevel="0" collapsed="false">
      <c r="A613" s="4" t="n">
        <v>26389</v>
      </c>
      <c r="B613" s="15" t="n">
        <f aca="false">IF(C613&lt;=9,YEAR(A613),YEAR(A613)+1)</f>
        <v>1972</v>
      </c>
      <c r="C613" s="15" t="n">
        <f aca="false">MONTH(A613)</f>
        <v>3</v>
      </c>
      <c r="D613" s="15" t="n">
        <f aca="false">DAY(A613)</f>
        <v>31</v>
      </c>
      <c r="E613" s="15" t="n">
        <f aca="false">VLOOKUP(B613,WYT!$A$2:$L$97,12)</f>
        <v>1</v>
      </c>
      <c r="F613" s="15" t="n">
        <f aca="false">IF(C613=$W$5,1,0)</f>
        <v>0</v>
      </c>
      <c r="G613" s="15" t="n">
        <f aca="false">IF(C613=10,0,IF(F613=1,1,G612))</f>
        <v>1</v>
      </c>
      <c r="H613" s="5" t="n">
        <f aca="false">VA_base_426_data!B613</f>
        <v>1700</v>
      </c>
      <c r="I613" s="5" t="n">
        <f aca="false">IF(AND(E613=1,OR(C613=4,C613=5)),25*12.1/24/D613*1000,0)</f>
        <v>0</v>
      </c>
      <c r="J613" s="5" t="n">
        <f aca="false">VA_base_426_data!C613</f>
        <v>1700</v>
      </c>
      <c r="K613" s="5" t="n">
        <f aca="false">H613+I613-J613</f>
        <v>0</v>
      </c>
      <c r="L613" s="5" t="n">
        <f aca="false">MIN($W$7,J613+K613)</f>
        <v>1700</v>
      </c>
      <c r="M613" s="5" t="n">
        <f aca="false">VA_base_426_data!D613</f>
        <v>800</v>
      </c>
      <c r="N613" s="5" t="n">
        <f aca="false">IF(AND(C613=10,E613=1),$W$6,N612-P612)</f>
        <v>0</v>
      </c>
      <c r="O613" s="5" t="n">
        <f aca="false">IF(ABS(M613-L613)&gt;1,MIN(N613/((L613-M613)*24/12.1/1000),D613),D613)</f>
        <v>0</v>
      </c>
      <c r="P613" s="5" t="n">
        <f aca="false">MIN(IF(AND(G613,E613),(L613-M613)*24/12.1*O613/1000,0),N613)</f>
        <v>0</v>
      </c>
      <c r="Q613" s="5" t="n">
        <f aca="false">IF(P613&gt;0,P613/O613*12.1/24*1000+M613,0)</f>
        <v>0</v>
      </c>
      <c r="R613" s="0" t="n">
        <f aca="false">IF(Q613&gt;0,TRUNC(O613),0)</f>
        <v>0</v>
      </c>
      <c r="S613" s="5" t="n">
        <f aca="false">(M613*(D613-R613)+(Q613*R613))/D613</f>
        <v>800</v>
      </c>
      <c r="T613" s="6" t="n">
        <f aca="false">(Q613-M613)*R613*24/12.1/1000</f>
        <v>-0</v>
      </c>
    </row>
    <row r="614" customFormat="false" ht="14.35" hidden="false" customHeight="false" outlineLevel="0" collapsed="false">
      <c r="A614" s="4" t="n">
        <v>26419</v>
      </c>
      <c r="B614" s="15" t="n">
        <f aca="false">IF(C614&lt;=9,YEAR(A614),YEAR(A614)+1)</f>
        <v>1972</v>
      </c>
      <c r="C614" s="15" t="n">
        <f aca="false">MONTH(A614)</f>
        <v>4</v>
      </c>
      <c r="D614" s="15" t="n">
        <f aca="false">DAY(A614)</f>
        <v>30</v>
      </c>
      <c r="E614" s="15" t="n">
        <f aca="false">VLOOKUP(B614,WYT!$A$2:$L$97,12)</f>
        <v>1</v>
      </c>
      <c r="F614" s="15" t="n">
        <f aca="false">IF(C614=$W$5,1,0)</f>
        <v>0</v>
      </c>
      <c r="G614" s="15" t="n">
        <f aca="false">IF(C614=10,0,IF(F614=1,1,G613))</f>
        <v>1</v>
      </c>
      <c r="H614" s="5" t="n">
        <f aca="false">VA_base_426_data!B614</f>
        <v>1000</v>
      </c>
      <c r="I614" s="5" t="n">
        <f aca="false">IF(AND(E614=1,OR(C614=4,C614=5)),25*12.1/24/D614*1000,0)</f>
        <v>420.138888888889</v>
      </c>
      <c r="J614" s="5" t="n">
        <f aca="false">VA_base_426_data!C614</f>
        <v>1000</v>
      </c>
      <c r="K614" s="5" t="n">
        <f aca="false">H614+I614-J614</f>
        <v>420.138888888889</v>
      </c>
      <c r="L614" s="5" t="n">
        <f aca="false">MIN($W$7,J614+K614)</f>
        <v>1420.13888888889</v>
      </c>
      <c r="M614" s="5" t="n">
        <f aca="false">VA_base_426_data!D614</f>
        <v>700</v>
      </c>
      <c r="N614" s="5" t="n">
        <f aca="false">IF(AND(C614=10,E614=1),$W$6,N613-P613)</f>
        <v>0</v>
      </c>
      <c r="O614" s="5" t="n">
        <f aca="false">IF(ABS(M614-L614)&gt;1,MIN(N614/((L614-M614)*24/12.1/1000),D614),D614)</f>
        <v>0</v>
      </c>
      <c r="P614" s="5" t="n">
        <f aca="false">MIN(IF(AND(G614,E614),(L614-M614)*24/12.1*O614/1000,0),N614)</f>
        <v>0</v>
      </c>
      <c r="Q614" s="5" t="n">
        <f aca="false">IF(P614&gt;0,P614/O614*12.1/24*1000+M614,0)</f>
        <v>0</v>
      </c>
      <c r="R614" s="0" t="n">
        <f aca="false">IF(Q614&gt;0,TRUNC(O614),0)</f>
        <v>0</v>
      </c>
      <c r="S614" s="5" t="n">
        <f aca="false">(M614*(D614-R614)+(Q614*R614))/D614</f>
        <v>700</v>
      </c>
      <c r="T614" s="6" t="n">
        <f aca="false">(Q614-M614)*R614*24/12.1/1000</f>
        <v>-0</v>
      </c>
    </row>
    <row r="615" customFormat="false" ht="14.35" hidden="false" customHeight="false" outlineLevel="0" collapsed="false">
      <c r="A615" s="4" t="n">
        <v>26450</v>
      </c>
      <c r="B615" s="15" t="n">
        <f aca="false">IF(C615&lt;=9,YEAR(A615),YEAR(A615)+1)</f>
        <v>1972</v>
      </c>
      <c r="C615" s="15" t="n">
        <f aca="false">MONTH(A615)</f>
        <v>5</v>
      </c>
      <c r="D615" s="15" t="n">
        <f aca="false">DAY(A615)</f>
        <v>31</v>
      </c>
      <c r="E615" s="15" t="n">
        <f aca="false">VLOOKUP(B615,WYT!$A$2:$L$97,12)</f>
        <v>1</v>
      </c>
      <c r="F615" s="15" t="n">
        <f aca="false">IF(C615=$W$5,1,0)</f>
        <v>0</v>
      </c>
      <c r="G615" s="15" t="n">
        <f aca="false">IF(C615=10,0,IF(F615=1,1,G614))</f>
        <v>1</v>
      </c>
      <c r="H615" s="5" t="n">
        <f aca="false">VA_base_426_data!B615</f>
        <v>1000</v>
      </c>
      <c r="I615" s="5" t="n">
        <f aca="false">IF(AND(E615=1,OR(C615=4,C615=5)),25*12.1/24/D615*1000,0)</f>
        <v>406.586021505376</v>
      </c>
      <c r="J615" s="5" t="n">
        <f aca="false">VA_base_426_data!C615</f>
        <v>1000</v>
      </c>
      <c r="K615" s="5" t="n">
        <f aca="false">H615+I615-J615</f>
        <v>406.586021505376</v>
      </c>
      <c r="L615" s="5" t="n">
        <f aca="false">MIN($W$7,J615+K615)</f>
        <v>1406.58602150538</v>
      </c>
      <c r="M615" s="5" t="n">
        <f aca="false">VA_base_426_data!D615</f>
        <v>700</v>
      </c>
      <c r="N615" s="5" t="n">
        <f aca="false">IF(AND(C615=10,E615=1),$W$6,N614-P614)</f>
        <v>0</v>
      </c>
      <c r="O615" s="5" t="n">
        <f aca="false">IF(ABS(M615-L615)&gt;1,MIN(N615/((L615-M615)*24/12.1/1000),D615),D615)</f>
        <v>0</v>
      </c>
      <c r="P615" s="5" t="n">
        <f aca="false">MIN(IF(AND(G615,E615),(L615-M615)*24/12.1*O615/1000,0),N615)</f>
        <v>0</v>
      </c>
      <c r="Q615" s="5" t="n">
        <f aca="false">IF(P615&gt;0,P615/O615*12.1/24*1000+M615,0)</f>
        <v>0</v>
      </c>
      <c r="R615" s="0" t="n">
        <f aca="false">IF(Q615&gt;0,TRUNC(O615),0)</f>
        <v>0</v>
      </c>
      <c r="S615" s="5" t="n">
        <f aca="false">(M615*(D615-R615)+(Q615*R615))/D615</f>
        <v>700</v>
      </c>
      <c r="T615" s="6" t="n">
        <f aca="false">(Q615-M615)*R615*24/12.1/1000</f>
        <v>-0</v>
      </c>
    </row>
    <row r="616" customFormat="false" ht="14.35" hidden="false" customHeight="false" outlineLevel="0" collapsed="false">
      <c r="A616" s="4" t="n">
        <v>26480</v>
      </c>
      <c r="B616" s="15" t="n">
        <f aca="false">IF(C616&lt;=9,YEAR(A616),YEAR(A616)+1)</f>
        <v>1972</v>
      </c>
      <c r="C616" s="15" t="n">
        <f aca="false">MONTH(A616)</f>
        <v>6</v>
      </c>
      <c r="D616" s="15" t="n">
        <f aca="false">DAY(A616)</f>
        <v>30</v>
      </c>
      <c r="E616" s="15" t="n">
        <f aca="false">VLOOKUP(B616,WYT!$A$2:$L$97,12)</f>
        <v>1</v>
      </c>
      <c r="F616" s="15" t="n">
        <f aca="false">IF(C616=$W$5,1,0)</f>
        <v>0</v>
      </c>
      <c r="G616" s="15" t="n">
        <f aca="false">IF(C616=10,0,IF(F616=1,1,G615))</f>
        <v>1</v>
      </c>
      <c r="H616" s="5" t="n">
        <f aca="false">VA_base_426_data!B616</f>
        <v>2134.33587346783</v>
      </c>
      <c r="I616" s="5" t="n">
        <f aca="false">IF(AND(E616=1,OR(C616=4,C616=5)),25*12.1/24/D616*1000,0)</f>
        <v>0</v>
      </c>
      <c r="J616" s="5" t="n">
        <f aca="false">VA_base_426_data!C616</f>
        <v>1000</v>
      </c>
      <c r="K616" s="5" t="n">
        <f aca="false">H616+I616-J616</f>
        <v>1134.33587346783</v>
      </c>
      <c r="L616" s="5" t="n">
        <f aca="false">MIN($W$7,J616+K616)</f>
        <v>2000</v>
      </c>
      <c r="M616" s="5" t="n">
        <f aca="false">VA_base_426_data!D616</f>
        <v>700</v>
      </c>
      <c r="N616" s="5" t="n">
        <f aca="false">IF(AND(C616=10,E616=1),$W$6,N615-P615)</f>
        <v>0</v>
      </c>
      <c r="O616" s="5" t="n">
        <f aca="false">IF(ABS(M616-L616)&gt;1,MIN(N616/((L616-M616)*24/12.1/1000),D616),D616)</f>
        <v>0</v>
      </c>
      <c r="P616" s="5" t="n">
        <f aca="false">MIN(IF(AND(G616,E616),(L616-M616)*24/12.1*O616/1000,0),N616)</f>
        <v>0</v>
      </c>
      <c r="Q616" s="5" t="n">
        <f aca="false">IF(P616&gt;0,P616/O616*12.1/24*1000+M616,0)</f>
        <v>0</v>
      </c>
      <c r="R616" s="0" t="n">
        <f aca="false">IF(Q616&gt;0,TRUNC(O616),0)</f>
        <v>0</v>
      </c>
      <c r="S616" s="5" t="n">
        <f aca="false">(M616*(D616-R616)+(Q616*R616))/D616</f>
        <v>700</v>
      </c>
      <c r="T616" s="6" t="n">
        <f aca="false">(Q616-M616)*R616*24/12.1/1000</f>
        <v>-0</v>
      </c>
    </row>
    <row r="617" customFormat="false" ht="14.35" hidden="false" customHeight="false" outlineLevel="0" collapsed="false">
      <c r="A617" s="4" t="n">
        <v>26511</v>
      </c>
      <c r="B617" s="15" t="n">
        <f aca="false">IF(C617&lt;=9,YEAR(A617),YEAR(A617)+1)</f>
        <v>1972</v>
      </c>
      <c r="C617" s="15" t="n">
        <f aca="false">MONTH(A617)</f>
        <v>7</v>
      </c>
      <c r="D617" s="15" t="n">
        <f aca="false">DAY(A617)</f>
        <v>31</v>
      </c>
      <c r="E617" s="15" t="n">
        <f aca="false">VLOOKUP(B617,WYT!$A$2:$L$97,12)</f>
        <v>1</v>
      </c>
      <c r="F617" s="15" t="n">
        <f aca="false">IF(C617=$W$5,1,0)</f>
        <v>0</v>
      </c>
      <c r="G617" s="15" t="n">
        <f aca="false">IF(C617=10,0,IF(F617=1,1,G616))</f>
        <v>1</v>
      </c>
      <c r="H617" s="5" t="n">
        <f aca="false">VA_base_426_data!B617</f>
        <v>9097.56445089087</v>
      </c>
      <c r="I617" s="5" t="n">
        <f aca="false">IF(AND(E617=1,OR(C617=4,C617=5)),25*12.1/24/D617*1000,0)</f>
        <v>0</v>
      </c>
      <c r="J617" s="5" t="n">
        <f aca="false">VA_base_426_data!C617</f>
        <v>1000</v>
      </c>
      <c r="K617" s="5" t="n">
        <f aca="false">H617+I617-J617</f>
        <v>8097.56445089087</v>
      </c>
      <c r="L617" s="5" t="n">
        <f aca="false">MIN($W$7,J617+K617)</f>
        <v>2000</v>
      </c>
      <c r="M617" s="5" t="n">
        <f aca="false">VA_base_426_data!D617</f>
        <v>700</v>
      </c>
      <c r="N617" s="5" t="n">
        <f aca="false">IF(AND(C617=10,E617=1),$W$6,N616-P616)</f>
        <v>0</v>
      </c>
      <c r="O617" s="5" t="n">
        <f aca="false">IF(ABS(M617-L617)&gt;1,MIN(N617/((L617-M617)*24/12.1/1000),D617),D617)</f>
        <v>0</v>
      </c>
      <c r="P617" s="5" t="n">
        <f aca="false">MIN(IF(AND(G617,E617),(L617-M617)*24/12.1*O617/1000,0),N617)</f>
        <v>0</v>
      </c>
      <c r="Q617" s="5" t="n">
        <f aca="false">IF(P617&gt;0,P617/O617*12.1/24*1000+M617,0)</f>
        <v>0</v>
      </c>
      <c r="R617" s="0" t="n">
        <f aca="false">IF(Q617&gt;0,TRUNC(O617),0)</f>
        <v>0</v>
      </c>
      <c r="S617" s="5" t="n">
        <f aca="false">(M617*(D617-R617)+(Q617*R617))/D617</f>
        <v>700</v>
      </c>
      <c r="T617" s="6" t="n">
        <f aca="false">(Q617-M617)*R617*24/12.1/1000</f>
        <v>-0</v>
      </c>
    </row>
    <row r="618" customFormat="false" ht="14.35" hidden="false" customHeight="false" outlineLevel="0" collapsed="false">
      <c r="A618" s="4" t="n">
        <v>26542</v>
      </c>
      <c r="B618" s="15" t="n">
        <f aca="false">IF(C618&lt;=9,YEAR(A618),YEAR(A618)+1)</f>
        <v>1972</v>
      </c>
      <c r="C618" s="15" t="n">
        <f aca="false">MONTH(A618)</f>
        <v>8</v>
      </c>
      <c r="D618" s="15" t="n">
        <f aca="false">DAY(A618)</f>
        <v>31</v>
      </c>
      <c r="E618" s="15" t="n">
        <f aca="false">VLOOKUP(B618,WYT!$A$2:$L$97,12)</f>
        <v>1</v>
      </c>
      <c r="F618" s="15" t="n">
        <f aca="false">IF(C618=$W$5,1,0)</f>
        <v>0</v>
      </c>
      <c r="G618" s="15" t="n">
        <f aca="false">IF(C618=10,0,IF(F618=1,1,G617))</f>
        <v>1</v>
      </c>
      <c r="H618" s="5" t="n">
        <f aca="false">VA_base_426_data!B618</f>
        <v>7286.25318413119</v>
      </c>
      <c r="I618" s="5" t="n">
        <f aca="false">IF(AND(E618=1,OR(C618=4,C618=5)),25*12.1/24/D618*1000,0)</f>
        <v>0</v>
      </c>
      <c r="J618" s="5" t="n">
        <f aca="false">VA_base_426_data!C618</f>
        <v>1000</v>
      </c>
      <c r="K618" s="5" t="n">
        <f aca="false">H618+I618-J618</f>
        <v>6286.25318413119</v>
      </c>
      <c r="L618" s="5" t="n">
        <f aca="false">MIN($W$7,J618+K618)</f>
        <v>2000</v>
      </c>
      <c r="M618" s="5" t="n">
        <f aca="false">VA_base_426_data!D618</f>
        <v>700</v>
      </c>
      <c r="N618" s="5" t="n">
        <f aca="false">IF(AND(C618=10,E618=1),$W$6,N617-P617)</f>
        <v>0</v>
      </c>
      <c r="O618" s="5" t="n">
        <f aca="false">IF(ABS(M618-L618)&gt;1,MIN(N618/((L618-M618)*24/12.1/1000),D618),D618)</f>
        <v>0</v>
      </c>
      <c r="P618" s="5" t="n">
        <f aca="false">MIN(IF(AND(G618,E618),(L618-M618)*24/12.1*O618/1000,0),N618)</f>
        <v>0</v>
      </c>
      <c r="Q618" s="5" t="n">
        <f aca="false">IF(P618&gt;0,P618/O618*12.1/24*1000+M618,0)</f>
        <v>0</v>
      </c>
      <c r="R618" s="0" t="n">
        <f aca="false">IF(Q618&gt;0,TRUNC(O618),0)</f>
        <v>0</v>
      </c>
      <c r="S618" s="5" t="n">
        <f aca="false">(M618*(D618-R618)+(Q618*R618))/D618</f>
        <v>700</v>
      </c>
      <c r="T618" s="6" t="n">
        <f aca="false">(Q618-M618)*R618*24/12.1/1000</f>
        <v>-0</v>
      </c>
    </row>
    <row r="619" customFormat="false" ht="14.35" hidden="false" customHeight="false" outlineLevel="0" collapsed="false">
      <c r="A619" s="4" t="n">
        <v>26572</v>
      </c>
      <c r="B619" s="15" t="n">
        <f aca="false">IF(C619&lt;=9,YEAR(A619),YEAR(A619)+1)</f>
        <v>1972</v>
      </c>
      <c r="C619" s="15" t="n">
        <f aca="false">MONTH(A619)</f>
        <v>9</v>
      </c>
      <c r="D619" s="15" t="n">
        <f aca="false">DAY(A619)</f>
        <v>30</v>
      </c>
      <c r="E619" s="15" t="n">
        <f aca="false">VLOOKUP(B619,WYT!$A$2:$L$97,12)</f>
        <v>1</v>
      </c>
      <c r="F619" s="15" t="n">
        <f aca="false">IF(C619=$W$5,1,0)</f>
        <v>0</v>
      </c>
      <c r="G619" s="15" t="n">
        <f aca="false">IF(C619=10,0,IF(F619=1,1,G618))</f>
        <v>1</v>
      </c>
      <c r="H619" s="5" t="n">
        <f aca="false">VA_base_426_data!B619</f>
        <v>1910.26171942744</v>
      </c>
      <c r="I619" s="5" t="n">
        <f aca="false">IF(AND(E619=1,OR(C619=4,C619=5)),25*12.1/24/D619*1000,0)</f>
        <v>0</v>
      </c>
      <c r="J619" s="5" t="n">
        <f aca="false">VA_base_426_data!C619</f>
        <v>1000</v>
      </c>
      <c r="K619" s="5" t="n">
        <f aca="false">H619+I619-J619</f>
        <v>910.261719427438</v>
      </c>
      <c r="L619" s="5" t="n">
        <f aca="false">MIN($W$7,J619+K619)</f>
        <v>1910.26171942744</v>
      </c>
      <c r="M619" s="5" t="n">
        <f aca="false">VA_base_426_data!D619</f>
        <v>773.3333333</v>
      </c>
      <c r="N619" s="5" t="n">
        <f aca="false">IF(AND(C619=10,E619=1),$W$6,N618-P618)</f>
        <v>0</v>
      </c>
      <c r="O619" s="5" t="n">
        <f aca="false">IF(ABS(M619-L619)&gt;1,MIN(N619/((L619-M619)*24/12.1/1000),D619),D619)</f>
        <v>0</v>
      </c>
      <c r="P619" s="5" t="n">
        <f aca="false">MIN(IF(AND(G619,E619),(L619-M619)*24/12.1*O619/1000,0),N619)</f>
        <v>0</v>
      </c>
      <c r="Q619" s="5" t="n">
        <f aca="false">IF(P619&gt;0,P619/O619*12.1/24*1000+M619,0)</f>
        <v>0</v>
      </c>
      <c r="R619" s="0" t="n">
        <f aca="false">IF(Q619&gt;0,TRUNC(O619),0)</f>
        <v>0</v>
      </c>
      <c r="S619" s="5" t="n">
        <f aca="false">(M619*(D619-R619)+(Q619*R619))/D619</f>
        <v>773.3333333</v>
      </c>
      <c r="T619" s="6" t="n">
        <f aca="false">(Q619-M619)*R619*24/12.1/1000</f>
        <v>-0</v>
      </c>
    </row>
    <row r="620" customFormat="false" ht="14.35" hidden="false" customHeight="false" outlineLevel="0" collapsed="false">
      <c r="A620" s="4" t="n">
        <v>26603</v>
      </c>
      <c r="B620" s="15" t="n">
        <f aca="false">IF(C620&lt;=9,YEAR(A620),YEAR(A620)+1)</f>
        <v>1973</v>
      </c>
      <c r="C620" s="15" t="n">
        <f aca="false">MONTH(A620)</f>
        <v>10</v>
      </c>
      <c r="D620" s="15" t="n">
        <f aca="false">DAY(A620)</f>
        <v>31</v>
      </c>
      <c r="E620" s="15" t="n">
        <f aca="false">VLOOKUP(B620,WYT!$A$2:$L$97,12)</f>
        <v>1</v>
      </c>
      <c r="F620" s="15" t="n">
        <f aca="false">IF(C620=$W$5,1,0)</f>
        <v>0</v>
      </c>
      <c r="G620" s="15" t="n">
        <f aca="false">IF(C620=10,0,IF(F620=1,1,G619))</f>
        <v>0</v>
      </c>
      <c r="H620" s="5" t="n">
        <f aca="false">VA_base_426_data!B620</f>
        <v>1700</v>
      </c>
      <c r="I620" s="5" t="n">
        <f aca="false">IF(AND(E620=1,OR(C620=4,C620=5)),25*12.1/24/D620*1000,0)</f>
        <v>0</v>
      </c>
      <c r="J620" s="5" t="n">
        <f aca="false">VA_base_426_data!C620</f>
        <v>1700</v>
      </c>
      <c r="K620" s="5" t="n">
        <f aca="false">H620+I620-J620</f>
        <v>0</v>
      </c>
      <c r="L620" s="5" t="n">
        <f aca="false">MIN($W$7,J620+K620)</f>
        <v>1700</v>
      </c>
      <c r="M620" s="5" t="n">
        <f aca="false">VA_base_426_data!D620</f>
        <v>800</v>
      </c>
      <c r="N620" s="5" t="n">
        <f aca="false">IF(AND(C620=10,E620=1),$W$6,N619-P619)</f>
        <v>43</v>
      </c>
      <c r="O620" s="5" t="n">
        <f aca="false">IF(ABS(M620-L620)&gt;1,MIN(N620/((L620-M620)*24/12.1/1000),D620),D620)</f>
        <v>24.087962962963</v>
      </c>
      <c r="P620" s="5" t="n">
        <f aca="false">MIN(IF(AND(G620,E620),(L620-M620)*24/12.1*O620/1000,0),N620)</f>
        <v>0</v>
      </c>
      <c r="Q620" s="5" t="n">
        <f aca="false">IF(P620&gt;0,P620/O620*12.1/24*1000+M620,0)</f>
        <v>0</v>
      </c>
      <c r="R620" s="0" t="n">
        <f aca="false">IF(Q620&gt;0,TRUNC(O620),0)</f>
        <v>0</v>
      </c>
      <c r="S620" s="5" t="n">
        <f aca="false">(M620*(D620-R620)+(Q620*R620))/D620</f>
        <v>800</v>
      </c>
      <c r="T620" s="6" t="n">
        <f aca="false">(Q620-M620)*R620*24/12.1/1000</f>
        <v>-0</v>
      </c>
    </row>
    <row r="621" customFormat="false" ht="14.35" hidden="false" customHeight="false" outlineLevel="0" collapsed="false">
      <c r="A621" s="4" t="n">
        <v>26633</v>
      </c>
      <c r="B621" s="15" t="n">
        <f aca="false">IF(C621&lt;=9,YEAR(A621),YEAR(A621)+1)</f>
        <v>1973</v>
      </c>
      <c r="C621" s="15" t="n">
        <f aca="false">MONTH(A621)</f>
        <v>11</v>
      </c>
      <c r="D621" s="15" t="n">
        <f aca="false">DAY(A621)</f>
        <v>30</v>
      </c>
      <c r="E621" s="15" t="n">
        <f aca="false">VLOOKUP(B621,WYT!$A$2:$L$97,12)</f>
        <v>1</v>
      </c>
      <c r="F621" s="15" t="n">
        <f aca="false">IF(C621=$W$5,1,0)</f>
        <v>0</v>
      </c>
      <c r="G621" s="15" t="n">
        <f aca="false">IF(C621=10,0,IF(F621=1,1,G620))</f>
        <v>0</v>
      </c>
      <c r="H621" s="5" t="n">
        <f aca="false">VA_base_426_data!B621</f>
        <v>1700</v>
      </c>
      <c r="I621" s="5" t="n">
        <f aca="false">IF(AND(E621=1,OR(C621=4,C621=5)),25*12.1/24/D621*1000,0)</f>
        <v>0</v>
      </c>
      <c r="J621" s="5" t="n">
        <f aca="false">VA_base_426_data!C621</f>
        <v>1700</v>
      </c>
      <c r="K621" s="5" t="n">
        <f aca="false">H621+I621-J621</f>
        <v>0</v>
      </c>
      <c r="L621" s="5" t="n">
        <f aca="false">MIN($W$7,J621+K621)</f>
        <v>1700</v>
      </c>
      <c r="M621" s="5" t="n">
        <f aca="false">VA_base_426_data!D621</f>
        <v>800</v>
      </c>
      <c r="N621" s="5" t="n">
        <f aca="false">IF(AND(C621=10,E621=1),$W$6,N620-P620)</f>
        <v>43</v>
      </c>
      <c r="O621" s="5" t="n">
        <f aca="false">IF(ABS(M621-L621)&gt;1,MIN(N621/((L621-M621)*24/12.1/1000),D621),D621)</f>
        <v>24.087962962963</v>
      </c>
      <c r="P621" s="5" t="n">
        <f aca="false">MIN(IF(AND(G621,E621),(L621-M621)*24/12.1*O621/1000,0),N621)</f>
        <v>0</v>
      </c>
      <c r="Q621" s="5" t="n">
        <f aca="false">IF(P621&gt;0,P621/O621*12.1/24*1000+M621,0)</f>
        <v>0</v>
      </c>
      <c r="R621" s="0" t="n">
        <f aca="false">IF(Q621&gt;0,TRUNC(O621),0)</f>
        <v>0</v>
      </c>
      <c r="S621" s="5" t="n">
        <f aca="false">(M621*(D621-R621)+(Q621*R621))/D621</f>
        <v>800</v>
      </c>
      <c r="T621" s="6" t="n">
        <f aca="false">(Q621-M621)*R621*24/12.1/1000</f>
        <v>-0</v>
      </c>
    </row>
    <row r="622" customFormat="false" ht="14.35" hidden="false" customHeight="false" outlineLevel="0" collapsed="false">
      <c r="A622" s="4" t="n">
        <v>26664</v>
      </c>
      <c r="B622" s="15" t="n">
        <f aca="false">IF(C622&lt;=9,YEAR(A622),YEAR(A622)+1)</f>
        <v>1973</v>
      </c>
      <c r="C622" s="15" t="n">
        <f aca="false">MONTH(A622)</f>
        <v>12</v>
      </c>
      <c r="D622" s="15" t="n">
        <f aca="false">DAY(A622)</f>
        <v>31</v>
      </c>
      <c r="E622" s="15" t="n">
        <f aca="false">VLOOKUP(B622,WYT!$A$2:$L$97,12)</f>
        <v>1</v>
      </c>
      <c r="F622" s="15" t="n">
        <f aca="false">IF(C622=$W$5,1,0)</f>
        <v>0</v>
      </c>
      <c r="G622" s="15" t="n">
        <f aca="false">IF(C622=10,0,IF(F622=1,1,G621))</f>
        <v>0</v>
      </c>
      <c r="H622" s="5" t="n">
        <f aca="false">VA_base_426_data!B622</f>
        <v>1700</v>
      </c>
      <c r="I622" s="5" t="n">
        <f aca="false">IF(AND(E622=1,OR(C622=4,C622=5)),25*12.1/24/D622*1000,0)</f>
        <v>0</v>
      </c>
      <c r="J622" s="5" t="n">
        <f aca="false">VA_base_426_data!C622</f>
        <v>1700</v>
      </c>
      <c r="K622" s="5" t="n">
        <f aca="false">H622+I622-J622</f>
        <v>0</v>
      </c>
      <c r="L622" s="5" t="n">
        <f aca="false">MIN($W$7,J622+K622)</f>
        <v>1700</v>
      </c>
      <c r="M622" s="5" t="n">
        <f aca="false">VA_base_426_data!D622</f>
        <v>800</v>
      </c>
      <c r="N622" s="5" t="n">
        <f aca="false">IF(AND(C622=10,E622=1),$W$6,N621-P621)</f>
        <v>43</v>
      </c>
      <c r="O622" s="5" t="n">
        <f aca="false">IF(ABS(M622-L622)&gt;1,MIN(N622/((L622-M622)*24/12.1/1000),D622),D622)</f>
        <v>24.087962962963</v>
      </c>
      <c r="P622" s="5" t="n">
        <f aca="false">MIN(IF(AND(G622,E622),(L622-M622)*24/12.1*O622/1000,0),N622)</f>
        <v>0</v>
      </c>
      <c r="Q622" s="5" t="n">
        <f aca="false">IF(P622&gt;0,P622/O622*12.1/24*1000+M622,0)</f>
        <v>0</v>
      </c>
      <c r="R622" s="0" t="n">
        <f aca="false">IF(Q622&gt;0,TRUNC(O622),0)</f>
        <v>0</v>
      </c>
      <c r="S622" s="5" t="n">
        <f aca="false">(M622*(D622-R622)+(Q622*R622))/D622</f>
        <v>800</v>
      </c>
      <c r="T622" s="6" t="n">
        <f aca="false">(Q622-M622)*R622*24/12.1/1000</f>
        <v>-0</v>
      </c>
    </row>
    <row r="623" customFormat="false" ht="14.35" hidden="false" customHeight="false" outlineLevel="0" collapsed="false">
      <c r="A623" s="4" t="n">
        <v>26695</v>
      </c>
      <c r="B623" s="15" t="n">
        <f aca="false">IF(C623&lt;=9,YEAR(A623),YEAR(A623)+1)</f>
        <v>1973</v>
      </c>
      <c r="C623" s="15" t="n">
        <f aca="false">MONTH(A623)</f>
        <v>1</v>
      </c>
      <c r="D623" s="15" t="n">
        <f aca="false">DAY(A623)</f>
        <v>31</v>
      </c>
      <c r="E623" s="15" t="n">
        <f aca="false">VLOOKUP(B623,WYT!$A$2:$L$97,12)</f>
        <v>1</v>
      </c>
      <c r="F623" s="15" t="n">
        <f aca="false">IF(C623=$W$5,1,0)</f>
        <v>0</v>
      </c>
      <c r="G623" s="15" t="n">
        <f aca="false">IF(C623=10,0,IF(F623=1,1,G622))</f>
        <v>0</v>
      </c>
      <c r="H623" s="5" t="n">
        <f aca="false">VA_base_426_data!B623</f>
        <v>1700.00000000001</v>
      </c>
      <c r="I623" s="5" t="n">
        <f aca="false">IF(AND(E623=1,OR(C623=4,C623=5)),25*12.1/24/D623*1000,0)</f>
        <v>0</v>
      </c>
      <c r="J623" s="5" t="n">
        <f aca="false">VA_base_426_data!C623</f>
        <v>1700</v>
      </c>
      <c r="K623" s="5" t="n">
        <f aca="false">H623+I623-J623</f>
        <v>7.27595761418343E-012</v>
      </c>
      <c r="L623" s="5" t="n">
        <f aca="false">MIN($W$7,J623+K623)</f>
        <v>1700.00000000001</v>
      </c>
      <c r="M623" s="5" t="n">
        <f aca="false">VA_base_426_data!D623</f>
        <v>800</v>
      </c>
      <c r="N623" s="5" t="n">
        <f aca="false">IF(AND(C623=10,E623=1),$W$6,N622-P622)</f>
        <v>43</v>
      </c>
      <c r="O623" s="5" t="n">
        <f aca="false">IF(ABS(M623-L623)&gt;1,MIN(N623/((L623-M623)*24/12.1/1000),D623),D623)</f>
        <v>24.0879629629628</v>
      </c>
      <c r="P623" s="5" t="n">
        <f aca="false">MIN(IF(AND(G623,E623),(L623-M623)*24/12.1*O623/1000,0),N623)</f>
        <v>0</v>
      </c>
      <c r="Q623" s="5" t="n">
        <f aca="false">IF(P623&gt;0,P623/O623*12.1/24*1000+M623,0)</f>
        <v>0</v>
      </c>
      <c r="R623" s="0" t="n">
        <f aca="false">IF(Q623&gt;0,TRUNC(O623),0)</f>
        <v>0</v>
      </c>
      <c r="S623" s="5" t="n">
        <f aca="false">(M623*(D623-R623)+(Q623*R623))/D623</f>
        <v>800</v>
      </c>
      <c r="T623" s="6" t="n">
        <f aca="false">(Q623-M623)*R623*24/12.1/1000</f>
        <v>-0</v>
      </c>
    </row>
    <row r="624" customFormat="false" ht="14.35" hidden="false" customHeight="false" outlineLevel="0" collapsed="false">
      <c r="A624" s="4" t="n">
        <v>26723</v>
      </c>
      <c r="B624" s="15" t="n">
        <f aca="false">IF(C624&lt;=9,YEAR(A624),YEAR(A624)+1)</f>
        <v>1973</v>
      </c>
      <c r="C624" s="15" t="n">
        <f aca="false">MONTH(A624)</f>
        <v>2</v>
      </c>
      <c r="D624" s="15" t="n">
        <f aca="false">DAY(A624)</f>
        <v>28</v>
      </c>
      <c r="E624" s="15" t="n">
        <f aca="false">VLOOKUP(B624,WYT!$A$2:$L$97,12)</f>
        <v>1</v>
      </c>
      <c r="F624" s="15" t="n">
        <f aca="false">IF(C624=$W$5,1,0)</f>
        <v>1</v>
      </c>
      <c r="G624" s="15" t="n">
        <f aca="false">IF(C624=10,0,IF(F624=1,1,G623))</f>
        <v>1</v>
      </c>
      <c r="H624" s="5" t="n">
        <f aca="false">VA_base_426_data!B624</f>
        <v>3313.60147480953</v>
      </c>
      <c r="I624" s="5" t="n">
        <f aca="false">IF(AND(E624=1,OR(C624=4,C624=5)),25*12.1/24/D624*1000,0)</f>
        <v>0</v>
      </c>
      <c r="J624" s="5" t="n">
        <f aca="false">VA_base_426_data!C624</f>
        <v>1700</v>
      </c>
      <c r="K624" s="5" t="n">
        <f aca="false">H624+I624-J624</f>
        <v>1613.60147480953</v>
      </c>
      <c r="L624" s="5" t="n">
        <f aca="false">MIN($W$7,J624+K624)</f>
        <v>2000</v>
      </c>
      <c r="M624" s="5" t="n">
        <f aca="false">VA_base_426_data!D624</f>
        <v>800</v>
      </c>
      <c r="N624" s="5" t="n">
        <f aca="false">IF(AND(C624=10,E624=1),$W$6,N623-P623)</f>
        <v>43</v>
      </c>
      <c r="O624" s="5" t="n">
        <f aca="false">IF(ABS(M624-L624)&gt;1,MIN(N624/((L624-M624)*24/12.1/1000),D624),D624)</f>
        <v>18.0659722222222</v>
      </c>
      <c r="P624" s="5" t="n">
        <f aca="false">MIN(IF(AND(G624,E624),(L624-M624)*24/12.1*O624/1000,0),N624)</f>
        <v>43</v>
      </c>
      <c r="Q624" s="5" t="n">
        <f aca="false">IF(P624&gt;0,P624/O624*12.1/24*1000+M624,0)</f>
        <v>2000</v>
      </c>
      <c r="R624" s="0" t="n">
        <f aca="false">IF(Q624&gt;0,TRUNC(O624),0)</f>
        <v>18</v>
      </c>
      <c r="S624" s="5" t="n">
        <f aca="false">(M624*(D624-R624)+(Q624*R624))/D624</f>
        <v>1571.42857142857</v>
      </c>
      <c r="T624" s="6" t="n">
        <f aca="false">(Q624-M624)*R624*24/12.1/1000</f>
        <v>42.8429752066116</v>
      </c>
    </row>
    <row r="625" customFormat="false" ht="14.35" hidden="false" customHeight="false" outlineLevel="0" collapsed="false">
      <c r="A625" s="4" t="n">
        <v>26754</v>
      </c>
      <c r="B625" s="15" t="n">
        <f aca="false">IF(C625&lt;=9,YEAR(A625),YEAR(A625)+1)</f>
        <v>1973</v>
      </c>
      <c r="C625" s="15" t="n">
        <f aca="false">MONTH(A625)</f>
        <v>3</v>
      </c>
      <c r="D625" s="15" t="n">
        <f aca="false">DAY(A625)</f>
        <v>31</v>
      </c>
      <c r="E625" s="15" t="n">
        <f aca="false">VLOOKUP(B625,WYT!$A$2:$L$97,12)</f>
        <v>1</v>
      </c>
      <c r="F625" s="15" t="n">
        <f aca="false">IF(C625=$W$5,1,0)</f>
        <v>0</v>
      </c>
      <c r="G625" s="15" t="n">
        <f aca="false">IF(C625=10,0,IF(F625=1,1,G624))</f>
        <v>1</v>
      </c>
      <c r="H625" s="5" t="n">
        <f aca="false">VA_base_426_data!B625</f>
        <v>6099.78910277783</v>
      </c>
      <c r="I625" s="5" t="n">
        <f aca="false">IF(AND(E625=1,OR(C625=4,C625=5)),25*12.1/24/D625*1000,0)</f>
        <v>0</v>
      </c>
      <c r="J625" s="5" t="n">
        <f aca="false">VA_base_426_data!C625</f>
        <v>1700</v>
      </c>
      <c r="K625" s="5" t="n">
        <f aca="false">H625+I625-J625</f>
        <v>4399.78910277783</v>
      </c>
      <c r="L625" s="5" t="n">
        <f aca="false">MIN($W$7,J625+K625)</f>
        <v>2000</v>
      </c>
      <c r="M625" s="5" t="n">
        <f aca="false">VA_base_426_data!D625</f>
        <v>800</v>
      </c>
      <c r="N625" s="5" t="n">
        <f aca="false">IF(AND(C625=10,E625=1),$W$6,N624-P624)</f>
        <v>0</v>
      </c>
      <c r="O625" s="5" t="n">
        <f aca="false">IF(ABS(M625-L625)&gt;1,MIN(N625/((L625-M625)*24/12.1/1000),D625),D625)</f>
        <v>0</v>
      </c>
      <c r="P625" s="5" t="n">
        <f aca="false">MIN(IF(AND(G625,E625),(L625-M625)*24/12.1*O625/1000,0),N625)</f>
        <v>0</v>
      </c>
      <c r="Q625" s="5" t="n">
        <f aca="false">IF(P625&gt;0,P625/O625*12.1/24*1000+M625,0)</f>
        <v>0</v>
      </c>
      <c r="R625" s="0" t="n">
        <f aca="false">IF(Q625&gt;0,TRUNC(O625),0)</f>
        <v>0</v>
      </c>
      <c r="S625" s="5" t="n">
        <f aca="false">(M625*(D625-R625)+(Q625*R625))/D625</f>
        <v>800</v>
      </c>
      <c r="T625" s="6" t="n">
        <f aca="false">(Q625-M625)*R625*24/12.1/1000</f>
        <v>-0</v>
      </c>
    </row>
    <row r="626" customFormat="false" ht="14.35" hidden="false" customHeight="false" outlineLevel="0" collapsed="false">
      <c r="A626" s="4" t="n">
        <v>26784</v>
      </c>
      <c r="B626" s="15" t="n">
        <f aca="false">IF(C626&lt;=9,YEAR(A626),YEAR(A626)+1)</f>
        <v>1973</v>
      </c>
      <c r="C626" s="15" t="n">
        <f aca="false">MONTH(A626)</f>
        <v>4</v>
      </c>
      <c r="D626" s="15" t="n">
        <f aca="false">DAY(A626)</f>
        <v>30</v>
      </c>
      <c r="E626" s="15" t="n">
        <f aca="false">VLOOKUP(B626,WYT!$A$2:$L$97,12)</f>
        <v>1</v>
      </c>
      <c r="F626" s="15" t="n">
        <f aca="false">IF(C626=$W$5,1,0)</f>
        <v>0</v>
      </c>
      <c r="G626" s="15" t="n">
        <f aca="false">IF(C626=10,0,IF(F626=1,1,G625))</f>
        <v>1</v>
      </c>
      <c r="H626" s="5" t="n">
        <f aca="false">VA_base_426_data!B626</f>
        <v>1000</v>
      </c>
      <c r="I626" s="5" t="n">
        <f aca="false">IF(AND(E626=1,OR(C626=4,C626=5)),25*12.1/24/D626*1000,0)</f>
        <v>420.138888888889</v>
      </c>
      <c r="J626" s="5" t="n">
        <f aca="false">VA_base_426_data!C626</f>
        <v>1000</v>
      </c>
      <c r="K626" s="5" t="n">
        <f aca="false">H626+I626-J626</f>
        <v>420.138888888889</v>
      </c>
      <c r="L626" s="5" t="n">
        <f aca="false">MIN($W$7,J626+K626)</f>
        <v>1420.13888888889</v>
      </c>
      <c r="M626" s="5" t="n">
        <f aca="false">VA_base_426_data!D626</f>
        <v>700</v>
      </c>
      <c r="N626" s="5" t="n">
        <f aca="false">IF(AND(C626=10,E626=1),$W$6,N625-P625)</f>
        <v>0</v>
      </c>
      <c r="O626" s="5" t="n">
        <f aca="false">IF(ABS(M626-L626)&gt;1,MIN(N626/((L626-M626)*24/12.1/1000),D626),D626)</f>
        <v>0</v>
      </c>
      <c r="P626" s="5" t="n">
        <f aca="false">MIN(IF(AND(G626,E626),(L626-M626)*24/12.1*O626/1000,0),N626)</f>
        <v>0</v>
      </c>
      <c r="Q626" s="5" t="n">
        <f aca="false">IF(P626&gt;0,P626/O626*12.1/24*1000+M626,0)</f>
        <v>0</v>
      </c>
      <c r="R626" s="0" t="n">
        <f aca="false">IF(Q626&gt;0,TRUNC(O626),0)</f>
        <v>0</v>
      </c>
      <c r="S626" s="5" t="n">
        <f aca="false">(M626*(D626-R626)+(Q626*R626))/D626</f>
        <v>700</v>
      </c>
      <c r="T626" s="6" t="n">
        <f aca="false">(Q626-M626)*R626*24/12.1/1000</f>
        <v>-0</v>
      </c>
    </row>
    <row r="627" customFormat="false" ht="14.35" hidden="false" customHeight="false" outlineLevel="0" collapsed="false">
      <c r="A627" s="4" t="n">
        <v>26815</v>
      </c>
      <c r="B627" s="15" t="n">
        <f aca="false">IF(C627&lt;=9,YEAR(A627),YEAR(A627)+1)</f>
        <v>1973</v>
      </c>
      <c r="C627" s="15" t="n">
        <f aca="false">MONTH(A627)</f>
        <v>5</v>
      </c>
      <c r="D627" s="15" t="n">
        <f aca="false">DAY(A627)</f>
        <v>31</v>
      </c>
      <c r="E627" s="15" t="n">
        <f aca="false">VLOOKUP(B627,WYT!$A$2:$L$97,12)</f>
        <v>1</v>
      </c>
      <c r="F627" s="15" t="n">
        <f aca="false">IF(C627=$W$5,1,0)</f>
        <v>0</v>
      </c>
      <c r="G627" s="15" t="n">
        <f aca="false">IF(C627=10,0,IF(F627=1,1,G626))</f>
        <v>1</v>
      </c>
      <c r="H627" s="5" t="n">
        <f aca="false">VA_base_426_data!B627</f>
        <v>2591.87697597025</v>
      </c>
      <c r="I627" s="5" t="n">
        <f aca="false">IF(AND(E627=1,OR(C627=4,C627=5)),25*12.1/24/D627*1000,0)</f>
        <v>406.586021505376</v>
      </c>
      <c r="J627" s="5" t="n">
        <f aca="false">VA_base_426_data!C627</f>
        <v>1000</v>
      </c>
      <c r="K627" s="5" t="n">
        <f aca="false">H627+I627-J627</f>
        <v>1998.46299747563</v>
      </c>
      <c r="L627" s="5" t="n">
        <f aca="false">MIN($W$7,J627+K627)</f>
        <v>2000</v>
      </c>
      <c r="M627" s="5" t="n">
        <f aca="false">VA_base_426_data!D627</f>
        <v>700</v>
      </c>
      <c r="N627" s="5" t="n">
        <f aca="false">IF(AND(C627=10,E627=1),$W$6,N626-P626)</f>
        <v>0</v>
      </c>
      <c r="O627" s="5" t="n">
        <f aca="false">IF(ABS(M627-L627)&gt;1,MIN(N627/((L627-M627)*24/12.1/1000),D627),D627)</f>
        <v>0</v>
      </c>
      <c r="P627" s="5" t="n">
        <f aca="false">MIN(IF(AND(G627,E627),(L627-M627)*24/12.1*O627/1000,0),N627)</f>
        <v>0</v>
      </c>
      <c r="Q627" s="5" t="n">
        <f aca="false">IF(P627&gt;0,P627/O627*12.1/24*1000+M627,0)</f>
        <v>0</v>
      </c>
      <c r="R627" s="0" t="n">
        <f aca="false">IF(Q627&gt;0,TRUNC(O627),0)</f>
        <v>0</v>
      </c>
      <c r="S627" s="5" t="n">
        <f aca="false">(M627*(D627-R627)+(Q627*R627))/D627</f>
        <v>700</v>
      </c>
      <c r="T627" s="6" t="n">
        <f aca="false">(Q627-M627)*R627*24/12.1/1000</f>
        <v>-0</v>
      </c>
    </row>
    <row r="628" customFormat="false" ht="14.35" hidden="false" customHeight="false" outlineLevel="0" collapsed="false">
      <c r="A628" s="4" t="n">
        <v>26845</v>
      </c>
      <c r="B628" s="15" t="n">
        <f aca="false">IF(C628&lt;=9,YEAR(A628),YEAR(A628)+1)</f>
        <v>1973</v>
      </c>
      <c r="C628" s="15" t="n">
        <f aca="false">MONTH(A628)</f>
        <v>6</v>
      </c>
      <c r="D628" s="15" t="n">
        <f aca="false">DAY(A628)</f>
        <v>30</v>
      </c>
      <c r="E628" s="15" t="n">
        <f aca="false">VLOOKUP(B628,WYT!$A$2:$L$97,12)</f>
        <v>1</v>
      </c>
      <c r="F628" s="15" t="n">
        <f aca="false">IF(C628=$W$5,1,0)</f>
        <v>0</v>
      </c>
      <c r="G628" s="15" t="n">
        <f aca="false">IF(C628=10,0,IF(F628=1,1,G627))</f>
        <v>1</v>
      </c>
      <c r="H628" s="5" t="n">
        <f aca="false">VA_base_426_data!B628</f>
        <v>2666.04123716273</v>
      </c>
      <c r="I628" s="5" t="n">
        <f aca="false">IF(AND(E628=1,OR(C628=4,C628=5)),25*12.1/24/D628*1000,0)</f>
        <v>0</v>
      </c>
      <c r="J628" s="5" t="n">
        <f aca="false">VA_base_426_data!C628</f>
        <v>1000</v>
      </c>
      <c r="K628" s="5" t="n">
        <f aca="false">H628+I628-J628</f>
        <v>1666.04123716273</v>
      </c>
      <c r="L628" s="5" t="n">
        <f aca="false">MIN($W$7,J628+K628)</f>
        <v>2000</v>
      </c>
      <c r="M628" s="5" t="n">
        <f aca="false">VA_base_426_data!D628</f>
        <v>700</v>
      </c>
      <c r="N628" s="5" t="n">
        <f aca="false">IF(AND(C628=10,E628=1),$W$6,N627-P627)</f>
        <v>0</v>
      </c>
      <c r="O628" s="5" t="n">
        <f aca="false">IF(ABS(M628-L628)&gt;1,MIN(N628/((L628-M628)*24/12.1/1000),D628),D628)</f>
        <v>0</v>
      </c>
      <c r="P628" s="5" t="n">
        <f aca="false">MIN(IF(AND(G628,E628),(L628-M628)*24/12.1*O628/1000,0),N628)</f>
        <v>0</v>
      </c>
      <c r="Q628" s="5" t="n">
        <f aca="false">IF(P628&gt;0,P628/O628*12.1/24*1000+M628,0)</f>
        <v>0</v>
      </c>
      <c r="R628" s="0" t="n">
        <f aca="false">IF(Q628&gt;0,TRUNC(O628),0)</f>
        <v>0</v>
      </c>
      <c r="S628" s="5" t="n">
        <f aca="false">(M628*(D628-R628)+(Q628*R628))/D628</f>
        <v>700</v>
      </c>
      <c r="T628" s="6" t="n">
        <f aca="false">(Q628-M628)*R628*24/12.1/1000</f>
        <v>-0</v>
      </c>
    </row>
    <row r="629" customFormat="false" ht="14.35" hidden="false" customHeight="false" outlineLevel="0" collapsed="false">
      <c r="A629" s="4" t="n">
        <v>26876</v>
      </c>
      <c r="B629" s="15" t="n">
        <f aca="false">IF(C629&lt;=9,YEAR(A629),YEAR(A629)+1)</f>
        <v>1973</v>
      </c>
      <c r="C629" s="15" t="n">
        <f aca="false">MONTH(A629)</f>
        <v>7</v>
      </c>
      <c r="D629" s="15" t="n">
        <f aca="false">DAY(A629)</f>
        <v>31</v>
      </c>
      <c r="E629" s="15" t="n">
        <f aca="false">VLOOKUP(B629,WYT!$A$2:$L$97,12)</f>
        <v>1</v>
      </c>
      <c r="F629" s="15" t="n">
        <f aca="false">IF(C629=$W$5,1,0)</f>
        <v>0</v>
      </c>
      <c r="G629" s="15" t="n">
        <f aca="false">IF(C629=10,0,IF(F629=1,1,G628))</f>
        <v>1</v>
      </c>
      <c r="H629" s="5" t="n">
        <f aca="false">VA_base_426_data!B629</f>
        <v>8082.10534752659</v>
      </c>
      <c r="I629" s="5" t="n">
        <f aca="false">IF(AND(E629=1,OR(C629=4,C629=5)),25*12.1/24/D629*1000,0)</f>
        <v>0</v>
      </c>
      <c r="J629" s="5" t="n">
        <f aca="false">VA_base_426_data!C629</f>
        <v>1000</v>
      </c>
      <c r="K629" s="5" t="n">
        <f aca="false">H629+I629-J629</f>
        <v>7082.10534752659</v>
      </c>
      <c r="L629" s="5" t="n">
        <f aca="false">MIN($W$7,J629+K629)</f>
        <v>2000</v>
      </c>
      <c r="M629" s="5" t="n">
        <f aca="false">VA_base_426_data!D629</f>
        <v>700</v>
      </c>
      <c r="N629" s="5" t="n">
        <f aca="false">IF(AND(C629=10,E629=1),$W$6,N628-P628)</f>
        <v>0</v>
      </c>
      <c r="O629" s="5" t="n">
        <f aca="false">IF(ABS(M629-L629)&gt;1,MIN(N629/((L629-M629)*24/12.1/1000),D629),D629)</f>
        <v>0</v>
      </c>
      <c r="P629" s="5" t="n">
        <f aca="false">MIN(IF(AND(G629,E629),(L629-M629)*24/12.1*O629/1000,0),N629)</f>
        <v>0</v>
      </c>
      <c r="Q629" s="5" t="n">
        <f aca="false">IF(P629&gt;0,P629/O629*12.1/24*1000+M629,0)</f>
        <v>0</v>
      </c>
      <c r="R629" s="0" t="n">
        <f aca="false">IF(Q629&gt;0,TRUNC(O629),0)</f>
        <v>0</v>
      </c>
      <c r="S629" s="5" t="n">
        <f aca="false">(M629*(D629-R629)+(Q629*R629))/D629</f>
        <v>700</v>
      </c>
      <c r="T629" s="6" t="n">
        <f aca="false">(Q629-M629)*R629*24/12.1/1000</f>
        <v>-0</v>
      </c>
    </row>
    <row r="630" customFormat="false" ht="14.35" hidden="false" customHeight="false" outlineLevel="0" collapsed="false">
      <c r="A630" s="4" t="n">
        <v>26907</v>
      </c>
      <c r="B630" s="15" t="n">
        <f aca="false">IF(C630&lt;=9,YEAR(A630),YEAR(A630)+1)</f>
        <v>1973</v>
      </c>
      <c r="C630" s="15" t="n">
        <f aca="false">MONTH(A630)</f>
        <v>8</v>
      </c>
      <c r="D630" s="15" t="n">
        <f aca="false">DAY(A630)</f>
        <v>31</v>
      </c>
      <c r="E630" s="15" t="n">
        <f aca="false">VLOOKUP(B630,WYT!$A$2:$L$97,12)</f>
        <v>1</v>
      </c>
      <c r="F630" s="15" t="n">
        <f aca="false">IF(C630=$W$5,1,0)</f>
        <v>0</v>
      </c>
      <c r="G630" s="15" t="n">
        <f aca="false">IF(C630=10,0,IF(F630=1,1,G629))</f>
        <v>1</v>
      </c>
      <c r="H630" s="5" t="n">
        <f aca="false">VA_base_426_data!B630</f>
        <v>6364.47113199876</v>
      </c>
      <c r="I630" s="5" t="n">
        <f aca="false">IF(AND(E630=1,OR(C630=4,C630=5)),25*12.1/24/D630*1000,0)</f>
        <v>0</v>
      </c>
      <c r="J630" s="5" t="n">
        <f aca="false">VA_base_426_data!C630</f>
        <v>1000</v>
      </c>
      <c r="K630" s="5" t="n">
        <f aca="false">H630+I630-J630</f>
        <v>5364.47113199876</v>
      </c>
      <c r="L630" s="5" t="n">
        <f aca="false">MIN($W$7,J630+K630)</f>
        <v>2000</v>
      </c>
      <c r="M630" s="5" t="n">
        <f aca="false">VA_base_426_data!D630</f>
        <v>700</v>
      </c>
      <c r="N630" s="5" t="n">
        <f aca="false">IF(AND(C630=10,E630=1),$W$6,N629-P629)</f>
        <v>0</v>
      </c>
      <c r="O630" s="5" t="n">
        <f aca="false">IF(ABS(M630-L630)&gt;1,MIN(N630/((L630-M630)*24/12.1/1000),D630),D630)</f>
        <v>0</v>
      </c>
      <c r="P630" s="5" t="n">
        <f aca="false">MIN(IF(AND(G630,E630),(L630-M630)*24/12.1*O630/1000,0),N630)</f>
        <v>0</v>
      </c>
      <c r="Q630" s="5" t="n">
        <f aca="false">IF(P630&gt;0,P630/O630*12.1/24*1000+M630,0)</f>
        <v>0</v>
      </c>
      <c r="R630" s="0" t="n">
        <f aca="false">IF(Q630&gt;0,TRUNC(O630),0)</f>
        <v>0</v>
      </c>
      <c r="S630" s="5" t="n">
        <f aca="false">(M630*(D630-R630)+(Q630*R630))/D630</f>
        <v>700</v>
      </c>
      <c r="T630" s="6" t="n">
        <f aca="false">(Q630-M630)*R630*24/12.1/1000</f>
        <v>-0</v>
      </c>
    </row>
    <row r="631" customFormat="false" ht="14.35" hidden="false" customHeight="false" outlineLevel="0" collapsed="false">
      <c r="A631" s="4" t="n">
        <v>26937</v>
      </c>
      <c r="B631" s="15" t="n">
        <f aca="false">IF(C631&lt;=9,YEAR(A631),YEAR(A631)+1)</f>
        <v>1973</v>
      </c>
      <c r="C631" s="15" t="n">
        <f aca="false">MONTH(A631)</f>
        <v>9</v>
      </c>
      <c r="D631" s="15" t="n">
        <f aca="false">DAY(A631)</f>
        <v>30</v>
      </c>
      <c r="E631" s="15" t="n">
        <f aca="false">VLOOKUP(B631,WYT!$A$2:$L$97,12)</f>
        <v>1</v>
      </c>
      <c r="F631" s="15" t="n">
        <f aca="false">IF(C631=$W$5,1,0)</f>
        <v>0</v>
      </c>
      <c r="G631" s="15" t="n">
        <f aca="false">IF(C631=10,0,IF(F631=1,1,G630))</f>
        <v>1</v>
      </c>
      <c r="H631" s="5" t="n">
        <f aca="false">VA_base_426_data!B631</f>
        <v>7056.59533755135</v>
      </c>
      <c r="I631" s="5" t="n">
        <f aca="false">IF(AND(E631=1,OR(C631=4,C631=5)),25*12.1/24/D631*1000,0)</f>
        <v>0</v>
      </c>
      <c r="J631" s="5" t="n">
        <f aca="false">VA_base_426_data!C631</f>
        <v>1000</v>
      </c>
      <c r="K631" s="5" t="n">
        <f aca="false">H631+I631-J631</f>
        <v>6056.59533755135</v>
      </c>
      <c r="L631" s="5" t="n">
        <f aca="false">MIN($W$7,J631+K631)</f>
        <v>2000</v>
      </c>
      <c r="M631" s="5" t="n">
        <f aca="false">VA_base_426_data!D631</f>
        <v>773.3333333</v>
      </c>
      <c r="N631" s="5" t="n">
        <f aca="false">IF(AND(C631=10,E631=1),$W$6,N630-P630)</f>
        <v>0</v>
      </c>
      <c r="O631" s="5" t="n">
        <f aca="false">IF(ABS(M631-L631)&gt;1,MIN(N631/((L631-M631)*24/12.1/1000),D631),D631)</f>
        <v>0</v>
      </c>
      <c r="P631" s="5" t="n">
        <f aca="false">MIN(IF(AND(G631,E631),(L631-M631)*24/12.1*O631/1000,0),N631)</f>
        <v>0</v>
      </c>
      <c r="Q631" s="5" t="n">
        <f aca="false">IF(P631&gt;0,P631/O631*12.1/24*1000+M631,0)</f>
        <v>0</v>
      </c>
      <c r="R631" s="0" t="n">
        <f aca="false">IF(Q631&gt;0,TRUNC(O631),0)</f>
        <v>0</v>
      </c>
      <c r="S631" s="5" t="n">
        <f aca="false">(M631*(D631-R631)+(Q631*R631))/D631</f>
        <v>773.3333333</v>
      </c>
      <c r="T631" s="6" t="n">
        <f aca="false">(Q631-M631)*R631*24/12.1/1000</f>
        <v>-0</v>
      </c>
    </row>
    <row r="632" customFormat="false" ht="14.35" hidden="false" customHeight="false" outlineLevel="0" collapsed="false">
      <c r="A632" s="4" t="n">
        <v>26968</v>
      </c>
      <c r="B632" s="15" t="n">
        <f aca="false">IF(C632&lt;=9,YEAR(A632),YEAR(A632)+1)</f>
        <v>1974</v>
      </c>
      <c r="C632" s="15" t="n">
        <f aca="false">MONTH(A632)</f>
        <v>10</v>
      </c>
      <c r="D632" s="15" t="n">
        <f aca="false">DAY(A632)</f>
        <v>31</v>
      </c>
      <c r="E632" s="15" t="n">
        <f aca="false">VLOOKUP(B632,WYT!$A$2:$L$97,12)</f>
        <v>0</v>
      </c>
      <c r="F632" s="15" t="n">
        <f aca="false">IF(C632=$W$5,1,0)</f>
        <v>0</v>
      </c>
      <c r="G632" s="15" t="n">
        <f aca="false">IF(C632=10,0,IF(F632=1,1,G631))</f>
        <v>0</v>
      </c>
      <c r="H632" s="5" t="n">
        <f aca="false">VA_base_426_data!B632</f>
        <v>3517.38544346735</v>
      </c>
      <c r="I632" s="5" t="n">
        <f aca="false">IF(AND(E632=1,OR(C632=4,C632=5)),25*12.1/24/D632*1000,0)</f>
        <v>0</v>
      </c>
      <c r="J632" s="5" t="n">
        <f aca="false">VA_base_426_data!C632</f>
        <v>1700</v>
      </c>
      <c r="K632" s="5" t="n">
        <f aca="false">H632+I632-J632</f>
        <v>1817.38544346735</v>
      </c>
      <c r="L632" s="5" t="n">
        <f aca="false">MIN($W$7,J632+K632)</f>
        <v>2000</v>
      </c>
      <c r="M632" s="5" t="n">
        <f aca="false">VA_base_426_data!D632</f>
        <v>800</v>
      </c>
      <c r="N632" s="5" t="n">
        <f aca="false">IF(AND(C632=10,E632=1),$W$6,N631-P631)</f>
        <v>0</v>
      </c>
      <c r="O632" s="5" t="n">
        <f aca="false">IF(ABS(M632-L632)&gt;1,MIN(N632/((L632-M632)*24/12.1/1000),D632),D632)</f>
        <v>0</v>
      </c>
      <c r="P632" s="5" t="n">
        <f aca="false">MIN(IF(AND(G632,E632),(L632-M632)*24/12.1*O632/1000,0),N632)</f>
        <v>0</v>
      </c>
      <c r="Q632" s="5" t="n">
        <f aca="false">IF(P632&gt;0,P632/O632*12.1/24*1000+M632,0)</f>
        <v>0</v>
      </c>
      <c r="R632" s="0" t="n">
        <f aca="false">IF(Q632&gt;0,TRUNC(O632),0)</f>
        <v>0</v>
      </c>
      <c r="S632" s="5" t="n">
        <f aca="false">(M632*(D632-R632)+(Q632*R632))/D632</f>
        <v>800</v>
      </c>
      <c r="T632" s="6" t="n">
        <f aca="false">(Q632-M632)*R632*24/12.1/1000</f>
        <v>-0</v>
      </c>
    </row>
    <row r="633" customFormat="false" ht="14.35" hidden="false" customHeight="false" outlineLevel="0" collapsed="false">
      <c r="A633" s="4" t="n">
        <v>26998</v>
      </c>
      <c r="B633" s="15" t="n">
        <f aca="false">IF(C633&lt;=9,YEAR(A633),YEAR(A633)+1)</f>
        <v>1974</v>
      </c>
      <c r="C633" s="15" t="n">
        <f aca="false">MONTH(A633)</f>
        <v>11</v>
      </c>
      <c r="D633" s="15" t="n">
        <f aca="false">DAY(A633)</f>
        <v>30</v>
      </c>
      <c r="E633" s="15" t="n">
        <f aca="false">VLOOKUP(B633,WYT!$A$2:$L$97,12)</f>
        <v>0</v>
      </c>
      <c r="F633" s="15" t="n">
        <f aca="false">IF(C633=$W$5,1,0)</f>
        <v>0</v>
      </c>
      <c r="G633" s="15" t="n">
        <f aca="false">IF(C633=10,0,IF(F633=1,1,G632))</f>
        <v>0</v>
      </c>
      <c r="H633" s="5" t="n">
        <f aca="false">VA_base_426_data!B633</f>
        <v>1700</v>
      </c>
      <c r="I633" s="5" t="n">
        <f aca="false">IF(AND(E633=1,OR(C633=4,C633=5)),25*12.1/24/D633*1000,0)</f>
        <v>0</v>
      </c>
      <c r="J633" s="5" t="n">
        <f aca="false">VA_base_426_data!C633</f>
        <v>1700</v>
      </c>
      <c r="K633" s="5" t="n">
        <f aca="false">H633+I633-J633</f>
        <v>0</v>
      </c>
      <c r="L633" s="5" t="n">
        <f aca="false">MIN($W$7,J633+K633)</f>
        <v>1700</v>
      </c>
      <c r="M633" s="5" t="n">
        <f aca="false">VA_base_426_data!D633</f>
        <v>800</v>
      </c>
      <c r="N633" s="5" t="n">
        <f aca="false">IF(AND(C633=10,E633=1),$W$6,N632-P632)</f>
        <v>0</v>
      </c>
      <c r="O633" s="5" t="n">
        <f aca="false">IF(ABS(M633-L633)&gt;1,MIN(N633/((L633-M633)*24/12.1/1000),D633),D633)</f>
        <v>0</v>
      </c>
      <c r="P633" s="5" t="n">
        <f aca="false">MIN(IF(AND(G633,E633),(L633-M633)*24/12.1*O633/1000,0),N633)</f>
        <v>0</v>
      </c>
      <c r="Q633" s="5" t="n">
        <f aca="false">IF(P633&gt;0,P633/O633*12.1/24*1000+M633,0)</f>
        <v>0</v>
      </c>
      <c r="R633" s="0" t="n">
        <f aca="false">IF(Q633&gt;0,TRUNC(O633),0)</f>
        <v>0</v>
      </c>
      <c r="S633" s="5" t="n">
        <f aca="false">(M633*(D633-R633)+(Q633*R633))/D633</f>
        <v>800</v>
      </c>
      <c r="T633" s="6" t="n">
        <f aca="false">(Q633-M633)*R633*24/12.1/1000</f>
        <v>-0</v>
      </c>
    </row>
    <row r="634" customFormat="false" ht="14.35" hidden="false" customHeight="false" outlineLevel="0" collapsed="false">
      <c r="A634" s="4" t="n">
        <v>27029</v>
      </c>
      <c r="B634" s="15" t="n">
        <f aca="false">IF(C634&lt;=9,YEAR(A634),YEAR(A634)+1)</f>
        <v>1974</v>
      </c>
      <c r="C634" s="15" t="n">
        <f aca="false">MONTH(A634)</f>
        <v>12</v>
      </c>
      <c r="D634" s="15" t="n">
        <f aca="false">DAY(A634)</f>
        <v>31</v>
      </c>
      <c r="E634" s="15" t="n">
        <f aca="false">VLOOKUP(B634,WYT!$A$2:$L$97,12)</f>
        <v>0</v>
      </c>
      <c r="F634" s="15" t="n">
        <f aca="false">IF(C634=$W$5,1,0)</f>
        <v>0</v>
      </c>
      <c r="G634" s="15" t="n">
        <f aca="false">IF(C634=10,0,IF(F634=1,1,G633))</f>
        <v>0</v>
      </c>
      <c r="H634" s="5" t="n">
        <f aca="false">VA_base_426_data!B634</f>
        <v>3288.59641578649</v>
      </c>
      <c r="I634" s="5" t="n">
        <f aca="false">IF(AND(E634=1,OR(C634=4,C634=5)),25*12.1/24/D634*1000,0)</f>
        <v>0</v>
      </c>
      <c r="J634" s="5" t="n">
        <f aca="false">VA_base_426_data!C634</f>
        <v>1700</v>
      </c>
      <c r="K634" s="5" t="n">
        <f aca="false">H634+I634-J634</f>
        <v>1588.5964157865</v>
      </c>
      <c r="L634" s="5" t="n">
        <f aca="false">MIN($W$7,J634+K634)</f>
        <v>2000</v>
      </c>
      <c r="M634" s="5" t="n">
        <f aca="false">VA_base_426_data!D634</f>
        <v>800</v>
      </c>
      <c r="N634" s="5" t="n">
        <f aca="false">IF(AND(C634=10,E634=1),$W$6,N633-P633)</f>
        <v>0</v>
      </c>
      <c r="O634" s="5" t="n">
        <f aca="false">IF(ABS(M634-L634)&gt;1,MIN(N634/((L634-M634)*24/12.1/1000),D634),D634)</f>
        <v>0</v>
      </c>
      <c r="P634" s="5" t="n">
        <f aca="false">MIN(IF(AND(G634,E634),(L634-M634)*24/12.1*O634/1000,0),N634)</f>
        <v>0</v>
      </c>
      <c r="Q634" s="5" t="n">
        <f aca="false">IF(P634&gt;0,P634/O634*12.1/24*1000+M634,0)</f>
        <v>0</v>
      </c>
      <c r="R634" s="0" t="n">
        <f aca="false">IF(Q634&gt;0,TRUNC(O634),0)</f>
        <v>0</v>
      </c>
      <c r="S634" s="5" t="n">
        <f aca="false">(M634*(D634-R634)+(Q634*R634))/D634</f>
        <v>800</v>
      </c>
      <c r="T634" s="6" t="n">
        <f aca="false">(Q634-M634)*R634*24/12.1/1000</f>
        <v>-0</v>
      </c>
    </row>
    <row r="635" customFormat="false" ht="14.35" hidden="false" customHeight="false" outlineLevel="0" collapsed="false">
      <c r="A635" s="4" t="n">
        <v>27060</v>
      </c>
      <c r="B635" s="15" t="n">
        <f aca="false">IF(C635&lt;=9,YEAR(A635),YEAR(A635)+1)</f>
        <v>1974</v>
      </c>
      <c r="C635" s="15" t="n">
        <f aca="false">MONTH(A635)</f>
        <v>1</v>
      </c>
      <c r="D635" s="15" t="n">
        <f aca="false">DAY(A635)</f>
        <v>31</v>
      </c>
      <c r="E635" s="15" t="n">
        <f aca="false">VLOOKUP(B635,WYT!$A$2:$L$97,12)</f>
        <v>0</v>
      </c>
      <c r="F635" s="15" t="n">
        <f aca="false">IF(C635=$W$5,1,0)</f>
        <v>0</v>
      </c>
      <c r="G635" s="15" t="n">
        <f aca="false">IF(C635=10,0,IF(F635=1,1,G634))</f>
        <v>0</v>
      </c>
      <c r="H635" s="5" t="n">
        <f aca="false">VA_base_426_data!B635</f>
        <v>20186.784519593</v>
      </c>
      <c r="I635" s="5" t="n">
        <f aca="false">IF(AND(E635=1,OR(C635=4,C635=5)),25*12.1/24/D635*1000,0)</f>
        <v>0</v>
      </c>
      <c r="J635" s="5" t="n">
        <f aca="false">VA_base_426_data!C635</f>
        <v>1700</v>
      </c>
      <c r="K635" s="5" t="n">
        <f aca="false">H635+I635-J635</f>
        <v>18486.784519593</v>
      </c>
      <c r="L635" s="5" t="n">
        <f aca="false">MIN($W$7,J635+K635)</f>
        <v>2000</v>
      </c>
      <c r="M635" s="5" t="n">
        <f aca="false">VA_base_426_data!D635</f>
        <v>800</v>
      </c>
      <c r="N635" s="5" t="n">
        <f aca="false">IF(AND(C635=10,E635=1),$W$6,N634-P634)</f>
        <v>0</v>
      </c>
      <c r="O635" s="5" t="n">
        <f aca="false">IF(ABS(M635-L635)&gt;1,MIN(N635/((L635-M635)*24/12.1/1000),D635),D635)</f>
        <v>0</v>
      </c>
      <c r="P635" s="5" t="n">
        <f aca="false">MIN(IF(AND(G635,E635),(L635-M635)*24/12.1*O635/1000,0),N635)</f>
        <v>0</v>
      </c>
      <c r="Q635" s="5" t="n">
        <f aca="false">IF(P635&gt;0,P635/O635*12.1/24*1000+M635,0)</f>
        <v>0</v>
      </c>
      <c r="R635" s="0" t="n">
        <f aca="false">IF(Q635&gt;0,TRUNC(O635),0)</f>
        <v>0</v>
      </c>
      <c r="S635" s="5" t="n">
        <f aca="false">(M635*(D635-R635)+(Q635*R635))/D635</f>
        <v>800</v>
      </c>
      <c r="T635" s="6" t="n">
        <f aca="false">(Q635-M635)*R635*24/12.1/1000</f>
        <v>-0</v>
      </c>
    </row>
    <row r="636" customFormat="false" ht="14.35" hidden="false" customHeight="false" outlineLevel="0" collapsed="false">
      <c r="A636" s="4" t="n">
        <v>27088</v>
      </c>
      <c r="B636" s="15" t="n">
        <f aca="false">IF(C636&lt;=9,YEAR(A636),YEAR(A636)+1)</f>
        <v>1974</v>
      </c>
      <c r="C636" s="15" t="n">
        <f aca="false">MONTH(A636)</f>
        <v>2</v>
      </c>
      <c r="D636" s="15" t="n">
        <f aca="false">DAY(A636)</f>
        <v>28</v>
      </c>
      <c r="E636" s="15" t="n">
        <f aca="false">VLOOKUP(B636,WYT!$A$2:$L$97,12)</f>
        <v>0</v>
      </c>
      <c r="F636" s="15" t="n">
        <f aca="false">IF(C636=$W$5,1,0)</f>
        <v>1</v>
      </c>
      <c r="G636" s="15" t="n">
        <f aca="false">IF(C636=10,0,IF(F636=1,1,G635))</f>
        <v>1</v>
      </c>
      <c r="H636" s="5" t="n">
        <f aca="false">VA_base_426_data!B636</f>
        <v>5792.21434317689</v>
      </c>
      <c r="I636" s="5" t="n">
        <f aca="false">IF(AND(E636=1,OR(C636=4,C636=5)),25*12.1/24/D636*1000,0)</f>
        <v>0</v>
      </c>
      <c r="J636" s="5" t="n">
        <f aca="false">VA_base_426_data!C636</f>
        <v>1700</v>
      </c>
      <c r="K636" s="5" t="n">
        <f aca="false">H636+I636-J636</f>
        <v>4092.21434317689</v>
      </c>
      <c r="L636" s="5" t="n">
        <f aca="false">MIN($W$7,J636+K636)</f>
        <v>2000</v>
      </c>
      <c r="M636" s="5" t="n">
        <f aca="false">VA_base_426_data!D636</f>
        <v>800</v>
      </c>
      <c r="N636" s="5" t="n">
        <f aca="false">IF(AND(C636=10,E636=1),$W$6,N635-P635)</f>
        <v>0</v>
      </c>
      <c r="O636" s="5" t="n">
        <f aca="false">IF(ABS(M636-L636)&gt;1,MIN(N636/((L636-M636)*24/12.1/1000),D636),D636)</f>
        <v>0</v>
      </c>
      <c r="P636" s="5" t="n">
        <f aca="false">MIN(IF(AND(G636,E636),(L636-M636)*24/12.1*O636/1000,0),N636)</f>
        <v>0</v>
      </c>
      <c r="Q636" s="5" t="n">
        <f aca="false">IF(P636&gt;0,P636/O636*12.1/24*1000+M636,0)</f>
        <v>0</v>
      </c>
      <c r="R636" s="0" t="n">
        <f aca="false">IF(Q636&gt;0,TRUNC(O636),0)</f>
        <v>0</v>
      </c>
      <c r="S636" s="5" t="n">
        <f aca="false">(M636*(D636-R636)+(Q636*R636))/D636</f>
        <v>800</v>
      </c>
      <c r="T636" s="6" t="n">
        <f aca="false">(Q636-M636)*R636*24/12.1/1000</f>
        <v>-0</v>
      </c>
    </row>
    <row r="637" customFormat="false" ht="14.35" hidden="false" customHeight="false" outlineLevel="0" collapsed="false">
      <c r="A637" s="4" t="n">
        <v>27119</v>
      </c>
      <c r="B637" s="15" t="n">
        <f aca="false">IF(C637&lt;=9,YEAR(A637),YEAR(A637)+1)</f>
        <v>1974</v>
      </c>
      <c r="C637" s="15" t="n">
        <f aca="false">MONTH(A637)</f>
        <v>3</v>
      </c>
      <c r="D637" s="15" t="n">
        <f aca="false">DAY(A637)</f>
        <v>31</v>
      </c>
      <c r="E637" s="15" t="n">
        <f aca="false">VLOOKUP(B637,WYT!$A$2:$L$97,12)</f>
        <v>0</v>
      </c>
      <c r="F637" s="15" t="n">
        <f aca="false">IF(C637=$W$5,1,0)</f>
        <v>0</v>
      </c>
      <c r="G637" s="15" t="n">
        <f aca="false">IF(C637=10,0,IF(F637=1,1,G636))</f>
        <v>1</v>
      </c>
      <c r="H637" s="5" t="n">
        <f aca="false">VA_base_426_data!B637</f>
        <v>26259.0075737387</v>
      </c>
      <c r="I637" s="5" t="n">
        <f aca="false">IF(AND(E637=1,OR(C637=4,C637=5)),25*12.1/24/D637*1000,0)</f>
        <v>0</v>
      </c>
      <c r="J637" s="5" t="n">
        <f aca="false">VA_base_426_data!C637</f>
        <v>1700</v>
      </c>
      <c r="K637" s="5" t="n">
        <f aca="false">H637+I637-J637</f>
        <v>24559.0075737387</v>
      </c>
      <c r="L637" s="5" t="n">
        <f aca="false">MIN($W$7,J637+K637)</f>
        <v>2000</v>
      </c>
      <c r="M637" s="5" t="n">
        <f aca="false">VA_base_426_data!D637</f>
        <v>800</v>
      </c>
      <c r="N637" s="5" t="n">
        <f aca="false">IF(AND(C637=10,E637=1),$W$6,N636-P636)</f>
        <v>0</v>
      </c>
      <c r="O637" s="5" t="n">
        <f aca="false">IF(ABS(M637-L637)&gt;1,MIN(N637/((L637-M637)*24/12.1/1000),D637),D637)</f>
        <v>0</v>
      </c>
      <c r="P637" s="5" t="n">
        <f aca="false">MIN(IF(AND(G637,E637),(L637-M637)*24/12.1*O637/1000,0),N637)</f>
        <v>0</v>
      </c>
      <c r="Q637" s="5" t="n">
        <f aca="false">IF(P637&gt;0,P637/O637*12.1/24*1000+M637,0)</f>
        <v>0</v>
      </c>
      <c r="R637" s="0" t="n">
        <f aca="false">IF(Q637&gt;0,TRUNC(O637),0)</f>
        <v>0</v>
      </c>
      <c r="S637" s="5" t="n">
        <f aca="false">(M637*(D637-R637)+(Q637*R637))/D637</f>
        <v>800</v>
      </c>
      <c r="T637" s="6" t="n">
        <f aca="false">(Q637-M637)*R637*24/12.1/1000</f>
        <v>-0</v>
      </c>
    </row>
    <row r="638" customFormat="false" ht="14.35" hidden="false" customHeight="false" outlineLevel="0" collapsed="false">
      <c r="A638" s="4" t="n">
        <v>27149</v>
      </c>
      <c r="B638" s="15" t="n">
        <f aca="false">IF(C638&lt;=9,YEAR(A638),YEAR(A638)+1)</f>
        <v>1974</v>
      </c>
      <c r="C638" s="15" t="n">
        <f aca="false">MONTH(A638)</f>
        <v>4</v>
      </c>
      <c r="D638" s="15" t="n">
        <f aca="false">DAY(A638)</f>
        <v>30</v>
      </c>
      <c r="E638" s="15" t="n">
        <f aca="false">VLOOKUP(B638,WYT!$A$2:$L$97,12)</f>
        <v>0</v>
      </c>
      <c r="F638" s="15" t="n">
        <f aca="false">IF(C638=$W$5,1,0)</f>
        <v>0</v>
      </c>
      <c r="G638" s="15" t="n">
        <f aca="false">IF(C638=10,0,IF(F638=1,1,G637))</f>
        <v>1</v>
      </c>
      <c r="H638" s="5" t="n">
        <f aca="false">VA_base_426_data!B638</f>
        <v>8450.17985282622</v>
      </c>
      <c r="I638" s="5" t="n">
        <f aca="false">IF(AND(E638=1,OR(C638=4,C638=5)),25*12.1/24/D638*1000,0)</f>
        <v>0</v>
      </c>
      <c r="J638" s="5" t="n">
        <f aca="false">VA_base_426_data!C638</f>
        <v>1000</v>
      </c>
      <c r="K638" s="5" t="n">
        <f aca="false">H638+I638-J638</f>
        <v>7450.17985282622</v>
      </c>
      <c r="L638" s="5" t="n">
        <f aca="false">MIN($W$7,J638+K638)</f>
        <v>2000</v>
      </c>
      <c r="M638" s="5" t="n">
        <f aca="false">VA_base_426_data!D638</f>
        <v>700</v>
      </c>
      <c r="N638" s="5" t="n">
        <f aca="false">IF(AND(C638=10,E638=1),$W$6,N637-P637)</f>
        <v>0</v>
      </c>
      <c r="O638" s="5" t="n">
        <f aca="false">IF(ABS(M638-L638)&gt;1,MIN(N638/((L638-M638)*24/12.1/1000),D638),D638)</f>
        <v>0</v>
      </c>
      <c r="P638" s="5" t="n">
        <f aca="false">MIN(IF(AND(G638,E638),(L638-M638)*24/12.1*O638/1000,0),N638)</f>
        <v>0</v>
      </c>
      <c r="Q638" s="5" t="n">
        <f aca="false">IF(P638&gt;0,P638/O638*12.1/24*1000+M638,0)</f>
        <v>0</v>
      </c>
      <c r="R638" s="0" t="n">
        <f aca="false">IF(Q638&gt;0,TRUNC(O638),0)</f>
        <v>0</v>
      </c>
      <c r="S638" s="5" t="n">
        <f aca="false">(M638*(D638-R638)+(Q638*R638))/D638</f>
        <v>700</v>
      </c>
      <c r="T638" s="6" t="n">
        <f aca="false">(Q638-M638)*R638*24/12.1/1000</f>
        <v>-0</v>
      </c>
    </row>
    <row r="639" customFormat="false" ht="14.35" hidden="false" customHeight="false" outlineLevel="0" collapsed="false">
      <c r="A639" s="4" t="n">
        <v>27180</v>
      </c>
      <c r="B639" s="15" t="n">
        <f aca="false">IF(C639&lt;=9,YEAR(A639),YEAR(A639)+1)</f>
        <v>1974</v>
      </c>
      <c r="C639" s="15" t="n">
        <f aca="false">MONTH(A639)</f>
        <v>5</v>
      </c>
      <c r="D639" s="15" t="n">
        <f aca="false">DAY(A639)</f>
        <v>31</v>
      </c>
      <c r="E639" s="15" t="n">
        <f aca="false">VLOOKUP(B639,WYT!$A$2:$L$97,12)</f>
        <v>0</v>
      </c>
      <c r="F639" s="15" t="n">
        <f aca="false">IF(C639=$W$5,1,0)</f>
        <v>0</v>
      </c>
      <c r="G639" s="15" t="n">
        <f aca="false">IF(C639=10,0,IF(F639=1,1,G638))</f>
        <v>1</v>
      </c>
      <c r="H639" s="5" t="n">
        <f aca="false">VA_base_426_data!B639</f>
        <v>5777.79430618486</v>
      </c>
      <c r="I639" s="5" t="n">
        <f aca="false">IF(AND(E639=1,OR(C639=4,C639=5)),25*12.1/24/D639*1000,0)</f>
        <v>0</v>
      </c>
      <c r="J639" s="5" t="n">
        <f aca="false">VA_base_426_data!C639</f>
        <v>1000</v>
      </c>
      <c r="K639" s="5" t="n">
        <f aca="false">H639+I639-J639</f>
        <v>4777.79430618486</v>
      </c>
      <c r="L639" s="5" t="n">
        <f aca="false">MIN($W$7,J639+K639)</f>
        <v>2000</v>
      </c>
      <c r="M639" s="5" t="n">
        <f aca="false">VA_base_426_data!D639</f>
        <v>700</v>
      </c>
      <c r="N639" s="5" t="n">
        <f aca="false">IF(AND(C639=10,E639=1),$W$6,N638-P638)</f>
        <v>0</v>
      </c>
      <c r="O639" s="5" t="n">
        <f aca="false">IF(ABS(M639-L639)&gt;1,MIN(N639/((L639-M639)*24/12.1/1000),D639),D639)</f>
        <v>0</v>
      </c>
      <c r="P639" s="5" t="n">
        <f aca="false">MIN(IF(AND(G639,E639),(L639-M639)*24/12.1*O639/1000,0),N639)</f>
        <v>0</v>
      </c>
      <c r="Q639" s="5" t="n">
        <f aca="false">IF(P639&gt;0,P639/O639*12.1/24*1000+M639,0)</f>
        <v>0</v>
      </c>
      <c r="R639" s="0" t="n">
        <f aca="false">IF(Q639&gt;0,TRUNC(O639),0)</f>
        <v>0</v>
      </c>
      <c r="S639" s="5" t="n">
        <f aca="false">(M639*(D639-R639)+(Q639*R639))/D639</f>
        <v>700</v>
      </c>
      <c r="T639" s="6" t="n">
        <f aca="false">(Q639-M639)*R639*24/12.1/1000</f>
        <v>-0</v>
      </c>
    </row>
    <row r="640" customFormat="false" ht="14.35" hidden="false" customHeight="false" outlineLevel="0" collapsed="false">
      <c r="A640" s="4" t="n">
        <v>27210</v>
      </c>
      <c r="B640" s="15" t="n">
        <f aca="false">IF(C640&lt;=9,YEAR(A640),YEAR(A640)+1)</f>
        <v>1974</v>
      </c>
      <c r="C640" s="15" t="n">
        <f aca="false">MONTH(A640)</f>
        <v>6</v>
      </c>
      <c r="D640" s="15" t="n">
        <f aca="false">DAY(A640)</f>
        <v>30</v>
      </c>
      <c r="E640" s="15" t="n">
        <f aca="false">VLOOKUP(B640,WYT!$A$2:$L$97,12)</f>
        <v>0</v>
      </c>
      <c r="F640" s="15" t="n">
        <f aca="false">IF(C640=$W$5,1,0)</f>
        <v>0</v>
      </c>
      <c r="G640" s="15" t="n">
        <f aca="false">IF(C640=10,0,IF(F640=1,1,G639))</f>
        <v>1</v>
      </c>
      <c r="H640" s="5" t="n">
        <f aca="false">VA_base_426_data!B640</f>
        <v>4360.85836182679</v>
      </c>
      <c r="I640" s="5" t="n">
        <f aca="false">IF(AND(E640=1,OR(C640=4,C640=5)),25*12.1/24/D640*1000,0)</f>
        <v>0</v>
      </c>
      <c r="J640" s="5" t="n">
        <f aca="false">VA_base_426_data!C640</f>
        <v>1000</v>
      </c>
      <c r="K640" s="5" t="n">
        <f aca="false">H640+I640-J640</f>
        <v>3360.85836182679</v>
      </c>
      <c r="L640" s="5" t="n">
        <f aca="false">MIN($W$7,J640+K640)</f>
        <v>2000</v>
      </c>
      <c r="M640" s="5" t="n">
        <f aca="false">VA_base_426_data!D640</f>
        <v>700</v>
      </c>
      <c r="N640" s="5" t="n">
        <f aca="false">IF(AND(C640=10,E640=1),$W$6,N639-P639)</f>
        <v>0</v>
      </c>
      <c r="O640" s="5" t="n">
        <f aca="false">IF(ABS(M640-L640)&gt;1,MIN(N640/((L640-M640)*24/12.1/1000),D640),D640)</f>
        <v>0</v>
      </c>
      <c r="P640" s="5" t="n">
        <f aca="false">MIN(IF(AND(G640,E640),(L640-M640)*24/12.1*O640/1000,0),N640)</f>
        <v>0</v>
      </c>
      <c r="Q640" s="5" t="n">
        <f aca="false">IF(P640&gt;0,P640/O640*12.1/24*1000+M640,0)</f>
        <v>0</v>
      </c>
      <c r="R640" s="0" t="n">
        <f aca="false">IF(Q640&gt;0,TRUNC(O640),0)</f>
        <v>0</v>
      </c>
      <c r="S640" s="5" t="n">
        <f aca="false">(M640*(D640-R640)+(Q640*R640))/D640</f>
        <v>700</v>
      </c>
      <c r="T640" s="6" t="n">
        <f aca="false">(Q640-M640)*R640*24/12.1/1000</f>
        <v>-0</v>
      </c>
    </row>
    <row r="641" customFormat="false" ht="14.35" hidden="false" customHeight="false" outlineLevel="0" collapsed="false">
      <c r="A641" s="4" t="n">
        <v>27241</v>
      </c>
      <c r="B641" s="15" t="n">
        <f aca="false">IF(C641&lt;=9,YEAR(A641),YEAR(A641)+1)</f>
        <v>1974</v>
      </c>
      <c r="C641" s="15" t="n">
        <f aca="false">MONTH(A641)</f>
        <v>7</v>
      </c>
      <c r="D641" s="15" t="n">
        <f aca="false">DAY(A641)</f>
        <v>31</v>
      </c>
      <c r="E641" s="15" t="n">
        <f aca="false">VLOOKUP(B641,WYT!$A$2:$L$97,12)</f>
        <v>0</v>
      </c>
      <c r="F641" s="15" t="n">
        <f aca="false">IF(C641=$W$5,1,0)</f>
        <v>0</v>
      </c>
      <c r="G641" s="15" t="n">
        <f aca="false">IF(C641=10,0,IF(F641=1,1,G640))</f>
        <v>1</v>
      </c>
      <c r="H641" s="5" t="n">
        <f aca="false">VA_base_426_data!B641</f>
        <v>5319.33346915517</v>
      </c>
      <c r="I641" s="5" t="n">
        <f aca="false">IF(AND(E641=1,OR(C641=4,C641=5)),25*12.1/24/D641*1000,0)</f>
        <v>0</v>
      </c>
      <c r="J641" s="5" t="n">
        <f aca="false">VA_base_426_data!C641</f>
        <v>1000</v>
      </c>
      <c r="K641" s="5" t="n">
        <f aca="false">H641+I641-J641</f>
        <v>4319.33346915517</v>
      </c>
      <c r="L641" s="5" t="n">
        <f aca="false">MIN($W$7,J641+K641)</f>
        <v>2000</v>
      </c>
      <c r="M641" s="5" t="n">
        <f aca="false">VA_base_426_data!D641</f>
        <v>700</v>
      </c>
      <c r="N641" s="5" t="n">
        <f aca="false">IF(AND(C641=10,E641=1),$W$6,N640-P640)</f>
        <v>0</v>
      </c>
      <c r="O641" s="5" t="n">
        <f aca="false">IF(ABS(M641-L641)&gt;1,MIN(N641/((L641-M641)*24/12.1/1000),D641),D641)</f>
        <v>0</v>
      </c>
      <c r="P641" s="5" t="n">
        <f aca="false">MIN(IF(AND(G641,E641),(L641-M641)*24/12.1*O641/1000,0),N641)</f>
        <v>0</v>
      </c>
      <c r="Q641" s="5" t="n">
        <f aca="false">IF(P641&gt;0,P641/O641*12.1/24*1000+M641,0)</f>
        <v>0</v>
      </c>
      <c r="R641" s="0" t="n">
        <f aca="false">IF(Q641&gt;0,TRUNC(O641),0)</f>
        <v>0</v>
      </c>
      <c r="S641" s="5" t="n">
        <f aca="false">(M641*(D641-R641)+(Q641*R641))/D641</f>
        <v>700</v>
      </c>
      <c r="T641" s="6" t="n">
        <f aca="false">(Q641-M641)*R641*24/12.1/1000</f>
        <v>-0</v>
      </c>
    </row>
    <row r="642" customFormat="false" ht="14.35" hidden="false" customHeight="false" outlineLevel="0" collapsed="false">
      <c r="A642" s="4" t="n">
        <v>27272</v>
      </c>
      <c r="B642" s="15" t="n">
        <f aca="false">IF(C642&lt;=9,YEAR(A642),YEAR(A642)+1)</f>
        <v>1974</v>
      </c>
      <c r="C642" s="15" t="n">
        <f aca="false">MONTH(A642)</f>
        <v>8</v>
      </c>
      <c r="D642" s="15" t="n">
        <f aca="false">DAY(A642)</f>
        <v>31</v>
      </c>
      <c r="E642" s="15" t="n">
        <f aca="false">VLOOKUP(B642,WYT!$A$2:$L$97,12)</f>
        <v>0</v>
      </c>
      <c r="F642" s="15" t="n">
        <f aca="false">IF(C642=$W$5,1,0)</f>
        <v>0</v>
      </c>
      <c r="G642" s="15" t="n">
        <f aca="false">IF(C642=10,0,IF(F642=1,1,G641))</f>
        <v>1</v>
      </c>
      <c r="H642" s="5" t="n">
        <f aca="false">VA_base_426_data!B642</f>
        <v>1000</v>
      </c>
      <c r="I642" s="5" t="n">
        <f aca="false">IF(AND(E642=1,OR(C642=4,C642=5)),25*12.1/24/D642*1000,0)</f>
        <v>0</v>
      </c>
      <c r="J642" s="5" t="n">
        <f aca="false">VA_base_426_data!C642</f>
        <v>1000</v>
      </c>
      <c r="K642" s="5" t="n">
        <f aca="false">H642+I642-J642</f>
        <v>0</v>
      </c>
      <c r="L642" s="5" t="n">
        <f aca="false">MIN($W$7,J642+K642)</f>
        <v>1000</v>
      </c>
      <c r="M642" s="5" t="n">
        <f aca="false">VA_base_426_data!D642</f>
        <v>700</v>
      </c>
      <c r="N642" s="5" t="n">
        <f aca="false">IF(AND(C642=10,E642=1),$W$6,N641-P641)</f>
        <v>0</v>
      </c>
      <c r="O642" s="5" t="n">
        <f aca="false">IF(ABS(M642-L642)&gt;1,MIN(N642/((L642-M642)*24/12.1/1000),D642),D642)</f>
        <v>0</v>
      </c>
      <c r="P642" s="5" t="n">
        <f aca="false">MIN(IF(AND(G642,E642),(L642-M642)*24/12.1*O642/1000,0),N642)</f>
        <v>0</v>
      </c>
      <c r="Q642" s="5" t="n">
        <f aca="false">IF(P642&gt;0,P642/O642*12.1/24*1000+M642,0)</f>
        <v>0</v>
      </c>
      <c r="R642" s="0" t="n">
        <f aca="false">IF(Q642&gt;0,TRUNC(O642),0)</f>
        <v>0</v>
      </c>
      <c r="S642" s="5" t="n">
        <f aca="false">(M642*(D642-R642)+(Q642*R642))/D642</f>
        <v>700</v>
      </c>
      <c r="T642" s="6" t="n">
        <f aca="false">(Q642-M642)*R642*24/12.1/1000</f>
        <v>-0</v>
      </c>
    </row>
    <row r="643" customFormat="false" ht="14.35" hidden="false" customHeight="false" outlineLevel="0" collapsed="false">
      <c r="A643" s="4" t="n">
        <v>27302</v>
      </c>
      <c r="B643" s="15" t="n">
        <f aca="false">IF(C643&lt;=9,YEAR(A643),YEAR(A643)+1)</f>
        <v>1974</v>
      </c>
      <c r="C643" s="15" t="n">
        <f aca="false">MONTH(A643)</f>
        <v>9</v>
      </c>
      <c r="D643" s="15" t="n">
        <f aca="false">DAY(A643)</f>
        <v>30</v>
      </c>
      <c r="E643" s="15" t="n">
        <f aca="false">VLOOKUP(B643,WYT!$A$2:$L$97,12)</f>
        <v>0</v>
      </c>
      <c r="F643" s="15" t="n">
        <f aca="false">IF(C643=$W$5,1,0)</f>
        <v>0</v>
      </c>
      <c r="G643" s="15" t="n">
        <f aca="false">IF(C643=10,0,IF(F643=1,1,G642))</f>
        <v>1</v>
      </c>
      <c r="H643" s="5" t="n">
        <f aca="false">VA_base_426_data!B643</f>
        <v>8991.57881212228</v>
      </c>
      <c r="I643" s="5" t="n">
        <f aca="false">IF(AND(E643=1,OR(C643=4,C643=5)),25*12.1/24/D643*1000,0)</f>
        <v>0</v>
      </c>
      <c r="J643" s="5" t="n">
        <f aca="false">VA_base_426_data!C643</f>
        <v>1000</v>
      </c>
      <c r="K643" s="5" t="n">
        <f aca="false">H643+I643-J643</f>
        <v>7991.57881212228</v>
      </c>
      <c r="L643" s="5" t="n">
        <f aca="false">MIN($W$7,J643+K643)</f>
        <v>2000</v>
      </c>
      <c r="M643" s="5" t="n">
        <f aca="false">VA_base_426_data!D643</f>
        <v>773.3333333</v>
      </c>
      <c r="N643" s="5" t="n">
        <f aca="false">IF(AND(C643=10,E643=1),$W$6,N642-P642)</f>
        <v>0</v>
      </c>
      <c r="O643" s="5" t="n">
        <f aca="false">IF(ABS(M643-L643)&gt;1,MIN(N643/((L643-M643)*24/12.1/1000),D643),D643)</f>
        <v>0</v>
      </c>
      <c r="P643" s="5" t="n">
        <f aca="false">MIN(IF(AND(G643,E643),(L643-M643)*24/12.1*O643/1000,0),N643)</f>
        <v>0</v>
      </c>
      <c r="Q643" s="5" t="n">
        <f aca="false">IF(P643&gt;0,P643/O643*12.1/24*1000+M643,0)</f>
        <v>0</v>
      </c>
      <c r="R643" s="0" t="n">
        <f aca="false">IF(Q643&gt;0,TRUNC(O643),0)</f>
        <v>0</v>
      </c>
      <c r="S643" s="5" t="n">
        <f aca="false">(M643*(D643-R643)+(Q643*R643))/D643</f>
        <v>773.3333333</v>
      </c>
      <c r="T643" s="6" t="n">
        <f aca="false">(Q643-M643)*R643*24/12.1/1000</f>
        <v>-0</v>
      </c>
    </row>
    <row r="644" customFormat="false" ht="14.35" hidden="false" customHeight="false" outlineLevel="0" collapsed="false">
      <c r="A644" s="4" t="n">
        <v>27333</v>
      </c>
      <c r="B644" s="15" t="n">
        <f aca="false">IF(C644&lt;=9,YEAR(A644),YEAR(A644)+1)</f>
        <v>1975</v>
      </c>
      <c r="C644" s="15" t="n">
        <f aca="false">MONTH(A644)</f>
        <v>10</v>
      </c>
      <c r="D644" s="15" t="n">
        <f aca="false">DAY(A644)</f>
        <v>31</v>
      </c>
      <c r="E644" s="15" t="n">
        <f aca="false">VLOOKUP(B644,WYT!$A$2:$L$97,12)</f>
        <v>0</v>
      </c>
      <c r="F644" s="15" t="n">
        <f aca="false">IF(C644=$W$5,1,0)</f>
        <v>0</v>
      </c>
      <c r="G644" s="15" t="n">
        <f aca="false">IF(C644=10,0,IF(F644=1,1,G643))</f>
        <v>0</v>
      </c>
      <c r="H644" s="5" t="n">
        <f aca="false">VA_base_426_data!B644</f>
        <v>4000</v>
      </c>
      <c r="I644" s="5" t="n">
        <f aca="false">IF(AND(E644=1,OR(C644=4,C644=5)),25*12.1/24/D644*1000,0)</f>
        <v>0</v>
      </c>
      <c r="J644" s="5" t="n">
        <f aca="false">VA_base_426_data!C644</f>
        <v>1700</v>
      </c>
      <c r="K644" s="5" t="n">
        <f aca="false">H644+I644-J644</f>
        <v>2300</v>
      </c>
      <c r="L644" s="5" t="n">
        <f aca="false">MIN($W$7,J644+K644)</f>
        <v>2000</v>
      </c>
      <c r="M644" s="5" t="n">
        <f aca="false">VA_base_426_data!D644</f>
        <v>800</v>
      </c>
      <c r="N644" s="5" t="n">
        <f aca="false">IF(AND(C644=10,E644=1),$W$6,N643-P643)</f>
        <v>0</v>
      </c>
      <c r="O644" s="5" t="n">
        <f aca="false">IF(ABS(M644-L644)&gt;1,MIN(N644/((L644-M644)*24/12.1/1000),D644),D644)</f>
        <v>0</v>
      </c>
      <c r="P644" s="5" t="n">
        <f aca="false">MIN(IF(AND(G644,E644),(L644-M644)*24/12.1*O644/1000,0),N644)</f>
        <v>0</v>
      </c>
      <c r="Q644" s="5" t="n">
        <f aca="false">IF(P644&gt;0,P644/O644*12.1/24*1000+M644,0)</f>
        <v>0</v>
      </c>
      <c r="R644" s="0" t="n">
        <f aca="false">IF(Q644&gt;0,TRUNC(O644),0)</f>
        <v>0</v>
      </c>
      <c r="S644" s="5" t="n">
        <f aca="false">(M644*(D644-R644)+(Q644*R644))/D644</f>
        <v>800</v>
      </c>
      <c r="T644" s="6" t="n">
        <f aca="false">(Q644-M644)*R644*24/12.1/1000</f>
        <v>-0</v>
      </c>
    </row>
    <row r="645" customFormat="false" ht="14.35" hidden="false" customHeight="false" outlineLevel="0" collapsed="false">
      <c r="A645" s="4" t="n">
        <v>27363</v>
      </c>
      <c r="B645" s="15" t="n">
        <f aca="false">IF(C645&lt;=9,YEAR(A645),YEAR(A645)+1)</f>
        <v>1975</v>
      </c>
      <c r="C645" s="15" t="n">
        <f aca="false">MONTH(A645)</f>
        <v>11</v>
      </c>
      <c r="D645" s="15" t="n">
        <f aca="false">DAY(A645)</f>
        <v>30</v>
      </c>
      <c r="E645" s="15" t="n">
        <f aca="false">VLOOKUP(B645,WYT!$A$2:$L$97,12)</f>
        <v>0</v>
      </c>
      <c r="F645" s="15" t="n">
        <f aca="false">IF(C645=$W$5,1,0)</f>
        <v>0</v>
      </c>
      <c r="G645" s="15" t="n">
        <f aca="false">IF(C645=10,0,IF(F645=1,1,G644))</f>
        <v>0</v>
      </c>
      <c r="H645" s="5" t="n">
        <f aca="false">VA_base_426_data!B645</f>
        <v>2500</v>
      </c>
      <c r="I645" s="5" t="n">
        <f aca="false">IF(AND(E645=1,OR(C645=4,C645=5)),25*12.1/24/D645*1000,0)</f>
        <v>0</v>
      </c>
      <c r="J645" s="5" t="n">
        <f aca="false">VA_base_426_data!C645</f>
        <v>1700</v>
      </c>
      <c r="K645" s="5" t="n">
        <f aca="false">H645+I645-J645</f>
        <v>800</v>
      </c>
      <c r="L645" s="5" t="n">
        <f aca="false">MIN($W$7,J645+K645)</f>
        <v>2000</v>
      </c>
      <c r="M645" s="5" t="n">
        <f aca="false">VA_base_426_data!D645</f>
        <v>800</v>
      </c>
      <c r="N645" s="5" t="n">
        <f aca="false">IF(AND(C645=10,E645=1),$W$6,N644-P644)</f>
        <v>0</v>
      </c>
      <c r="O645" s="5" t="n">
        <f aca="false">IF(ABS(M645-L645)&gt;1,MIN(N645/((L645-M645)*24/12.1/1000),D645),D645)</f>
        <v>0</v>
      </c>
      <c r="P645" s="5" t="n">
        <f aca="false">MIN(IF(AND(G645,E645),(L645-M645)*24/12.1*O645/1000,0),N645)</f>
        <v>0</v>
      </c>
      <c r="Q645" s="5" t="n">
        <f aca="false">IF(P645&gt;0,P645/O645*12.1/24*1000+M645,0)</f>
        <v>0</v>
      </c>
      <c r="R645" s="0" t="n">
        <f aca="false">IF(Q645&gt;0,TRUNC(O645),0)</f>
        <v>0</v>
      </c>
      <c r="S645" s="5" t="n">
        <f aca="false">(M645*(D645-R645)+(Q645*R645))/D645</f>
        <v>800</v>
      </c>
      <c r="T645" s="6" t="n">
        <f aca="false">(Q645-M645)*R645*24/12.1/1000</f>
        <v>-0</v>
      </c>
    </row>
    <row r="646" customFormat="false" ht="14.35" hidden="false" customHeight="false" outlineLevel="0" collapsed="false">
      <c r="A646" s="4" t="n">
        <v>27394</v>
      </c>
      <c r="B646" s="15" t="n">
        <f aca="false">IF(C646&lt;=9,YEAR(A646),YEAR(A646)+1)</f>
        <v>1975</v>
      </c>
      <c r="C646" s="15" t="n">
        <f aca="false">MONTH(A646)</f>
        <v>12</v>
      </c>
      <c r="D646" s="15" t="n">
        <f aca="false">DAY(A646)</f>
        <v>31</v>
      </c>
      <c r="E646" s="15" t="n">
        <f aca="false">VLOOKUP(B646,WYT!$A$2:$L$97,12)</f>
        <v>0</v>
      </c>
      <c r="F646" s="15" t="n">
        <f aca="false">IF(C646=$W$5,1,0)</f>
        <v>0</v>
      </c>
      <c r="G646" s="15" t="n">
        <f aca="false">IF(C646=10,0,IF(F646=1,1,G645))</f>
        <v>0</v>
      </c>
      <c r="H646" s="5" t="n">
        <f aca="false">VA_base_426_data!B646</f>
        <v>2121.80406717363</v>
      </c>
      <c r="I646" s="5" t="n">
        <f aca="false">IF(AND(E646=1,OR(C646=4,C646=5)),25*12.1/24/D646*1000,0)</f>
        <v>0</v>
      </c>
      <c r="J646" s="5" t="n">
        <f aca="false">VA_base_426_data!C646</f>
        <v>1700</v>
      </c>
      <c r="K646" s="5" t="n">
        <f aca="false">H646+I646-J646</f>
        <v>421.804067173627</v>
      </c>
      <c r="L646" s="5" t="n">
        <f aca="false">MIN($W$7,J646+K646)</f>
        <v>2000</v>
      </c>
      <c r="M646" s="5" t="n">
        <f aca="false">VA_base_426_data!D646</f>
        <v>800</v>
      </c>
      <c r="N646" s="5" t="n">
        <f aca="false">IF(AND(C646=10,E646=1),$W$6,N645-P645)</f>
        <v>0</v>
      </c>
      <c r="O646" s="5" t="n">
        <f aca="false">IF(ABS(M646-L646)&gt;1,MIN(N646/((L646-M646)*24/12.1/1000),D646),D646)</f>
        <v>0</v>
      </c>
      <c r="P646" s="5" t="n">
        <f aca="false">MIN(IF(AND(G646,E646),(L646-M646)*24/12.1*O646/1000,0),N646)</f>
        <v>0</v>
      </c>
      <c r="Q646" s="5" t="n">
        <f aca="false">IF(P646&gt;0,P646/O646*12.1/24*1000+M646,0)</f>
        <v>0</v>
      </c>
      <c r="R646" s="0" t="n">
        <f aca="false">IF(Q646&gt;0,TRUNC(O646),0)</f>
        <v>0</v>
      </c>
      <c r="S646" s="5" t="n">
        <f aca="false">(M646*(D646-R646)+(Q646*R646))/D646</f>
        <v>800</v>
      </c>
      <c r="T646" s="6" t="n">
        <f aca="false">(Q646-M646)*R646*24/12.1/1000</f>
        <v>-0</v>
      </c>
    </row>
    <row r="647" customFormat="false" ht="14.35" hidden="false" customHeight="false" outlineLevel="0" collapsed="false">
      <c r="A647" s="4" t="n">
        <v>27425</v>
      </c>
      <c r="B647" s="15" t="n">
        <f aca="false">IF(C647&lt;=9,YEAR(A647),YEAR(A647)+1)</f>
        <v>1975</v>
      </c>
      <c r="C647" s="15" t="n">
        <f aca="false">MONTH(A647)</f>
        <v>1</v>
      </c>
      <c r="D647" s="15" t="n">
        <f aca="false">DAY(A647)</f>
        <v>31</v>
      </c>
      <c r="E647" s="15" t="n">
        <f aca="false">VLOOKUP(B647,WYT!$A$2:$L$97,12)</f>
        <v>0</v>
      </c>
      <c r="F647" s="15" t="n">
        <f aca="false">IF(C647=$W$5,1,0)</f>
        <v>0</v>
      </c>
      <c r="G647" s="15" t="n">
        <f aca="false">IF(C647=10,0,IF(F647=1,1,G646))</f>
        <v>0</v>
      </c>
      <c r="H647" s="5" t="n">
        <f aca="false">VA_base_426_data!B647</f>
        <v>1700</v>
      </c>
      <c r="I647" s="5" t="n">
        <f aca="false">IF(AND(E647=1,OR(C647=4,C647=5)),25*12.1/24/D647*1000,0)</f>
        <v>0</v>
      </c>
      <c r="J647" s="5" t="n">
        <f aca="false">VA_base_426_data!C647</f>
        <v>1700</v>
      </c>
      <c r="K647" s="5" t="n">
        <f aca="false">H647+I647-J647</f>
        <v>0</v>
      </c>
      <c r="L647" s="5" t="n">
        <f aca="false">MIN($W$7,J647+K647)</f>
        <v>1700</v>
      </c>
      <c r="M647" s="5" t="n">
        <f aca="false">VA_base_426_data!D647</f>
        <v>800</v>
      </c>
      <c r="N647" s="5" t="n">
        <f aca="false">IF(AND(C647=10,E647=1),$W$6,N646-P646)</f>
        <v>0</v>
      </c>
      <c r="O647" s="5" t="n">
        <f aca="false">IF(ABS(M647-L647)&gt;1,MIN(N647/((L647-M647)*24/12.1/1000),D647),D647)</f>
        <v>0</v>
      </c>
      <c r="P647" s="5" t="n">
        <f aca="false">MIN(IF(AND(G647,E647),(L647-M647)*24/12.1*O647/1000,0),N647)</f>
        <v>0</v>
      </c>
      <c r="Q647" s="5" t="n">
        <f aca="false">IF(P647&gt;0,P647/O647*12.1/24*1000+M647,0)</f>
        <v>0</v>
      </c>
      <c r="R647" s="0" t="n">
        <f aca="false">IF(Q647&gt;0,TRUNC(O647),0)</f>
        <v>0</v>
      </c>
      <c r="S647" s="5" t="n">
        <f aca="false">(M647*(D647-R647)+(Q647*R647))/D647</f>
        <v>800</v>
      </c>
      <c r="T647" s="6" t="n">
        <f aca="false">(Q647-M647)*R647*24/12.1/1000</f>
        <v>-0</v>
      </c>
    </row>
    <row r="648" customFormat="false" ht="14.35" hidden="false" customHeight="false" outlineLevel="0" collapsed="false">
      <c r="A648" s="4" t="n">
        <v>27453</v>
      </c>
      <c r="B648" s="15" t="n">
        <f aca="false">IF(C648&lt;=9,YEAR(A648),YEAR(A648)+1)</f>
        <v>1975</v>
      </c>
      <c r="C648" s="15" t="n">
        <f aca="false">MONTH(A648)</f>
        <v>2</v>
      </c>
      <c r="D648" s="15" t="n">
        <f aca="false">DAY(A648)</f>
        <v>28</v>
      </c>
      <c r="E648" s="15" t="n">
        <f aca="false">VLOOKUP(B648,WYT!$A$2:$L$97,12)</f>
        <v>0</v>
      </c>
      <c r="F648" s="15" t="n">
        <f aca="false">IF(C648=$W$5,1,0)</f>
        <v>1</v>
      </c>
      <c r="G648" s="15" t="n">
        <f aca="false">IF(C648=10,0,IF(F648=1,1,G647))</f>
        <v>1</v>
      </c>
      <c r="H648" s="5" t="n">
        <f aca="false">VA_base_426_data!B648</f>
        <v>2571.50328474648</v>
      </c>
      <c r="I648" s="5" t="n">
        <f aca="false">IF(AND(E648=1,OR(C648=4,C648=5)),25*12.1/24/D648*1000,0)</f>
        <v>0</v>
      </c>
      <c r="J648" s="5" t="n">
        <f aca="false">VA_base_426_data!C648</f>
        <v>1700</v>
      </c>
      <c r="K648" s="5" t="n">
        <f aca="false">H648+I648-J648</f>
        <v>871.503284746476</v>
      </c>
      <c r="L648" s="5" t="n">
        <f aca="false">MIN($W$7,J648+K648)</f>
        <v>2000</v>
      </c>
      <c r="M648" s="5" t="n">
        <f aca="false">VA_base_426_data!D648</f>
        <v>800</v>
      </c>
      <c r="N648" s="5" t="n">
        <f aca="false">IF(AND(C648=10,E648=1),$W$6,N647-P647)</f>
        <v>0</v>
      </c>
      <c r="O648" s="5" t="n">
        <f aca="false">IF(ABS(M648-L648)&gt;1,MIN(N648/((L648-M648)*24/12.1/1000),D648),D648)</f>
        <v>0</v>
      </c>
      <c r="P648" s="5" t="n">
        <f aca="false">MIN(IF(AND(G648,E648),(L648-M648)*24/12.1*O648/1000,0),N648)</f>
        <v>0</v>
      </c>
      <c r="Q648" s="5" t="n">
        <f aca="false">IF(P648&gt;0,P648/O648*12.1/24*1000+M648,0)</f>
        <v>0</v>
      </c>
      <c r="R648" s="0" t="n">
        <f aca="false">IF(Q648&gt;0,TRUNC(O648),0)</f>
        <v>0</v>
      </c>
      <c r="S648" s="5" t="n">
        <f aca="false">(M648*(D648-R648)+(Q648*R648))/D648</f>
        <v>800</v>
      </c>
      <c r="T648" s="6" t="n">
        <f aca="false">(Q648-M648)*R648*24/12.1/1000</f>
        <v>-0</v>
      </c>
    </row>
    <row r="649" customFormat="false" ht="14.35" hidden="false" customHeight="false" outlineLevel="0" collapsed="false">
      <c r="A649" s="4" t="n">
        <v>27484</v>
      </c>
      <c r="B649" s="15" t="n">
        <f aca="false">IF(C649&lt;=9,YEAR(A649),YEAR(A649)+1)</f>
        <v>1975</v>
      </c>
      <c r="C649" s="15" t="n">
        <f aca="false">MONTH(A649)</f>
        <v>3</v>
      </c>
      <c r="D649" s="15" t="n">
        <f aca="false">DAY(A649)</f>
        <v>31</v>
      </c>
      <c r="E649" s="15" t="n">
        <f aca="false">VLOOKUP(B649,WYT!$A$2:$L$97,12)</f>
        <v>0</v>
      </c>
      <c r="F649" s="15" t="n">
        <f aca="false">IF(C649=$W$5,1,0)</f>
        <v>0</v>
      </c>
      <c r="G649" s="15" t="n">
        <f aca="false">IF(C649=10,0,IF(F649=1,1,G648))</f>
        <v>1</v>
      </c>
      <c r="H649" s="5" t="n">
        <f aca="false">VA_base_426_data!B649</f>
        <v>12899.8744070002</v>
      </c>
      <c r="I649" s="5" t="n">
        <f aca="false">IF(AND(E649=1,OR(C649=4,C649=5)),25*12.1/24/D649*1000,0)</f>
        <v>0</v>
      </c>
      <c r="J649" s="5" t="n">
        <f aca="false">VA_base_426_data!C649</f>
        <v>1700</v>
      </c>
      <c r="K649" s="5" t="n">
        <f aca="false">H649+I649-J649</f>
        <v>11199.8744070002</v>
      </c>
      <c r="L649" s="5" t="n">
        <f aca="false">MIN($W$7,J649+K649)</f>
        <v>2000</v>
      </c>
      <c r="M649" s="5" t="n">
        <f aca="false">VA_base_426_data!D649</f>
        <v>800</v>
      </c>
      <c r="N649" s="5" t="n">
        <f aca="false">IF(AND(C649=10,E649=1),$W$6,N648-P648)</f>
        <v>0</v>
      </c>
      <c r="O649" s="5" t="n">
        <f aca="false">IF(ABS(M649-L649)&gt;1,MIN(N649/((L649-M649)*24/12.1/1000),D649),D649)</f>
        <v>0</v>
      </c>
      <c r="P649" s="5" t="n">
        <f aca="false">MIN(IF(AND(G649,E649),(L649-M649)*24/12.1*O649/1000,0),N649)</f>
        <v>0</v>
      </c>
      <c r="Q649" s="5" t="n">
        <f aca="false">IF(P649&gt;0,P649/O649*12.1/24*1000+M649,0)</f>
        <v>0</v>
      </c>
      <c r="R649" s="0" t="n">
        <f aca="false">IF(Q649&gt;0,TRUNC(O649),0)</f>
        <v>0</v>
      </c>
      <c r="S649" s="5" t="n">
        <f aca="false">(M649*(D649-R649)+(Q649*R649))/D649</f>
        <v>800</v>
      </c>
      <c r="T649" s="6" t="n">
        <f aca="false">(Q649-M649)*R649*24/12.1/1000</f>
        <v>-0</v>
      </c>
    </row>
    <row r="650" customFormat="false" ht="14.35" hidden="false" customHeight="false" outlineLevel="0" collapsed="false">
      <c r="A650" s="4" t="n">
        <v>27514</v>
      </c>
      <c r="B650" s="15" t="n">
        <f aca="false">IF(C650&lt;=9,YEAR(A650),YEAR(A650)+1)</f>
        <v>1975</v>
      </c>
      <c r="C650" s="15" t="n">
        <f aca="false">MONTH(A650)</f>
        <v>4</v>
      </c>
      <c r="D650" s="15" t="n">
        <f aca="false">DAY(A650)</f>
        <v>30</v>
      </c>
      <c r="E650" s="15" t="n">
        <f aca="false">VLOOKUP(B650,WYT!$A$2:$L$97,12)</f>
        <v>0</v>
      </c>
      <c r="F650" s="15" t="n">
        <f aca="false">IF(C650=$W$5,1,0)</f>
        <v>0</v>
      </c>
      <c r="G650" s="15" t="n">
        <f aca="false">IF(C650=10,0,IF(F650=1,1,G649))</f>
        <v>1</v>
      </c>
      <c r="H650" s="5" t="n">
        <f aca="false">VA_base_426_data!B650</f>
        <v>1000</v>
      </c>
      <c r="I650" s="5" t="n">
        <f aca="false">IF(AND(E650=1,OR(C650=4,C650=5)),25*12.1/24/D650*1000,0)</f>
        <v>0</v>
      </c>
      <c r="J650" s="5" t="n">
        <f aca="false">VA_base_426_data!C650</f>
        <v>1000</v>
      </c>
      <c r="K650" s="5" t="n">
        <f aca="false">H650+I650-J650</f>
        <v>0</v>
      </c>
      <c r="L650" s="5" t="n">
        <f aca="false">MIN($W$7,J650+K650)</f>
        <v>1000</v>
      </c>
      <c r="M650" s="5" t="n">
        <f aca="false">VA_base_426_data!D650</f>
        <v>700</v>
      </c>
      <c r="N650" s="5" t="n">
        <f aca="false">IF(AND(C650=10,E650=1),$W$6,N649-P649)</f>
        <v>0</v>
      </c>
      <c r="O650" s="5" t="n">
        <f aca="false">IF(ABS(M650-L650)&gt;1,MIN(N650/((L650-M650)*24/12.1/1000),D650),D650)</f>
        <v>0</v>
      </c>
      <c r="P650" s="5" t="n">
        <f aca="false">MIN(IF(AND(G650,E650),(L650-M650)*24/12.1*O650/1000,0),N650)</f>
        <v>0</v>
      </c>
      <c r="Q650" s="5" t="n">
        <f aca="false">IF(P650&gt;0,P650/O650*12.1/24*1000+M650,0)</f>
        <v>0</v>
      </c>
      <c r="R650" s="0" t="n">
        <f aca="false">IF(Q650&gt;0,TRUNC(O650),0)</f>
        <v>0</v>
      </c>
      <c r="S650" s="5" t="n">
        <f aca="false">(M650*(D650-R650)+(Q650*R650))/D650</f>
        <v>700</v>
      </c>
      <c r="T650" s="6" t="n">
        <f aca="false">(Q650-M650)*R650*24/12.1/1000</f>
        <v>-0</v>
      </c>
    </row>
    <row r="651" customFormat="false" ht="14.35" hidden="false" customHeight="false" outlineLevel="0" collapsed="false">
      <c r="A651" s="4" t="n">
        <v>27545</v>
      </c>
      <c r="B651" s="15" t="n">
        <f aca="false">IF(C651&lt;=9,YEAR(A651),YEAR(A651)+1)</f>
        <v>1975</v>
      </c>
      <c r="C651" s="15" t="n">
        <f aca="false">MONTH(A651)</f>
        <v>5</v>
      </c>
      <c r="D651" s="15" t="n">
        <f aca="false">DAY(A651)</f>
        <v>31</v>
      </c>
      <c r="E651" s="15" t="n">
        <f aca="false">VLOOKUP(B651,WYT!$A$2:$L$97,12)</f>
        <v>0</v>
      </c>
      <c r="F651" s="15" t="n">
        <f aca="false">IF(C651=$W$5,1,0)</f>
        <v>0</v>
      </c>
      <c r="G651" s="15" t="n">
        <f aca="false">IF(C651=10,0,IF(F651=1,1,G650))</f>
        <v>1</v>
      </c>
      <c r="H651" s="5" t="n">
        <f aca="false">VA_base_426_data!B651</f>
        <v>8359.85906422439</v>
      </c>
      <c r="I651" s="5" t="n">
        <f aca="false">IF(AND(E651=1,OR(C651=4,C651=5)),25*12.1/24/D651*1000,0)</f>
        <v>0</v>
      </c>
      <c r="J651" s="5" t="n">
        <f aca="false">VA_base_426_data!C651</f>
        <v>1000</v>
      </c>
      <c r="K651" s="5" t="n">
        <f aca="false">H651+I651-J651</f>
        <v>7359.85906422439</v>
      </c>
      <c r="L651" s="5" t="n">
        <f aca="false">MIN($W$7,J651+K651)</f>
        <v>2000</v>
      </c>
      <c r="M651" s="5" t="n">
        <f aca="false">VA_base_426_data!D651</f>
        <v>700</v>
      </c>
      <c r="N651" s="5" t="n">
        <f aca="false">IF(AND(C651=10,E651=1),$W$6,N650-P650)</f>
        <v>0</v>
      </c>
      <c r="O651" s="5" t="n">
        <f aca="false">IF(ABS(M651-L651)&gt;1,MIN(N651/((L651-M651)*24/12.1/1000),D651),D651)</f>
        <v>0</v>
      </c>
      <c r="P651" s="5" t="n">
        <f aca="false">MIN(IF(AND(G651,E651),(L651-M651)*24/12.1*O651/1000,0),N651)</f>
        <v>0</v>
      </c>
      <c r="Q651" s="5" t="n">
        <f aca="false">IF(P651&gt;0,P651/O651*12.1/24*1000+M651,0)</f>
        <v>0</v>
      </c>
      <c r="R651" s="0" t="n">
        <f aca="false">IF(Q651&gt;0,TRUNC(O651),0)</f>
        <v>0</v>
      </c>
      <c r="S651" s="5" t="n">
        <f aca="false">(M651*(D651-R651)+(Q651*R651))/D651</f>
        <v>700</v>
      </c>
      <c r="T651" s="6" t="n">
        <f aca="false">(Q651-M651)*R651*24/12.1/1000</f>
        <v>-0</v>
      </c>
    </row>
    <row r="652" customFormat="false" ht="14.35" hidden="false" customHeight="false" outlineLevel="0" collapsed="false">
      <c r="A652" s="4" t="n">
        <v>27575</v>
      </c>
      <c r="B652" s="15" t="n">
        <f aca="false">IF(C652&lt;=9,YEAR(A652),YEAR(A652)+1)</f>
        <v>1975</v>
      </c>
      <c r="C652" s="15" t="n">
        <f aca="false">MONTH(A652)</f>
        <v>6</v>
      </c>
      <c r="D652" s="15" t="n">
        <f aca="false">DAY(A652)</f>
        <v>30</v>
      </c>
      <c r="E652" s="15" t="n">
        <f aca="false">VLOOKUP(B652,WYT!$A$2:$L$97,12)</f>
        <v>0</v>
      </c>
      <c r="F652" s="15" t="n">
        <f aca="false">IF(C652=$W$5,1,0)</f>
        <v>0</v>
      </c>
      <c r="G652" s="15" t="n">
        <f aca="false">IF(C652=10,0,IF(F652=1,1,G651))</f>
        <v>1</v>
      </c>
      <c r="H652" s="5" t="n">
        <f aca="false">VA_base_426_data!B652</f>
        <v>6123.09433234009</v>
      </c>
      <c r="I652" s="5" t="n">
        <f aca="false">IF(AND(E652=1,OR(C652=4,C652=5)),25*12.1/24/D652*1000,0)</f>
        <v>0</v>
      </c>
      <c r="J652" s="5" t="n">
        <f aca="false">VA_base_426_data!C652</f>
        <v>1000</v>
      </c>
      <c r="K652" s="5" t="n">
        <f aca="false">H652+I652-J652</f>
        <v>5123.09433234009</v>
      </c>
      <c r="L652" s="5" t="n">
        <f aca="false">MIN($W$7,J652+K652)</f>
        <v>2000</v>
      </c>
      <c r="M652" s="5" t="n">
        <f aca="false">VA_base_426_data!D652</f>
        <v>700</v>
      </c>
      <c r="N652" s="5" t="n">
        <f aca="false">IF(AND(C652=10,E652=1),$W$6,N651-P651)</f>
        <v>0</v>
      </c>
      <c r="O652" s="5" t="n">
        <f aca="false">IF(ABS(M652-L652)&gt;1,MIN(N652/((L652-M652)*24/12.1/1000),D652),D652)</f>
        <v>0</v>
      </c>
      <c r="P652" s="5" t="n">
        <f aca="false">MIN(IF(AND(G652,E652),(L652-M652)*24/12.1*O652/1000,0),N652)</f>
        <v>0</v>
      </c>
      <c r="Q652" s="5" t="n">
        <f aca="false">IF(P652&gt;0,P652/O652*12.1/24*1000+M652,0)</f>
        <v>0</v>
      </c>
      <c r="R652" s="0" t="n">
        <f aca="false">IF(Q652&gt;0,TRUNC(O652),0)</f>
        <v>0</v>
      </c>
      <c r="S652" s="5" t="n">
        <f aca="false">(M652*(D652-R652)+(Q652*R652))/D652</f>
        <v>700</v>
      </c>
      <c r="T652" s="6" t="n">
        <f aca="false">(Q652-M652)*R652*24/12.1/1000</f>
        <v>-0</v>
      </c>
    </row>
    <row r="653" customFormat="false" ht="14.35" hidden="false" customHeight="false" outlineLevel="0" collapsed="false">
      <c r="A653" s="4" t="n">
        <v>27606</v>
      </c>
      <c r="B653" s="15" t="n">
        <f aca="false">IF(C653&lt;=9,YEAR(A653),YEAR(A653)+1)</f>
        <v>1975</v>
      </c>
      <c r="C653" s="15" t="n">
        <f aca="false">MONTH(A653)</f>
        <v>7</v>
      </c>
      <c r="D653" s="15" t="n">
        <f aca="false">DAY(A653)</f>
        <v>31</v>
      </c>
      <c r="E653" s="15" t="n">
        <f aca="false">VLOOKUP(B653,WYT!$A$2:$L$97,12)</f>
        <v>0</v>
      </c>
      <c r="F653" s="15" t="n">
        <f aca="false">IF(C653=$W$5,1,0)</f>
        <v>0</v>
      </c>
      <c r="G653" s="15" t="n">
        <f aca="false">IF(C653=10,0,IF(F653=1,1,G652))</f>
        <v>1</v>
      </c>
      <c r="H653" s="5" t="n">
        <f aca="false">VA_base_426_data!B653</f>
        <v>8058.09036574584</v>
      </c>
      <c r="I653" s="5" t="n">
        <f aca="false">IF(AND(E653=1,OR(C653=4,C653=5)),25*12.1/24/D653*1000,0)</f>
        <v>0</v>
      </c>
      <c r="J653" s="5" t="n">
        <f aca="false">VA_base_426_data!C653</f>
        <v>1000</v>
      </c>
      <c r="K653" s="5" t="n">
        <f aca="false">H653+I653-J653</f>
        <v>7058.09036574584</v>
      </c>
      <c r="L653" s="5" t="n">
        <f aca="false">MIN($W$7,J653+K653)</f>
        <v>2000</v>
      </c>
      <c r="M653" s="5" t="n">
        <f aca="false">VA_base_426_data!D653</f>
        <v>700</v>
      </c>
      <c r="N653" s="5" t="n">
        <f aca="false">IF(AND(C653=10,E653=1),$W$6,N652-P652)</f>
        <v>0</v>
      </c>
      <c r="O653" s="5" t="n">
        <f aca="false">IF(ABS(M653-L653)&gt;1,MIN(N653/((L653-M653)*24/12.1/1000),D653),D653)</f>
        <v>0</v>
      </c>
      <c r="P653" s="5" t="n">
        <f aca="false">MIN(IF(AND(G653,E653),(L653-M653)*24/12.1*O653/1000,0),N653)</f>
        <v>0</v>
      </c>
      <c r="Q653" s="5" t="n">
        <f aca="false">IF(P653&gt;0,P653/O653*12.1/24*1000+M653,0)</f>
        <v>0</v>
      </c>
      <c r="R653" s="0" t="n">
        <f aca="false">IF(Q653&gt;0,TRUNC(O653),0)</f>
        <v>0</v>
      </c>
      <c r="S653" s="5" t="n">
        <f aca="false">(M653*(D653-R653)+(Q653*R653))/D653</f>
        <v>700</v>
      </c>
      <c r="T653" s="6" t="n">
        <f aca="false">(Q653-M653)*R653*24/12.1/1000</f>
        <v>-0</v>
      </c>
    </row>
    <row r="654" customFormat="false" ht="14.35" hidden="false" customHeight="false" outlineLevel="0" collapsed="false">
      <c r="A654" s="4" t="n">
        <v>27637</v>
      </c>
      <c r="B654" s="15" t="n">
        <f aca="false">IF(C654&lt;=9,YEAR(A654),YEAR(A654)+1)</f>
        <v>1975</v>
      </c>
      <c r="C654" s="15" t="n">
        <f aca="false">MONTH(A654)</f>
        <v>8</v>
      </c>
      <c r="D654" s="15" t="n">
        <f aca="false">DAY(A654)</f>
        <v>31</v>
      </c>
      <c r="E654" s="15" t="n">
        <f aca="false">VLOOKUP(B654,WYT!$A$2:$L$97,12)</f>
        <v>0</v>
      </c>
      <c r="F654" s="15" t="n">
        <f aca="false">IF(C654=$W$5,1,0)</f>
        <v>0</v>
      </c>
      <c r="G654" s="15" t="n">
        <f aca="false">IF(C654=10,0,IF(F654=1,1,G653))</f>
        <v>1</v>
      </c>
      <c r="H654" s="5" t="n">
        <f aca="false">VA_base_426_data!B654</f>
        <v>1280.1081004556</v>
      </c>
      <c r="I654" s="5" t="n">
        <f aca="false">IF(AND(E654=1,OR(C654=4,C654=5)),25*12.1/24/D654*1000,0)</f>
        <v>0</v>
      </c>
      <c r="J654" s="5" t="n">
        <f aca="false">VA_base_426_data!C654</f>
        <v>1000</v>
      </c>
      <c r="K654" s="5" t="n">
        <f aca="false">H654+I654-J654</f>
        <v>280.108100455597</v>
      </c>
      <c r="L654" s="5" t="n">
        <f aca="false">MIN($W$7,J654+K654)</f>
        <v>1280.1081004556</v>
      </c>
      <c r="M654" s="5" t="n">
        <f aca="false">VA_base_426_data!D654</f>
        <v>700</v>
      </c>
      <c r="N654" s="5" t="n">
        <f aca="false">IF(AND(C654=10,E654=1),$W$6,N653-P653)</f>
        <v>0</v>
      </c>
      <c r="O654" s="5" t="n">
        <f aca="false">IF(ABS(M654-L654)&gt;1,MIN(N654/((L654-M654)*24/12.1/1000),D654),D654)</f>
        <v>0</v>
      </c>
      <c r="P654" s="5" t="n">
        <f aca="false">MIN(IF(AND(G654,E654),(L654-M654)*24/12.1*O654/1000,0),N654)</f>
        <v>0</v>
      </c>
      <c r="Q654" s="5" t="n">
        <f aca="false">IF(P654&gt;0,P654/O654*12.1/24*1000+M654,0)</f>
        <v>0</v>
      </c>
      <c r="R654" s="0" t="n">
        <f aca="false">IF(Q654&gt;0,TRUNC(O654),0)</f>
        <v>0</v>
      </c>
      <c r="S654" s="5" t="n">
        <f aca="false">(M654*(D654-R654)+(Q654*R654))/D654</f>
        <v>700</v>
      </c>
      <c r="T654" s="6" t="n">
        <f aca="false">(Q654-M654)*R654*24/12.1/1000</f>
        <v>-0</v>
      </c>
    </row>
    <row r="655" customFormat="false" ht="14.35" hidden="false" customHeight="false" outlineLevel="0" collapsed="false">
      <c r="A655" s="4" t="n">
        <v>27667</v>
      </c>
      <c r="B655" s="15" t="n">
        <f aca="false">IF(C655&lt;=9,YEAR(A655),YEAR(A655)+1)</f>
        <v>1975</v>
      </c>
      <c r="C655" s="15" t="n">
        <f aca="false">MONTH(A655)</f>
        <v>9</v>
      </c>
      <c r="D655" s="15" t="n">
        <f aca="false">DAY(A655)</f>
        <v>30</v>
      </c>
      <c r="E655" s="15" t="n">
        <f aca="false">VLOOKUP(B655,WYT!$A$2:$L$97,12)</f>
        <v>0</v>
      </c>
      <c r="F655" s="15" t="n">
        <f aca="false">IF(C655=$W$5,1,0)</f>
        <v>0</v>
      </c>
      <c r="G655" s="15" t="n">
        <f aca="false">IF(C655=10,0,IF(F655=1,1,G654))</f>
        <v>1</v>
      </c>
      <c r="H655" s="5" t="n">
        <f aca="false">VA_base_426_data!B655</f>
        <v>9274.94834278578</v>
      </c>
      <c r="I655" s="5" t="n">
        <f aca="false">IF(AND(E655=1,OR(C655=4,C655=5)),25*12.1/24/D655*1000,0)</f>
        <v>0</v>
      </c>
      <c r="J655" s="5" t="n">
        <f aca="false">VA_base_426_data!C655</f>
        <v>1000</v>
      </c>
      <c r="K655" s="5" t="n">
        <f aca="false">H655+I655-J655</f>
        <v>8274.94834278578</v>
      </c>
      <c r="L655" s="5" t="n">
        <f aca="false">MIN($W$7,J655+K655)</f>
        <v>2000</v>
      </c>
      <c r="M655" s="5" t="n">
        <f aca="false">VA_base_426_data!D655</f>
        <v>773.3333333</v>
      </c>
      <c r="N655" s="5" t="n">
        <f aca="false">IF(AND(C655=10,E655=1),$W$6,N654-P654)</f>
        <v>0</v>
      </c>
      <c r="O655" s="5" t="n">
        <f aca="false">IF(ABS(M655-L655)&gt;1,MIN(N655/((L655-M655)*24/12.1/1000),D655),D655)</f>
        <v>0</v>
      </c>
      <c r="P655" s="5" t="n">
        <f aca="false">MIN(IF(AND(G655,E655),(L655-M655)*24/12.1*O655/1000,0),N655)</f>
        <v>0</v>
      </c>
      <c r="Q655" s="5" t="n">
        <f aca="false">IF(P655&gt;0,P655/O655*12.1/24*1000+M655,0)</f>
        <v>0</v>
      </c>
      <c r="R655" s="0" t="n">
        <f aca="false">IF(Q655&gt;0,TRUNC(O655),0)</f>
        <v>0</v>
      </c>
      <c r="S655" s="5" t="n">
        <f aca="false">(M655*(D655-R655)+(Q655*R655))/D655</f>
        <v>773.3333333</v>
      </c>
      <c r="T655" s="6" t="n">
        <f aca="false">(Q655-M655)*R655*24/12.1/1000</f>
        <v>-0</v>
      </c>
    </row>
    <row r="656" customFormat="false" ht="14.35" hidden="false" customHeight="false" outlineLevel="0" collapsed="false">
      <c r="A656" s="4" t="n">
        <v>27698</v>
      </c>
      <c r="B656" s="15" t="n">
        <f aca="false">IF(C656&lt;=9,YEAR(A656),YEAR(A656)+1)</f>
        <v>1976</v>
      </c>
      <c r="C656" s="15" t="n">
        <f aca="false">MONTH(A656)</f>
        <v>10</v>
      </c>
      <c r="D656" s="15" t="n">
        <f aca="false">DAY(A656)</f>
        <v>31</v>
      </c>
      <c r="E656" s="15" t="n">
        <f aca="false">VLOOKUP(B656,WYT!$A$2:$L$97,12)</f>
        <v>0</v>
      </c>
      <c r="F656" s="15" t="n">
        <f aca="false">IF(C656=$W$5,1,0)</f>
        <v>0</v>
      </c>
      <c r="G656" s="15" t="n">
        <f aca="false">IF(C656=10,0,IF(F656=1,1,G655))</f>
        <v>0</v>
      </c>
      <c r="H656" s="5" t="n">
        <f aca="false">VA_base_426_data!B656</f>
        <v>3719.76774703478</v>
      </c>
      <c r="I656" s="5" t="n">
        <f aca="false">IF(AND(E656=1,OR(C656=4,C656=5)),25*12.1/24/D656*1000,0)</f>
        <v>0</v>
      </c>
      <c r="J656" s="5" t="n">
        <f aca="false">VA_base_426_data!C656</f>
        <v>1700</v>
      </c>
      <c r="K656" s="5" t="n">
        <f aca="false">H656+I656-J656</f>
        <v>2019.76774703478</v>
      </c>
      <c r="L656" s="5" t="n">
        <f aca="false">MIN($W$7,J656+K656)</f>
        <v>2000</v>
      </c>
      <c r="M656" s="5" t="n">
        <f aca="false">VA_base_426_data!D656</f>
        <v>800</v>
      </c>
      <c r="N656" s="5" t="n">
        <f aca="false">IF(AND(C656=10,E656=1),$W$6,N655-P655)</f>
        <v>0</v>
      </c>
      <c r="O656" s="5" t="n">
        <f aca="false">IF(ABS(M656-L656)&gt;1,MIN(N656/((L656-M656)*24/12.1/1000),D656),D656)</f>
        <v>0</v>
      </c>
      <c r="P656" s="5" t="n">
        <f aca="false">MIN(IF(AND(G656,E656),(L656-M656)*24/12.1*O656/1000,0),N656)</f>
        <v>0</v>
      </c>
      <c r="Q656" s="5" t="n">
        <f aca="false">IF(P656&gt;0,P656/O656*12.1/24*1000+M656,0)</f>
        <v>0</v>
      </c>
      <c r="R656" s="0" t="n">
        <f aca="false">IF(Q656&gt;0,TRUNC(O656),0)</f>
        <v>0</v>
      </c>
      <c r="S656" s="5" t="n">
        <f aca="false">(M656*(D656-R656)+(Q656*R656))/D656</f>
        <v>800</v>
      </c>
      <c r="T656" s="6" t="n">
        <f aca="false">(Q656-M656)*R656*24/12.1/1000</f>
        <v>-0</v>
      </c>
    </row>
    <row r="657" customFormat="false" ht="14.35" hidden="false" customHeight="false" outlineLevel="0" collapsed="false">
      <c r="A657" s="4" t="n">
        <v>27728</v>
      </c>
      <c r="B657" s="15" t="n">
        <f aca="false">IF(C657&lt;=9,YEAR(A657),YEAR(A657)+1)</f>
        <v>1976</v>
      </c>
      <c r="C657" s="15" t="n">
        <f aca="false">MONTH(A657)</f>
        <v>11</v>
      </c>
      <c r="D657" s="15" t="n">
        <f aca="false">DAY(A657)</f>
        <v>30</v>
      </c>
      <c r="E657" s="15" t="n">
        <f aca="false">VLOOKUP(B657,WYT!$A$2:$L$97,12)</f>
        <v>0</v>
      </c>
      <c r="F657" s="15" t="n">
        <f aca="false">IF(C657=$W$5,1,0)</f>
        <v>0</v>
      </c>
      <c r="G657" s="15" t="n">
        <f aca="false">IF(C657=10,0,IF(F657=1,1,G656))</f>
        <v>0</v>
      </c>
      <c r="H657" s="5" t="n">
        <f aca="false">VA_base_426_data!B657</f>
        <v>3113.67230942005</v>
      </c>
      <c r="I657" s="5" t="n">
        <f aca="false">IF(AND(E657=1,OR(C657=4,C657=5)),25*12.1/24/D657*1000,0)</f>
        <v>0</v>
      </c>
      <c r="J657" s="5" t="n">
        <f aca="false">VA_base_426_data!C657</f>
        <v>1700</v>
      </c>
      <c r="K657" s="5" t="n">
        <f aca="false">H657+I657-J657</f>
        <v>1413.67230942005</v>
      </c>
      <c r="L657" s="5" t="n">
        <f aca="false">MIN($W$7,J657+K657)</f>
        <v>2000</v>
      </c>
      <c r="M657" s="5" t="n">
        <f aca="false">VA_base_426_data!D657</f>
        <v>800</v>
      </c>
      <c r="N657" s="5" t="n">
        <f aca="false">IF(AND(C657=10,E657=1),$W$6,N656-P656)</f>
        <v>0</v>
      </c>
      <c r="O657" s="5" t="n">
        <f aca="false">IF(ABS(M657-L657)&gt;1,MIN(N657/((L657-M657)*24/12.1/1000),D657),D657)</f>
        <v>0</v>
      </c>
      <c r="P657" s="5" t="n">
        <f aca="false">MIN(IF(AND(G657,E657),(L657-M657)*24/12.1*O657/1000,0),N657)</f>
        <v>0</v>
      </c>
      <c r="Q657" s="5" t="n">
        <f aca="false">IF(P657&gt;0,P657/O657*12.1/24*1000+M657,0)</f>
        <v>0</v>
      </c>
      <c r="R657" s="0" t="n">
        <f aca="false">IF(Q657&gt;0,TRUNC(O657),0)</f>
        <v>0</v>
      </c>
      <c r="S657" s="5" t="n">
        <f aca="false">(M657*(D657-R657)+(Q657*R657))/D657</f>
        <v>800</v>
      </c>
      <c r="T657" s="6" t="n">
        <f aca="false">(Q657-M657)*R657*24/12.1/1000</f>
        <v>-0</v>
      </c>
    </row>
    <row r="658" customFormat="false" ht="14.35" hidden="false" customHeight="false" outlineLevel="0" collapsed="false">
      <c r="A658" s="4" t="n">
        <v>27759</v>
      </c>
      <c r="B658" s="15" t="n">
        <f aca="false">IF(C658&lt;=9,YEAR(A658),YEAR(A658)+1)</f>
        <v>1976</v>
      </c>
      <c r="C658" s="15" t="n">
        <f aca="false">MONTH(A658)</f>
        <v>12</v>
      </c>
      <c r="D658" s="15" t="n">
        <f aca="false">DAY(A658)</f>
        <v>31</v>
      </c>
      <c r="E658" s="15" t="n">
        <f aca="false">VLOOKUP(B658,WYT!$A$2:$L$97,12)</f>
        <v>0</v>
      </c>
      <c r="F658" s="15" t="n">
        <f aca="false">IF(C658=$W$5,1,0)</f>
        <v>0</v>
      </c>
      <c r="G658" s="15" t="n">
        <f aca="false">IF(C658=10,0,IF(F658=1,1,G657))</f>
        <v>0</v>
      </c>
      <c r="H658" s="5" t="n">
        <f aca="false">VA_base_426_data!B658</f>
        <v>4759.7622661647</v>
      </c>
      <c r="I658" s="5" t="n">
        <f aca="false">IF(AND(E658=1,OR(C658=4,C658=5)),25*12.1/24/D658*1000,0)</f>
        <v>0</v>
      </c>
      <c r="J658" s="5" t="n">
        <f aca="false">VA_base_426_data!C658</f>
        <v>1700</v>
      </c>
      <c r="K658" s="5" t="n">
        <f aca="false">H658+I658-J658</f>
        <v>3059.7622661647</v>
      </c>
      <c r="L658" s="5" t="n">
        <f aca="false">MIN($W$7,J658+K658)</f>
        <v>2000</v>
      </c>
      <c r="M658" s="5" t="n">
        <f aca="false">VA_base_426_data!D658</f>
        <v>800</v>
      </c>
      <c r="N658" s="5" t="n">
        <f aca="false">IF(AND(C658=10,E658=1),$W$6,N657-P657)</f>
        <v>0</v>
      </c>
      <c r="O658" s="5" t="n">
        <f aca="false">IF(ABS(M658-L658)&gt;1,MIN(N658/((L658-M658)*24/12.1/1000),D658),D658)</f>
        <v>0</v>
      </c>
      <c r="P658" s="5" t="n">
        <f aca="false">MIN(IF(AND(G658,E658),(L658-M658)*24/12.1*O658/1000,0),N658)</f>
        <v>0</v>
      </c>
      <c r="Q658" s="5" t="n">
        <f aca="false">IF(P658&gt;0,P658/O658*12.1/24*1000+M658,0)</f>
        <v>0</v>
      </c>
      <c r="R658" s="0" t="n">
        <f aca="false">IF(Q658&gt;0,TRUNC(O658),0)</f>
        <v>0</v>
      </c>
      <c r="S658" s="5" t="n">
        <f aca="false">(M658*(D658-R658)+(Q658*R658))/D658</f>
        <v>800</v>
      </c>
      <c r="T658" s="6" t="n">
        <f aca="false">(Q658-M658)*R658*24/12.1/1000</f>
        <v>-0</v>
      </c>
    </row>
    <row r="659" customFormat="false" ht="14.35" hidden="false" customHeight="false" outlineLevel="0" collapsed="false">
      <c r="A659" s="4" t="n">
        <v>27790</v>
      </c>
      <c r="B659" s="15" t="n">
        <f aca="false">IF(C659&lt;=9,YEAR(A659),YEAR(A659)+1)</f>
        <v>1976</v>
      </c>
      <c r="C659" s="15" t="n">
        <f aca="false">MONTH(A659)</f>
        <v>1</v>
      </c>
      <c r="D659" s="15" t="n">
        <f aca="false">DAY(A659)</f>
        <v>31</v>
      </c>
      <c r="E659" s="15" t="n">
        <f aca="false">VLOOKUP(B659,WYT!$A$2:$L$97,12)</f>
        <v>0</v>
      </c>
      <c r="F659" s="15" t="n">
        <f aca="false">IF(C659=$W$5,1,0)</f>
        <v>0</v>
      </c>
      <c r="G659" s="15" t="n">
        <f aca="false">IF(C659=10,0,IF(F659=1,1,G658))</f>
        <v>0</v>
      </c>
      <c r="H659" s="5" t="n">
        <f aca="false">VA_base_426_data!B659</f>
        <v>1700</v>
      </c>
      <c r="I659" s="5" t="n">
        <f aca="false">IF(AND(E659=1,OR(C659=4,C659=5)),25*12.1/24/D659*1000,0)</f>
        <v>0</v>
      </c>
      <c r="J659" s="5" t="n">
        <f aca="false">VA_base_426_data!C659</f>
        <v>1700</v>
      </c>
      <c r="K659" s="5" t="n">
        <f aca="false">H659+I659-J659</f>
        <v>0</v>
      </c>
      <c r="L659" s="5" t="n">
        <f aca="false">MIN($W$7,J659+K659)</f>
        <v>1700</v>
      </c>
      <c r="M659" s="5" t="n">
        <f aca="false">VA_base_426_data!D659</f>
        <v>800</v>
      </c>
      <c r="N659" s="5" t="n">
        <f aca="false">IF(AND(C659=10,E659=1),$W$6,N658-P658)</f>
        <v>0</v>
      </c>
      <c r="O659" s="5" t="n">
        <f aca="false">IF(ABS(M659-L659)&gt;1,MIN(N659/((L659-M659)*24/12.1/1000),D659),D659)</f>
        <v>0</v>
      </c>
      <c r="P659" s="5" t="n">
        <f aca="false">MIN(IF(AND(G659,E659),(L659-M659)*24/12.1*O659/1000,0),N659)</f>
        <v>0</v>
      </c>
      <c r="Q659" s="5" t="n">
        <f aca="false">IF(P659&gt;0,P659/O659*12.1/24*1000+M659,0)</f>
        <v>0</v>
      </c>
      <c r="R659" s="0" t="n">
        <f aca="false">IF(Q659&gt;0,TRUNC(O659),0)</f>
        <v>0</v>
      </c>
      <c r="S659" s="5" t="n">
        <f aca="false">(M659*(D659-R659)+(Q659*R659))/D659</f>
        <v>800</v>
      </c>
      <c r="T659" s="6" t="n">
        <f aca="false">(Q659-M659)*R659*24/12.1/1000</f>
        <v>-0</v>
      </c>
    </row>
    <row r="660" customFormat="false" ht="14.35" hidden="false" customHeight="false" outlineLevel="0" collapsed="false">
      <c r="A660" s="4" t="n">
        <v>27819</v>
      </c>
      <c r="B660" s="15" t="n">
        <f aca="false">IF(C660&lt;=9,YEAR(A660),YEAR(A660)+1)</f>
        <v>1976</v>
      </c>
      <c r="C660" s="15" t="n">
        <f aca="false">MONTH(A660)</f>
        <v>2</v>
      </c>
      <c r="D660" s="15" t="n">
        <f aca="false">DAY(A660)</f>
        <v>29</v>
      </c>
      <c r="E660" s="15" t="n">
        <f aca="false">VLOOKUP(B660,WYT!$A$2:$L$97,12)</f>
        <v>0</v>
      </c>
      <c r="F660" s="15" t="n">
        <f aca="false">IF(C660=$W$5,1,0)</f>
        <v>1</v>
      </c>
      <c r="G660" s="15" t="n">
        <f aca="false">IF(C660=10,0,IF(F660=1,1,G659))</f>
        <v>1</v>
      </c>
      <c r="H660" s="5" t="n">
        <f aca="false">VA_base_426_data!B660</f>
        <v>1700</v>
      </c>
      <c r="I660" s="5" t="n">
        <f aca="false">IF(AND(E660=1,OR(C660=4,C660=5)),25*12.1/24/D660*1000,0)</f>
        <v>0</v>
      </c>
      <c r="J660" s="5" t="n">
        <f aca="false">VA_base_426_data!C660</f>
        <v>1700</v>
      </c>
      <c r="K660" s="5" t="n">
        <f aca="false">H660+I660-J660</f>
        <v>0</v>
      </c>
      <c r="L660" s="5" t="n">
        <f aca="false">MIN($W$7,J660+K660)</f>
        <v>1700</v>
      </c>
      <c r="M660" s="5" t="n">
        <f aca="false">VA_base_426_data!D660</f>
        <v>800</v>
      </c>
      <c r="N660" s="5" t="n">
        <f aca="false">IF(AND(C660=10,E660=1),$W$6,N659-P659)</f>
        <v>0</v>
      </c>
      <c r="O660" s="5" t="n">
        <f aca="false">IF(ABS(M660-L660)&gt;1,MIN(N660/((L660-M660)*24/12.1/1000),D660),D660)</f>
        <v>0</v>
      </c>
      <c r="P660" s="5" t="n">
        <f aca="false">MIN(IF(AND(G660,E660),(L660-M660)*24/12.1*O660/1000,0),N660)</f>
        <v>0</v>
      </c>
      <c r="Q660" s="5" t="n">
        <f aca="false">IF(P660&gt;0,P660/O660*12.1/24*1000+M660,0)</f>
        <v>0</v>
      </c>
      <c r="R660" s="0" t="n">
        <f aca="false">IF(Q660&gt;0,TRUNC(O660),0)</f>
        <v>0</v>
      </c>
      <c r="S660" s="5" t="n">
        <f aca="false">(M660*(D660-R660)+(Q660*R660))/D660</f>
        <v>800</v>
      </c>
      <c r="T660" s="6" t="n">
        <f aca="false">(Q660-M660)*R660*24/12.1/1000</f>
        <v>-0</v>
      </c>
    </row>
    <row r="661" customFormat="false" ht="14.35" hidden="false" customHeight="false" outlineLevel="0" collapsed="false">
      <c r="A661" s="4" t="n">
        <v>27850</v>
      </c>
      <c r="B661" s="15" t="n">
        <f aca="false">IF(C661&lt;=9,YEAR(A661),YEAR(A661)+1)</f>
        <v>1976</v>
      </c>
      <c r="C661" s="15" t="n">
        <f aca="false">MONTH(A661)</f>
        <v>3</v>
      </c>
      <c r="D661" s="15" t="n">
        <f aca="false">DAY(A661)</f>
        <v>31</v>
      </c>
      <c r="E661" s="15" t="n">
        <f aca="false">VLOOKUP(B661,WYT!$A$2:$L$97,12)</f>
        <v>0</v>
      </c>
      <c r="F661" s="15" t="n">
        <f aca="false">IF(C661=$W$5,1,0)</f>
        <v>0</v>
      </c>
      <c r="G661" s="15" t="n">
        <f aca="false">IF(C661=10,0,IF(F661=1,1,G660))</f>
        <v>1</v>
      </c>
      <c r="H661" s="5" t="n">
        <f aca="false">VA_base_426_data!B661</f>
        <v>1700</v>
      </c>
      <c r="I661" s="5" t="n">
        <f aca="false">IF(AND(E661=1,OR(C661=4,C661=5)),25*12.1/24/D661*1000,0)</f>
        <v>0</v>
      </c>
      <c r="J661" s="5" t="n">
        <f aca="false">VA_base_426_data!C661</f>
        <v>1700</v>
      </c>
      <c r="K661" s="5" t="n">
        <f aca="false">H661+I661-J661</f>
        <v>0</v>
      </c>
      <c r="L661" s="5" t="n">
        <f aca="false">MIN($W$7,J661+K661)</f>
        <v>1700</v>
      </c>
      <c r="M661" s="5" t="n">
        <f aca="false">VA_base_426_data!D661</f>
        <v>800</v>
      </c>
      <c r="N661" s="5" t="n">
        <f aca="false">IF(AND(C661=10,E661=1),$W$6,N660-P660)</f>
        <v>0</v>
      </c>
      <c r="O661" s="5" t="n">
        <f aca="false">IF(ABS(M661-L661)&gt;1,MIN(N661/((L661-M661)*24/12.1/1000),D661),D661)</f>
        <v>0</v>
      </c>
      <c r="P661" s="5" t="n">
        <f aca="false">MIN(IF(AND(G661,E661),(L661-M661)*24/12.1*O661/1000,0),N661)</f>
        <v>0</v>
      </c>
      <c r="Q661" s="5" t="n">
        <f aca="false">IF(P661&gt;0,P661/O661*12.1/24*1000+M661,0)</f>
        <v>0</v>
      </c>
      <c r="R661" s="0" t="n">
        <f aca="false">IF(Q661&gt;0,TRUNC(O661),0)</f>
        <v>0</v>
      </c>
      <c r="S661" s="5" t="n">
        <f aca="false">(M661*(D661-R661)+(Q661*R661))/D661</f>
        <v>800</v>
      </c>
      <c r="T661" s="6" t="n">
        <f aca="false">(Q661-M661)*R661*24/12.1/1000</f>
        <v>-0</v>
      </c>
    </row>
    <row r="662" customFormat="false" ht="14.35" hidden="false" customHeight="false" outlineLevel="0" collapsed="false">
      <c r="A662" s="4" t="n">
        <v>27880</v>
      </c>
      <c r="B662" s="15" t="n">
        <f aca="false">IF(C662&lt;=9,YEAR(A662),YEAR(A662)+1)</f>
        <v>1976</v>
      </c>
      <c r="C662" s="15" t="n">
        <f aca="false">MONTH(A662)</f>
        <v>4</v>
      </c>
      <c r="D662" s="15" t="n">
        <f aca="false">DAY(A662)</f>
        <v>30</v>
      </c>
      <c r="E662" s="15" t="n">
        <f aca="false">VLOOKUP(B662,WYT!$A$2:$L$97,12)</f>
        <v>0</v>
      </c>
      <c r="F662" s="15" t="n">
        <f aca="false">IF(C662=$W$5,1,0)</f>
        <v>0</v>
      </c>
      <c r="G662" s="15" t="n">
        <f aca="false">IF(C662=10,0,IF(F662=1,1,G661))</f>
        <v>1</v>
      </c>
      <c r="H662" s="5" t="n">
        <f aca="false">VA_base_426_data!B662</f>
        <v>1000</v>
      </c>
      <c r="I662" s="5" t="n">
        <f aca="false">IF(AND(E662=1,OR(C662=4,C662=5)),25*12.1/24/D662*1000,0)</f>
        <v>0</v>
      </c>
      <c r="J662" s="5" t="n">
        <f aca="false">VA_base_426_data!C662</f>
        <v>1000</v>
      </c>
      <c r="K662" s="5" t="n">
        <f aca="false">H662+I662-J662</f>
        <v>0</v>
      </c>
      <c r="L662" s="5" t="n">
        <f aca="false">MIN($W$7,J662+K662)</f>
        <v>1000</v>
      </c>
      <c r="M662" s="5" t="n">
        <f aca="false">VA_base_426_data!D662</f>
        <v>700</v>
      </c>
      <c r="N662" s="5" t="n">
        <f aca="false">IF(AND(C662=10,E662=1),$W$6,N661-P661)</f>
        <v>0</v>
      </c>
      <c r="O662" s="5" t="n">
        <f aca="false">IF(ABS(M662-L662)&gt;1,MIN(N662/((L662-M662)*24/12.1/1000),D662),D662)</f>
        <v>0</v>
      </c>
      <c r="P662" s="5" t="n">
        <f aca="false">MIN(IF(AND(G662,E662),(L662-M662)*24/12.1*O662/1000,0),N662)</f>
        <v>0</v>
      </c>
      <c r="Q662" s="5" t="n">
        <f aca="false">IF(P662&gt;0,P662/O662*12.1/24*1000+M662,0)</f>
        <v>0</v>
      </c>
      <c r="R662" s="0" t="n">
        <f aca="false">IF(Q662&gt;0,TRUNC(O662),0)</f>
        <v>0</v>
      </c>
      <c r="S662" s="5" t="n">
        <f aca="false">(M662*(D662-R662)+(Q662*R662))/D662</f>
        <v>700</v>
      </c>
      <c r="T662" s="6" t="n">
        <f aca="false">(Q662-M662)*R662*24/12.1/1000</f>
        <v>-0</v>
      </c>
    </row>
    <row r="663" customFormat="false" ht="14.35" hidden="false" customHeight="false" outlineLevel="0" collapsed="false">
      <c r="A663" s="4" t="n">
        <v>27911</v>
      </c>
      <c r="B663" s="15" t="n">
        <f aca="false">IF(C663&lt;=9,YEAR(A663),YEAR(A663)+1)</f>
        <v>1976</v>
      </c>
      <c r="C663" s="15" t="n">
        <f aca="false">MONTH(A663)</f>
        <v>5</v>
      </c>
      <c r="D663" s="15" t="n">
        <f aca="false">DAY(A663)</f>
        <v>31</v>
      </c>
      <c r="E663" s="15" t="n">
        <f aca="false">VLOOKUP(B663,WYT!$A$2:$L$97,12)</f>
        <v>0</v>
      </c>
      <c r="F663" s="15" t="n">
        <f aca="false">IF(C663=$W$5,1,0)</f>
        <v>0</v>
      </c>
      <c r="G663" s="15" t="n">
        <f aca="false">IF(C663=10,0,IF(F663=1,1,G662))</f>
        <v>1</v>
      </c>
      <c r="H663" s="5" t="n">
        <f aca="false">VA_base_426_data!B663</f>
        <v>1203.58321230203</v>
      </c>
      <c r="I663" s="5" t="n">
        <f aca="false">IF(AND(E663=1,OR(C663=4,C663=5)),25*12.1/24/D663*1000,0)</f>
        <v>0</v>
      </c>
      <c r="J663" s="5" t="n">
        <f aca="false">VA_base_426_data!C663</f>
        <v>1000</v>
      </c>
      <c r="K663" s="5" t="n">
        <f aca="false">H663+I663-J663</f>
        <v>203.583212302026</v>
      </c>
      <c r="L663" s="5" t="n">
        <f aca="false">MIN($W$7,J663+K663)</f>
        <v>1203.58321230203</v>
      </c>
      <c r="M663" s="5" t="n">
        <f aca="false">VA_base_426_data!D663</f>
        <v>700</v>
      </c>
      <c r="N663" s="5" t="n">
        <f aca="false">IF(AND(C663=10,E663=1),$W$6,N662-P662)</f>
        <v>0</v>
      </c>
      <c r="O663" s="5" t="n">
        <f aca="false">IF(ABS(M663-L663)&gt;1,MIN(N663/((L663-M663)*24/12.1/1000),D663),D663)</f>
        <v>0</v>
      </c>
      <c r="P663" s="5" t="n">
        <f aca="false">MIN(IF(AND(G663,E663),(L663-M663)*24/12.1*O663/1000,0),N663)</f>
        <v>0</v>
      </c>
      <c r="Q663" s="5" t="n">
        <f aca="false">IF(P663&gt;0,P663/O663*12.1/24*1000+M663,0)</f>
        <v>0</v>
      </c>
      <c r="R663" s="0" t="n">
        <f aca="false">IF(Q663&gt;0,TRUNC(O663),0)</f>
        <v>0</v>
      </c>
      <c r="S663" s="5" t="n">
        <f aca="false">(M663*(D663-R663)+(Q663*R663))/D663</f>
        <v>700</v>
      </c>
      <c r="T663" s="6" t="n">
        <f aca="false">(Q663-M663)*R663*24/12.1/1000</f>
        <v>-0</v>
      </c>
    </row>
    <row r="664" customFormat="false" ht="14.35" hidden="false" customHeight="false" outlineLevel="0" collapsed="false">
      <c r="A664" s="4" t="n">
        <v>27941</v>
      </c>
      <c r="B664" s="15" t="n">
        <f aca="false">IF(C664&lt;=9,YEAR(A664),YEAR(A664)+1)</f>
        <v>1976</v>
      </c>
      <c r="C664" s="15" t="n">
        <f aca="false">MONTH(A664)</f>
        <v>6</v>
      </c>
      <c r="D664" s="15" t="n">
        <f aca="false">DAY(A664)</f>
        <v>30</v>
      </c>
      <c r="E664" s="15" t="n">
        <f aca="false">VLOOKUP(B664,WYT!$A$2:$L$97,12)</f>
        <v>0</v>
      </c>
      <c r="F664" s="15" t="n">
        <f aca="false">IF(C664=$W$5,1,0)</f>
        <v>0</v>
      </c>
      <c r="G664" s="15" t="n">
        <f aca="false">IF(C664=10,0,IF(F664=1,1,G663))</f>
        <v>1</v>
      </c>
      <c r="H664" s="5" t="n">
        <f aca="false">VA_base_426_data!B664</f>
        <v>3152.62233543182</v>
      </c>
      <c r="I664" s="5" t="n">
        <f aca="false">IF(AND(E664=1,OR(C664=4,C664=5)),25*12.1/24/D664*1000,0)</f>
        <v>0</v>
      </c>
      <c r="J664" s="5" t="n">
        <f aca="false">VA_base_426_data!C664</f>
        <v>1000</v>
      </c>
      <c r="K664" s="5" t="n">
        <f aca="false">H664+I664-J664</f>
        <v>2152.62233543182</v>
      </c>
      <c r="L664" s="5" t="n">
        <f aca="false">MIN($W$7,J664+K664)</f>
        <v>2000</v>
      </c>
      <c r="M664" s="5" t="n">
        <f aca="false">VA_base_426_data!D664</f>
        <v>700</v>
      </c>
      <c r="N664" s="5" t="n">
        <f aca="false">IF(AND(C664=10,E664=1),$W$6,N663-P663)</f>
        <v>0</v>
      </c>
      <c r="O664" s="5" t="n">
        <f aca="false">IF(ABS(M664-L664)&gt;1,MIN(N664/((L664-M664)*24/12.1/1000),D664),D664)</f>
        <v>0</v>
      </c>
      <c r="P664" s="5" t="n">
        <f aca="false">MIN(IF(AND(G664,E664),(L664-M664)*24/12.1*O664/1000,0),N664)</f>
        <v>0</v>
      </c>
      <c r="Q664" s="5" t="n">
        <f aca="false">IF(P664&gt;0,P664/O664*12.1/24*1000+M664,0)</f>
        <v>0</v>
      </c>
      <c r="R664" s="0" t="n">
        <f aca="false">IF(Q664&gt;0,TRUNC(O664),0)</f>
        <v>0</v>
      </c>
      <c r="S664" s="5" t="n">
        <f aca="false">(M664*(D664-R664)+(Q664*R664))/D664</f>
        <v>700</v>
      </c>
      <c r="T664" s="6" t="n">
        <f aca="false">(Q664-M664)*R664*24/12.1/1000</f>
        <v>-0</v>
      </c>
    </row>
    <row r="665" customFormat="false" ht="14.35" hidden="false" customHeight="false" outlineLevel="0" collapsed="false">
      <c r="A665" s="4" t="n">
        <v>27972</v>
      </c>
      <c r="B665" s="15" t="n">
        <f aca="false">IF(C665&lt;=9,YEAR(A665),YEAR(A665)+1)</f>
        <v>1976</v>
      </c>
      <c r="C665" s="15" t="n">
        <f aca="false">MONTH(A665)</f>
        <v>7</v>
      </c>
      <c r="D665" s="15" t="n">
        <f aca="false">DAY(A665)</f>
        <v>31</v>
      </c>
      <c r="E665" s="15" t="n">
        <f aca="false">VLOOKUP(B665,WYT!$A$2:$L$97,12)</f>
        <v>0</v>
      </c>
      <c r="F665" s="15" t="n">
        <f aca="false">IF(C665=$W$5,1,0)</f>
        <v>0</v>
      </c>
      <c r="G665" s="15" t="n">
        <f aca="false">IF(C665=10,0,IF(F665=1,1,G664))</f>
        <v>1</v>
      </c>
      <c r="H665" s="5" t="n">
        <f aca="false">VA_base_426_data!B665</f>
        <v>5907.34424006031</v>
      </c>
      <c r="I665" s="5" t="n">
        <f aca="false">IF(AND(E665=1,OR(C665=4,C665=5)),25*12.1/24/D665*1000,0)</f>
        <v>0</v>
      </c>
      <c r="J665" s="5" t="n">
        <f aca="false">VA_base_426_data!C665</f>
        <v>1000</v>
      </c>
      <c r="K665" s="5" t="n">
        <f aca="false">H665+I665-J665</f>
        <v>4907.34424006031</v>
      </c>
      <c r="L665" s="5" t="n">
        <f aca="false">MIN($W$7,J665+K665)</f>
        <v>2000</v>
      </c>
      <c r="M665" s="5" t="n">
        <f aca="false">VA_base_426_data!D665</f>
        <v>700</v>
      </c>
      <c r="N665" s="5" t="n">
        <f aca="false">IF(AND(C665=10,E665=1),$W$6,N664-P664)</f>
        <v>0</v>
      </c>
      <c r="O665" s="5" t="n">
        <f aca="false">IF(ABS(M665-L665)&gt;1,MIN(N665/((L665-M665)*24/12.1/1000),D665),D665)</f>
        <v>0</v>
      </c>
      <c r="P665" s="5" t="n">
        <f aca="false">MIN(IF(AND(G665,E665),(L665-M665)*24/12.1*O665/1000,0),N665)</f>
        <v>0</v>
      </c>
      <c r="Q665" s="5" t="n">
        <f aca="false">IF(P665&gt;0,P665/O665*12.1/24*1000+M665,0)</f>
        <v>0</v>
      </c>
      <c r="R665" s="0" t="n">
        <f aca="false">IF(Q665&gt;0,TRUNC(O665),0)</f>
        <v>0</v>
      </c>
      <c r="S665" s="5" t="n">
        <f aca="false">(M665*(D665-R665)+(Q665*R665))/D665</f>
        <v>700</v>
      </c>
      <c r="T665" s="6" t="n">
        <f aca="false">(Q665-M665)*R665*24/12.1/1000</f>
        <v>-0</v>
      </c>
    </row>
    <row r="666" customFormat="false" ht="14.35" hidden="false" customHeight="false" outlineLevel="0" collapsed="false">
      <c r="A666" s="4" t="n">
        <v>28003</v>
      </c>
      <c r="B666" s="15" t="n">
        <f aca="false">IF(C666&lt;=9,YEAR(A666),YEAR(A666)+1)</f>
        <v>1976</v>
      </c>
      <c r="C666" s="15" t="n">
        <f aca="false">MONTH(A666)</f>
        <v>8</v>
      </c>
      <c r="D666" s="15" t="n">
        <f aca="false">DAY(A666)</f>
        <v>31</v>
      </c>
      <c r="E666" s="15" t="n">
        <f aca="false">VLOOKUP(B666,WYT!$A$2:$L$97,12)</f>
        <v>0</v>
      </c>
      <c r="F666" s="15" t="n">
        <f aca="false">IF(C666=$W$5,1,0)</f>
        <v>0</v>
      </c>
      <c r="G666" s="15" t="n">
        <f aca="false">IF(C666=10,0,IF(F666=1,1,G665))</f>
        <v>1</v>
      </c>
      <c r="H666" s="5" t="n">
        <f aca="false">VA_base_426_data!B666</f>
        <v>999.999999999987</v>
      </c>
      <c r="I666" s="5" t="n">
        <f aca="false">IF(AND(E666=1,OR(C666=4,C666=5)),25*12.1/24/D666*1000,0)</f>
        <v>0</v>
      </c>
      <c r="J666" s="5" t="n">
        <f aca="false">VA_base_426_data!C666</f>
        <v>1000</v>
      </c>
      <c r="K666" s="5" t="n">
        <f aca="false">H666+I666-J666</f>
        <v>-1.30739863379858E-011</v>
      </c>
      <c r="L666" s="5" t="n">
        <f aca="false">MIN($W$7,J666+K666)</f>
        <v>999.999999999987</v>
      </c>
      <c r="M666" s="5" t="n">
        <f aca="false">VA_base_426_data!D666</f>
        <v>700</v>
      </c>
      <c r="N666" s="5" t="n">
        <f aca="false">IF(AND(C666=10,E666=1),$W$6,N665-P665)</f>
        <v>0</v>
      </c>
      <c r="O666" s="5" t="n">
        <f aca="false">IF(ABS(M666-L666)&gt;1,MIN(N666/((L666-M666)*24/12.1/1000),D666),D666)</f>
        <v>0</v>
      </c>
      <c r="P666" s="5" t="n">
        <f aca="false">MIN(IF(AND(G666,E666),(L666-M666)*24/12.1*O666/1000,0),N666)</f>
        <v>0</v>
      </c>
      <c r="Q666" s="5" t="n">
        <f aca="false">IF(P666&gt;0,P666/O666*12.1/24*1000+M666,0)</f>
        <v>0</v>
      </c>
      <c r="R666" s="0" t="n">
        <f aca="false">IF(Q666&gt;0,TRUNC(O666),0)</f>
        <v>0</v>
      </c>
      <c r="S666" s="5" t="n">
        <f aca="false">(M666*(D666-R666)+(Q666*R666))/D666</f>
        <v>700</v>
      </c>
      <c r="T666" s="6" t="n">
        <f aca="false">(Q666-M666)*R666*24/12.1/1000</f>
        <v>-0</v>
      </c>
    </row>
    <row r="667" customFormat="false" ht="14.35" hidden="false" customHeight="false" outlineLevel="0" collapsed="false">
      <c r="A667" s="4" t="n">
        <v>28033</v>
      </c>
      <c r="B667" s="15" t="n">
        <f aca="false">IF(C667&lt;=9,YEAR(A667),YEAR(A667)+1)</f>
        <v>1976</v>
      </c>
      <c r="C667" s="15" t="n">
        <f aca="false">MONTH(A667)</f>
        <v>9</v>
      </c>
      <c r="D667" s="15" t="n">
        <f aca="false">DAY(A667)</f>
        <v>30</v>
      </c>
      <c r="E667" s="15" t="n">
        <f aca="false">VLOOKUP(B667,WYT!$A$2:$L$97,12)</f>
        <v>0</v>
      </c>
      <c r="F667" s="15" t="n">
        <f aca="false">IF(C667=$W$5,1,0)</f>
        <v>0</v>
      </c>
      <c r="G667" s="15" t="n">
        <f aca="false">IF(C667=10,0,IF(F667=1,1,G666))</f>
        <v>1</v>
      </c>
      <c r="H667" s="5" t="n">
        <f aca="false">VA_base_426_data!B667</f>
        <v>999.999999999989</v>
      </c>
      <c r="I667" s="5" t="n">
        <f aca="false">IF(AND(E667=1,OR(C667=4,C667=5)),25*12.1/24/D667*1000,0)</f>
        <v>0</v>
      </c>
      <c r="J667" s="5" t="n">
        <f aca="false">VA_base_426_data!C667</f>
        <v>1000</v>
      </c>
      <c r="K667" s="5" t="n">
        <f aca="false">H667+I667-J667</f>
        <v>-1.11413100967184E-011</v>
      </c>
      <c r="L667" s="5" t="n">
        <f aca="false">MIN($W$7,J667+K667)</f>
        <v>999.999999999989</v>
      </c>
      <c r="M667" s="5" t="n">
        <f aca="false">VA_base_426_data!D667</f>
        <v>773.3333333</v>
      </c>
      <c r="N667" s="5" t="n">
        <f aca="false">IF(AND(C667=10,E667=1),$W$6,N666-P666)</f>
        <v>0</v>
      </c>
      <c r="O667" s="5" t="n">
        <f aca="false">IF(ABS(M667-L667)&gt;1,MIN(N667/((L667-M667)*24/12.1/1000),D667),D667)</f>
        <v>0</v>
      </c>
      <c r="P667" s="5" t="n">
        <f aca="false">MIN(IF(AND(G667,E667),(L667-M667)*24/12.1*O667/1000,0),N667)</f>
        <v>0</v>
      </c>
      <c r="Q667" s="5" t="n">
        <f aca="false">IF(P667&gt;0,P667/O667*12.1/24*1000+M667,0)</f>
        <v>0</v>
      </c>
      <c r="R667" s="0" t="n">
        <f aca="false">IF(Q667&gt;0,TRUNC(O667),0)</f>
        <v>0</v>
      </c>
      <c r="S667" s="5" t="n">
        <f aca="false">(M667*(D667-R667)+(Q667*R667))/D667</f>
        <v>773.3333333</v>
      </c>
      <c r="T667" s="6" t="n">
        <f aca="false">(Q667-M667)*R667*24/12.1/1000</f>
        <v>-0</v>
      </c>
    </row>
    <row r="668" customFormat="false" ht="14.35" hidden="false" customHeight="false" outlineLevel="0" collapsed="false">
      <c r="A668" s="4" t="n">
        <v>28064</v>
      </c>
      <c r="B668" s="15" t="n">
        <f aca="false">IF(C668&lt;=9,YEAR(A668),YEAR(A668)+1)</f>
        <v>1977</v>
      </c>
      <c r="C668" s="15" t="n">
        <f aca="false">MONTH(A668)</f>
        <v>10</v>
      </c>
      <c r="D668" s="15" t="n">
        <f aca="false">DAY(A668)</f>
        <v>31</v>
      </c>
      <c r="E668" s="15" t="n">
        <f aca="false">VLOOKUP(B668,WYT!$A$2:$L$97,12)</f>
        <v>0</v>
      </c>
      <c r="F668" s="15" t="n">
        <f aca="false">IF(C668=$W$5,1,0)</f>
        <v>0</v>
      </c>
      <c r="G668" s="15" t="n">
        <f aca="false">IF(C668=10,0,IF(F668=1,1,G667))</f>
        <v>0</v>
      </c>
      <c r="H668" s="5" t="n">
        <f aca="false">VA_base_426_data!B668</f>
        <v>1367.92594896324</v>
      </c>
      <c r="I668" s="5" t="n">
        <f aca="false">IF(AND(E668=1,OR(C668=4,C668=5)),25*12.1/24/D668*1000,0)</f>
        <v>0</v>
      </c>
      <c r="J668" s="5" t="n">
        <f aca="false">VA_base_426_data!C668</f>
        <v>1200</v>
      </c>
      <c r="K668" s="5" t="n">
        <f aca="false">H668+I668-J668</f>
        <v>167.925948963239</v>
      </c>
      <c r="L668" s="5" t="n">
        <f aca="false">MIN($W$7,J668+K668)</f>
        <v>1367.92594896324</v>
      </c>
      <c r="M668" s="5" t="n">
        <f aca="false">VA_base_426_data!D668</f>
        <v>800</v>
      </c>
      <c r="N668" s="5" t="n">
        <f aca="false">IF(AND(C668=10,E668=1),$W$6,N667-P667)</f>
        <v>0</v>
      </c>
      <c r="O668" s="5" t="n">
        <f aca="false">IF(ABS(M668-L668)&gt;1,MIN(N668/((L668-M668)*24/12.1/1000),D668),D668)</f>
        <v>0</v>
      </c>
      <c r="P668" s="5" t="n">
        <f aca="false">MIN(IF(AND(G668,E668),(L668-M668)*24/12.1*O668/1000,0),N668)</f>
        <v>0</v>
      </c>
      <c r="Q668" s="5" t="n">
        <f aca="false">IF(P668&gt;0,P668/O668*12.1/24*1000+M668,0)</f>
        <v>0</v>
      </c>
      <c r="R668" s="0" t="n">
        <f aca="false">IF(Q668&gt;0,TRUNC(O668),0)</f>
        <v>0</v>
      </c>
      <c r="S668" s="5" t="n">
        <f aca="false">(M668*(D668-R668)+(Q668*R668))/D668</f>
        <v>800</v>
      </c>
      <c r="T668" s="6" t="n">
        <f aca="false">(Q668-M668)*R668*24/12.1/1000</f>
        <v>-0</v>
      </c>
    </row>
    <row r="669" customFormat="false" ht="14.35" hidden="false" customHeight="false" outlineLevel="0" collapsed="false">
      <c r="A669" s="4" t="n">
        <v>28094</v>
      </c>
      <c r="B669" s="15" t="n">
        <f aca="false">IF(C669&lt;=9,YEAR(A669),YEAR(A669)+1)</f>
        <v>1977</v>
      </c>
      <c r="C669" s="15" t="n">
        <f aca="false">MONTH(A669)</f>
        <v>11</v>
      </c>
      <c r="D669" s="15" t="n">
        <f aca="false">DAY(A669)</f>
        <v>30</v>
      </c>
      <c r="E669" s="15" t="n">
        <f aca="false">VLOOKUP(B669,WYT!$A$2:$L$97,12)</f>
        <v>0</v>
      </c>
      <c r="F669" s="15" t="n">
        <f aca="false">IF(C669=$W$5,1,0)</f>
        <v>0</v>
      </c>
      <c r="G669" s="15" t="n">
        <f aca="false">IF(C669=10,0,IF(F669=1,1,G668))</f>
        <v>0</v>
      </c>
      <c r="H669" s="5" t="n">
        <f aca="false">VA_base_426_data!B669</f>
        <v>1249.84070472306</v>
      </c>
      <c r="I669" s="5" t="n">
        <f aca="false">IF(AND(E669=1,OR(C669=4,C669=5)),25*12.1/24/D669*1000,0)</f>
        <v>0</v>
      </c>
      <c r="J669" s="5" t="n">
        <f aca="false">VA_base_426_data!C669</f>
        <v>1200</v>
      </c>
      <c r="K669" s="5" t="n">
        <f aca="false">H669+I669-J669</f>
        <v>49.8407047230605</v>
      </c>
      <c r="L669" s="5" t="n">
        <f aca="false">MIN($W$7,J669+K669)</f>
        <v>1249.84070472306</v>
      </c>
      <c r="M669" s="5" t="n">
        <f aca="false">VA_base_426_data!D669</f>
        <v>800</v>
      </c>
      <c r="N669" s="5" t="n">
        <f aca="false">IF(AND(C669=10,E669=1),$W$6,N668-P668)</f>
        <v>0</v>
      </c>
      <c r="O669" s="5" t="n">
        <f aca="false">IF(ABS(M669-L669)&gt;1,MIN(N669/((L669-M669)*24/12.1/1000),D669),D669)</f>
        <v>0</v>
      </c>
      <c r="P669" s="5" t="n">
        <f aca="false">MIN(IF(AND(G669,E669),(L669-M669)*24/12.1*O669/1000,0),N669)</f>
        <v>0</v>
      </c>
      <c r="Q669" s="5" t="n">
        <f aca="false">IF(P669&gt;0,P669/O669*12.1/24*1000+M669,0)</f>
        <v>0</v>
      </c>
      <c r="R669" s="0" t="n">
        <f aca="false">IF(Q669&gt;0,TRUNC(O669),0)</f>
        <v>0</v>
      </c>
      <c r="S669" s="5" t="n">
        <f aca="false">(M669*(D669-R669)+(Q669*R669))/D669</f>
        <v>800</v>
      </c>
      <c r="T669" s="6" t="n">
        <f aca="false">(Q669-M669)*R669*24/12.1/1000</f>
        <v>-0</v>
      </c>
    </row>
    <row r="670" customFormat="false" ht="14.35" hidden="false" customHeight="false" outlineLevel="0" collapsed="false">
      <c r="A670" s="4" t="n">
        <v>28125</v>
      </c>
      <c r="B670" s="15" t="n">
        <f aca="false">IF(C670&lt;=9,YEAR(A670),YEAR(A670)+1)</f>
        <v>1977</v>
      </c>
      <c r="C670" s="15" t="n">
        <f aca="false">MONTH(A670)</f>
        <v>12</v>
      </c>
      <c r="D670" s="15" t="n">
        <f aca="false">DAY(A670)</f>
        <v>31</v>
      </c>
      <c r="E670" s="15" t="n">
        <f aca="false">VLOOKUP(B670,WYT!$A$2:$L$97,12)</f>
        <v>0</v>
      </c>
      <c r="F670" s="15" t="n">
        <f aca="false">IF(C670=$W$5,1,0)</f>
        <v>0</v>
      </c>
      <c r="G670" s="15" t="n">
        <f aca="false">IF(C670=10,0,IF(F670=1,1,G669))</f>
        <v>0</v>
      </c>
      <c r="H670" s="5" t="n">
        <f aca="false">VA_base_426_data!B670</f>
        <v>1200</v>
      </c>
      <c r="I670" s="5" t="n">
        <f aca="false">IF(AND(E670=1,OR(C670=4,C670=5)),25*12.1/24/D670*1000,0)</f>
        <v>0</v>
      </c>
      <c r="J670" s="5" t="n">
        <f aca="false">VA_base_426_data!C670</f>
        <v>1200</v>
      </c>
      <c r="K670" s="5" t="n">
        <f aca="false">H670+I670-J670</f>
        <v>0</v>
      </c>
      <c r="L670" s="5" t="n">
        <f aca="false">MIN($W$7,J670+K670)</f>
        <v>1200</v>
      </c>
      <c r="M670" s="5" t="n">
        <f aca="false">VA_base_426_data!D670</f>
        <v>800</v>
      </c>
      <c r="N670" s="5" t="n">
        <f aca="false">IF(AND(C670=10,E670=1),$W$6,N669-P669)</f>
        <v>0</v>
      </c>
      <c r="O670" s="5" t="n">
        <f aca="false">IF(ABS(M670-L670)&gt;1,MIN(N670/((L670-M670)*24/12.1/1000),D670),D670)</f>
        <v>0</v>
      </c>
      <c r="P670" s="5" t="n">
        <f aca="false">MIN(IF(AND(G670,E670),(L670-M670)*24/12.1*O670/1000,0),N670)</f>
        <v>0</v>
      </c>
      <c r="Q670" s="5" t="n">
        <f aca="false">IF(P670&gt;0,P670/O670*12.1/24*1000+M670,0)</f>
        <v>0</v>
      </c>
      <c r="R670" s="0" t="n">
        <f aca="false">IF(Q670&gt;0,TRUNC(O670),0)</f>
        <v>0</v>
      </c>
      <c r="S670" s="5" t="n">
        <f aca="false">(M670*(D670-R670)+(Q670*R670))/D670</f>
        <v>800</v>
      </c>
      <c r="T670" s="6" t="n">
        <f aca="false">(Q670-M670)*R670*24/12.1/1000</f>
        <v>-0</v>
      </c>
    </row>
    <row r="671" customFormat="false" ht="14.35" hidden="false" customHeight="false" outlineLevel="0" collapsed="false">
      <c r="A671" s="4" t="n">
        <v>28156</v>
      </c>
      <c r="B671" s="15" t="n">
        <f aca="false">IF(C671&lt;=9,YEAR(A671),YEAR(A671)+1)</f>
        <v>1977</v>
      </c>
      <c r="C671" s="15" t="n">
        <f aca="false">MONTH(A671)</f>
        <v>1</v>
      </c>
      <c r="D671" s="15" t="n">
        <f aca="false">DAY(A671)</f>
        <v>31</v>
      </c>
      <c r="E671" s="15" t="n">
        <f aca="false">VLOOKUP(B671,WYT!$A$2:$L$97,12)</f>
        <v>0</v>
      </c>
      <c r="F671" s="15" t="n">
        <f aca="false">IF(C671=$W$5,1,0)</f>
        <v>0</v>
      </c>
      <c r="G671" s="15" t="n">
        <f aca="false">IF(C671=10,0,IF(F671=1,1,G670))</f>
        <v>0</v>
      </c>
      <c r="H671" s="5" t="n">
        <f aca="false">VA_base_426_data!B671</f>
        <v>1291.99925485868</v>
      </c>
      <c r="I671" s="5" t="n">
        <f aca="false">IF(AND(E671=1,OR(C671=4,C671=5)),25*12.1/24/D671*1000,0)</f>
        <v>0</v>
      </c>
      <c r="J671" s="5" t="n">
        <f aca="false">VA_base_426_data!C671</f>
        <v>1200</v>
      </c>
      <c r="K671" s="5" t="n">
        <f aca="false">H671+I671-J671</f>
        <v>91.9992548586836</v>
      </c>
      <c r="L671" s="5" t="n">
        <f aca="false">MIN($W$7,J671+K671)</f>
        <v>1291.99925485868</v>
      </c>
      <c r="M671" s="5" t="n">
        <f aca="false">VA_base_426_data!D671</f>
        <v>800</v>
      </c>
      <c r="N671" s="5" t="n">
        <f aca="false">IF(AND(C671=10,E671=1),$W$6,N670-P670)</f>
        <v>0</v>
      </c>
      <c r="O671" s="5" t="n">
        <f aca="false">IF(ABS(M671-L671)&gt;1,MIN(N671/((L671-M671)*24/12.1/1000),D671),D671)</f>
        <v>0</v>
      </c>
      <c r="P671" s="5" t="n">
        <f aca="false">MIN(IF(AND(G671,E671),(L671-M671)*24/12.1*O671/1000,0),N671)</f>
        <v>0</v>
      </c>
      <c r="Q671" s="5" t="n">
        <f aca="false">IF(P671&gt;0,P671/O671*12.1/24*1000+M671,0)</f>
        <v>0</v>
      </c>
      <c r="R671" s="0" t="n">
        <f aca="false">IF(Q671&gt;0,TRUNC(O671),0)</f>
        <v>0</v>
      </c>
      <c r="S671" s="5" t="n">
        <f aca="false">(M671*(D671-R671)+(Q671*R671))/D671</f>
        <v>800</v>
      </c>
      <c r="T671" s="6" t="n">
        <f aca="false">(Q671-M671)*R671*24/12.1/1000</f>
        <v>-0</v>
      </c>
    </row>
    <row r="672" customFormat="false" ht="14.35" hidden="false" customHeight="false" outlineLevel="0" collapsed="false">
      <c r="A672" s="4" t="n">
        <v>28184</v>
      </c>
      <c r="B672" s="15" t="n">
        <f aca="false">IF(C672&lt;=9,YEAR(A672),YEAR(A672)+1)</f>
        <v>1977</v>
      </c>
      <c r="C672" s="15" t="n">
        <f aca="false">MONTH(A672)</f>
        <v>2</v>
      </c>
      <c r="D672" s="15" t="n">
        <f aca="false">DAY(A672)</f>
        <v>28</v>
      </c>
      <c r="E672" s="15" t="n">
        <f aca="false">VLOOKUP(B672,WYT!$A$2:$L$97,12)</f>
        <v>0</v>
      </c>
      <c r="F672" s="15" t="n">
        <f aca="false">IF(C672=$W$5,1,0)</f>
        <v>1</v>
      </c>
      <c r="G672" s="15" t="n">
        <f aca="false">IF(C672=10,0,IF(F672=1,1,G671))</f>
        <v>1</v>
      </c>
      <c r="H672" s="5" t="n">
        <f aca="false">VA_base_426_data!B672</f>
        <v>1200</v>
      </c>
      <c r="I672" s="5" t="n">
        <f aca="false">IF(AND(E672=1,OR(C672=4,C672=5)),25*12.1/24/D672*1000,0)</f>
        <v>0</v>
      </c>
      <c r="J672" s="5" t="n">
        <f aca="false">VA_base_426_data!C672</f>
        <v>1200</v>
      </c>
      <c r="K672" s="5" t="n">
        <f aca="false">H672+I672-J672</f>
        <v>0</v>
      </c>
      <c r="L672" s="5" t="n">
        <f aca="false">MIN($W$7,J672+K672)</f>
        <v>1200</v>
      </c>
      <c r="M672" s="5" t="n">
        <f aca="false">VA_base_426_data!D672</f>
        <v>800</v>
      </c>
      <c r="N672" s="5" t="n">
        <f aca="false">IF(AND(C672=10,E672=1),$W$6,N671-P671)</f>
        <v>0</v>
      </c>
      <c r="O672" s="5" t="n">
        <f aca="false">IF(ABS(M672-L672)&gt;1,MIN(N672/((L672-M672)*24/12.1/1000),D672),D672)</f>
        <v>0</v>
      </c>
      <c r="P672" s="5" t="n">
        <f aca="false">MIN(IF(AND(G672,E672),(L672-M672)*24/12.1*O672/1000,0),N672)</f>
        <v>0</v>
      </c>
      <c r="Q672" s="5" t="n">
        <f aca="false">IF(P672&gt;0,P672/O672*12.1/24*1000+M672,0)</f>
        <v>0</v>
      </c>
      <c r="R672" s="0" t="n">
        <f aca="false">IF(Q672&gt;0,TRUNC(O672),0)</f>
        <v>0</v>
      </c>
      <c r="S672" s="5" t="n">
        <f aca="false">(M672*(D672-R672)+(Q672*R672))/D672</f>
        <v>800</v>
      </c>
      <c r="T672" s="6" t="n">
        <f aca="false">(Q672-M672)*R672*24/12.1/1000</f>
        <v>-0</v>
      </c>
    </row>
    <row r="673" customFormat="false" ht="14.35" hidden="false" customHeight="false" outlineLevel="0" collapsed="false">
      <c r="A673" s="4" t="n">
        <v>28215</v>
      </c>
      <c r="B673" s="15" t="n">
        <f aca="false">IF(C673&lt;=9,YEAR(A673),YEAR(A673)+1)</f>
        <v>1977</v>
      </c>
      <c r="C673" s="15" t="n">
        <f aca="false">MONTH(A673)</f>
        <v>3</v>
      </c>
      <c r="D673" s="15" t="n">
        <f aca="false">DAY(A673)</f>
        <v>31</v>
      </c>
      <c r="E673" s="15" t="n">
        <f aca="false">VLOOKUP(B673,WYT!$A$2:$L$97,12)</f>
        <v>0</v>
      </c>
      <c r="F673" s="15" t="n">
        <f aca="false">IF(C673=$W$5,1,0)</f>
        <v>0</v>
      </c>
      <c r="G673" s="15" t="n">
        <f aca="false">IF(C673=10,0,IF(F673=1,1,G672))</f>
        <v>1</v>
      </c>
      <c r="H673" s="5" t="n">
        <f aca="false">VA_base_426_data!B673</f>
        <v>1000</v>
      </c>
      <c r="I673" s="5" t="n">
        <f aca="false">IF(AND(E673=1,OR(C673=4,C673=5)),25*12.1/24/D673*1000,0)</f>
        <v>0</v>
      </c>
      <c r="J673" s="5" t="n">
        <f aca="false">VA_base_426_data!C673</f>
        <v>1000</v>
      </c>
      <c r="K673" s="5" t="n">
        <f aca="false">H673+I673-J673</f>
        <v>0</v>
      </c>
      <c r="L673" s="5" t="n">
        <f aca="false">MIN($W$7,J673+K673)</f>
        <v>1000</v>
      </c>
      <c r="M673" s="5" t="n">
        <f aca="false">VA_base_426_data!D673</f>
        <v>800</v>
      </c>
      <c r="N673" s="5" t="n">
        <f aca="false">IF(AND(C673=10,E673=1),$W$6,N672-P672)</f>
        <v>0</v>
      </c>
      <c r="O673" s="5" t="n">
        <f aca="false">IF(ABS(M673-L673)&gt;1,MIN(N673/((L673-M673)*24/12.1/1000),D673),D673)</f>
        <v>0</v>
      </c>
      <c r="P673" s="5" t="n">
        <f aca="false">MIN(IF(AND(G673,E673),(L673-M673)*24/12.1*O673/1000,0),N673)</f>
        <v>0</v>
      </c>
      <c r="Q673" s="5" t="n">
        <f aca="false">IF(P673&gt;0,P673/O673*12.1/24*1000+M673,0)</f>
        <v>0</v>
      </c>
      <c r="R673" s="0" t="n">
        <f aca="false">IF(Q673&gt;0,TRUNC(O673),0)</f>
        <v>0</v>
      </c>
      <c r="S673" s="5" t="n">
        <f aca="false">(M673*(D673-R673)+(Q673*R673))/D673</f>
        <v>800</v>
      </c>
      <c r="T673" s="6" t="n">
        <f aca="false">(Q673-M673)*R673*24/12.1/1000</f>
        <v>-0</v>
      </c>
    </row>
    <row r="674" customFormat="false" ht="14.35" hidden="false" customHeight="false" outlineLevel="0" collapsed="false">
      <c r="A674" s="4" t="n">
        <v>28245</v>
      </c>
      <c r="B674" s="15" t="n">
        <f aca="false">IF(C674&lt;=9,YEAR(A674),YEAR(A674)+1)</f>
        <v>1977</v>
      </c>
      <c r="C674" s="15" t="n">
        <f aca="false">MONTH(A674)</f>
        <v>4</v>
      </c>
      <c r="D674" s="15" t="n">
        <f aca="false">DAY(A674)</f>
        <v>30</v>
      </c>
      <c r="E674" s="15" t="n">
        <f aca="false">VLOOKUP(B674,WYT!$A$2:$L$97,12)</f>
        <v>0</v>
      </c>
      <c r="F674" s="15" t="n">
        <f aca="false">IF(C674=$W$5,1,0)</f>
        <v>0</v>
      </c>
      <c r="G674" s="15" t="n">
        <f aca="false">IF(C674=10,0,IF(F674=1,1,G673))</f>
        <v>1</v>
      </c>
      <c r="H674" s="5" t="n">
        <f aca="false">VA_base_426_data!B674</f>
        <v>1238.07628238668</v>
      </c>
      <c r="I674" s="5" t="n">
        <f aca="false">IF(AND(E674=1,OR(C674=4,C674=5)),25*12.1/24/D674*1000,0)</f>
        <v>0</v>
      </c>
      <c r="J674" s="5" t="n">
        <f aca="false">VA_base_426_data!C674</f>
        <v>750</v>
      </c>
      <c r="K674" s="5" t="n">
        <f aca="false">H674+I674-J674</f>
        <v>488.076282386675</v>
      </c>
      <c r="L674" s="5" t="n">
        <f aca="false">MIN($W$7,J674+K674)</f>
        <v>1238.07628238668</v>
      </c>
      <c r="M674" s="5" t="n">
        <f aca="false">VA_base_426_data!D674</f>
        <v>700</v>
      </c>
      <c r="N674" s="5" t="n">
        <f aca="false">IF(AND(C674=10,E674=1),$W$6,N673-P673)</f>
        <v>0</v>
      </c>
      <c r="O674" s="5" t="n">
        <f aca="false">IF(ABS(M674-L674)&gt;1,MIN(N674/((L674-M674)*24/12.1/1000),D674),D674)</f>
        <v>0</v>
      </c>
      <c r="P674" s="5" t="n">
        <f aca="false">MIN(IF(AND(G674,E674),(L674-M674)*24/12.1*O674/1000,0),N674)</f>
        <v>0</v>
      </c>
      <c r="Q674" s="5" t="n">
        <f aca="false">IF(P674&gt;0,P674/O674*12.1/24*1000+M674,0)</f>
        <v>0</v>
      </c>
      <c r="R674" s="0" t="n">
        <f aca="false">IF(Q674&gt;0,TRUNC(O674),0)</f>
        <v>0</v>
      </c>
      <c r="S674" s="5" t="n">
        <f aca="false">(M674*(D674-R674)+(Q674*R674))/D674</f>
        <v>700</v>
      </c>
      <c r="T674" s="6" t="n">
        <f aca="false">(Q674-M674)*R674*24/12.1/1000</f>
        <v>-0</v>
      </c>
    </row>
    <row r="675" customFormat="false" ht="14.35" hidden="false" customHeight="false" outlineLevel="0" collapsed="false">
      <c r="A675" s="4" t="n">
        <v>28276</v>
      </c>
      <c r="B675" s="15" t="n">
        <f aca="false">IF(C675&lt;=9,YEAR(A675),YEAR(A675)+1)</f>
        <v>1977</v>
      </c>
      <c r="C675" s="15" t="n">
        <f aca="false">MONTH(A675)</f>
        <v>5</v>
      </c>
      <c r="D675" s="15" t="n">
        <f aca="false">DAY(A675)</f>
        <v>31</v>
      </c>
      <c r="E675" s="15" t="n">
        <f aca="false">VLOOKUP(B675,WYT!$A$2:$L$97,12)</f>
        <v>0</v>
      </c>
      <c r="F675" s="15" t="n">
        <f aca="false">IF(C675=$W$5,1,0)</f>
        <v>0</v>
      </c>
      <c r="G675" s="15" t="n">
        <f aca="false">IF(C675=10,0,IF(F675=1,1,G674))</f>
        <v>1</v>
      </c>
      <c r="H675" s="5" t="n">
        <f aca="false">VA_base_426_data!B675</f>
        <v>776.030854088971</v>
      </c>
      <c r="I675" s="5" t="n">
        <f aca="false">IF(AND(E675=1,OR(C675=4,C675=5)),25*12.1/24/D675*1000,0)</f>
        <v>0</v>
      </c>
      <c r="J675" s="5" t="n">
        <f aca="false">VA_base_426_data!C675</f>
        <v>750</v>
      </c>
      <c r="K675" s="5" t="n">
        <f aca="false">H675+I675-J675</f>
        <v>26.0308540889708</v>
      </c>
      <c r="L675" s="5" t="n">
        <f aca="false">MIN($W$7,J675+K675)</f>
        <v>776.030854088971</v>
      </c>
      <c r="M675" s="5" t="n">
        <f aca="false">VA_base_426_data!D675</f>
        <v>700</v>
      </c>
      <c r="N675" s="5" t="n">
        <f aca="false">IF(AND(C675=10,E675=1),$W$6,N674-P674)</f>
        <v>0</v>
      </c>
      <c r="O675" s="5" t="n">
        <f aca="false">IF(ABS(M675-L675)&gt;1,MIN(N675/((L675-M675)*24/12.1/1000),D675),D675)</f>
        <v>0</v>
      </c>
      <c r="P675" s="5" t="n">
        <f aca="false">MIN(IF(AND(G675,E675),(L675-M675)*24/12.1*O675/1000,0),N675)</f>
        <v>0</v>
      </c>
      <c r="Q675" s="5" t="n">
        <f aca="false">IF(P675&gt;0,P675/O675*12.1/24*1000+M675,0)</f>
        <v>0</v>
      </c>
      <c r="R675" s="0" t="n">
        <f aca="false">IF(Q675&gt;0,TRUNC(O675),0)</f>
        <v>0</v>
      </c>
      <c r="S675" s="5" t="n">
        <f aca="false">(M675*(D675-R675)+(Q675*R675))/D675</f>
        <v>700</v>
      </c>
      <c r="T675" s="6" t="n">
        <f aca="false">(Q675-M675)*R675*24/12.1/1000</f>
        <v>-0</v>
      </c>
    </row>
    <row r="676" customFormat="false" ht="14.35" hidden="false" customHeight="false" outlineLevel="0" collapsed="false">
      <c r="A676" s="4" t="n">
        <v>28306</v>
      </c>
      <c r="B676" s="15" t="n">
        <f aca="false">IF(C676&lt;=9,YEAR(A676),YEAR(A676)+1)</f>
        <v>1977</v>
      </c>
      <c r="C676" s="15" t="n">
        <f aca="false">MONTH(A676)</f>
        <v>6</v>
      </c>
      <c r="D676" s="15" t="n">
        <f aca="false">DAY(A676)</f>
        <v>30</v>
      </c>
      <c r="E676" s="15" t="n">
        <f aca="false">VLOOKUP(B676,WYT!$A$2:$L$97,12)</f>
        <v>0</v>
      </c>
      <c r="F676" s="15" t="n">
        <f aca="false">IF(C676=$W$5,1,0)</f>
        <v>0</v>
      </c>
      <c r="G676" s="15" t="n">
        <f aca="false">IF(C676=10,0,IF(F676=1,1,G675))</f>
        <v>1</v>
      </c>
      <c r="H676" s="5" t="n">
        <f aca="false">VA_base_426_data!B676</f>
        <v>2204.45501119461</v>
      </c>
      <c r="I676" s="5" t="n">
        <f aca="false">IF(AND(E676=1,OR(C676=4,C676=5)),25*12.1/24/D676*1000,0)</f>
        <v>0</v>
      </c>
      <c r="J676" s="5" t="n">
        <f aca="false">VA_base_426_data!C676</f>
        <v>750</v>
      </c>
      <c r="K676" s="5" t="n">
        <f aca="false">H676+I676-J676</f>
        <v>1454.45501119461</v>
      </c>
      <c r="L676" s="5" t="n">
        <f aca="false">MIN($W$7,J676+K676)</f>
        <v>2000</v>
      </c>
      <c r="M676" s="5" t="n">
        <f aca="false">VA_base_426_data!D676</f>
        <v>700</v>
      </c>
      <c r="N676" s="5" t="n">
        <f aca="false">IF(AND(C676=10,E676=1),$W$6,N675-P675)</f>
        <v>0</v>
      </c>
      <c r="O676" s="5" t="n">
        <f aca="false">IF(ABS(M676-L676)&gt;1,MIN(N676/((L676-M676)*24/12.1/1000),D676),D676)</f>
        <v>0</v>
      </c>
      <c r="P676" s="5" t="n">
        <f aca="false">MIN(IF(AND(G676,E676),(L676-M676)*24/12.1*O676/1000,0),N676)</f>
        <v>0</v>
      </c>
      <c r="Q676" s="5" t="n">
        <f aca="false">IF(P676&gt;0,P676/O676*12.1/24*1000+M676,0)</f>
        <v>0</v>
      </c>
      <c r="R676" s="0" t="n">
        <f aca="false">IF(Q676&gt;0,TRUNC(O676),0)</f>
        <v>0</v>
      </c>
      <c r="S676" s="5" t="n">
        <f aca="false">(M676*(D676-R676)+(Q676*R676))/D676</f>
        <v>700</v>
      </c>
      <c r="T676" s="6" t="n">
        <f aca="false">(Q676-M676)*R676*24/12.1/1000</f>
        <v>-0</v>
      </c>
    </row>
    <row r="677" customFormat="false" ht="14.35" hidden="false" customHeight="false" outlineLevel="0" collapsed="false">
      <c r="A677" s="4" t="n">
        <v>28337</v>
      </c>
      <c r="B677" s="15" t="n">
        <f aca="false">IF(C677&lt;=9,YEAR(A677),YEAR(A677)+1)</f>
        <v>1977</v>
      </c>
      <c r="C677" s="15" t="n">
        <f aca="false">MONTH(A677)</f>
        <v>7</v>
      </c>
      <c r="D677" s="15" t="n">
        <f aca="false">DAY(A677)</f>
        <v>31</v>
      </c>
      <c r="E677" s="15" t="n">
        <f aca="false">VLOOKUP(B677,WYT!$A$2:$L$97,12)</f>
        <v>0</v>
      </c>
      <c r="F677" s="15" t="n">
        <f aca="false">IF(C677=$W$5,1,0)</f>
        <v>0</v>
      </c>
      <c r="G677" s="15" t="n">
        <f aca="false">IF(C677=10,0,IF(F677=1,1,G676))</f>
        <v>1</v>
      </c>
      <c r="H677" s="5" t="n">
        <f aca="false">VA_base_426_data!B677</f>
        <v>2263.03767867637</v>
      </c>
      <c r="I677" s="5" t="n">
        <f aca="false">IF(AND(E677=1,OR(C677=4,C677=5)),25*12.1/24/D677*1000,0)</f>
        <v>0</v>
      </c>
      <c r="J677" s="5" t="n">
        <f aca="false">VA_base_426_data!C677</f>
        <v>750</v>
      </c>
      <c r="K677" s="5" t="n">
        <f aca="false">H677+I677-J677</f>
        <v>1513.03767867637</v>
      </c>
      <c r="L677" s="5" t="n">
        <f aca="false">MIN($W$7,J677+K677)</f>
        <v>2000</v>
      </c>
      <c r="M677" s="5" t="n">
        <f aca="false">VA_base_426_data!D677</f>
        <v>700</v>
      </c>
      <c r="N677" s="5" t="n">
        <f aca="false">IF(AND(C677=10,E677=1),$W$6,N676-P676)</f>
        <v>0</v>
      </c>
      <c r="O677" s="5" t="n">
        <f aca="false">IF(ABS(M677-L677)&gt;1,MIN(N677/((L677-M677)*24/12.1/1000),D677),D677)</f>
        <v>0</v>
      </c>
      <c r="P677" s="5" t="n">
        <f aca="false">MIN(IF(AND(G677,E677),(L677-M677)*24/12.1*O677/1000,0),N677)</f>
        <v>0</v>
      </c>
      <c r="Q677" s="5" t="n">
        <f aca="false">IF(P677&gt;0,P677/O677*12.1/24*1000+M677,0)</f>
        <v>0</v>
      </c>
      <c r="R677" s="0" t="n">
        <f aca="false">IF(Q677&gt;0,TRUNC(O677),0)</f>
        <v>0</v>
      </c>
      <c r="S677" s="5" t="n">
        <f aca="false">(M677*(D677-R677)+(Q677*R677))/D677</f>
        <v>700</v>
      </c>
      <c r="T677" s="6" t="n">
        <f aca="false">(Q677-M677)*R677*24/12.1/1000</f>
        <v>-0</v>
      </c>
    </row>
    <row r="678" customFormat="false" ht="14.35" hidden="false" customHeight="false" outlineLevel="0" collapsed="false">
      <c r="A678" s="4" t="n">
        <v>28368</v>
      </c>
      <c r="B678" s="15" t="n">
        <f aca="false">IF(C678&lt;=9,YEAR(A678),YEAR(A678)+1)</f>
        <v>1977</v>
      </c>
      <c r="C678" s="15" t="n">
        <f aca="false">MONTH(A678)</f>
        <v>8</v>
      </c>
      <c r="D678" s="15" t="n">
        <f aca="false">DAY(A678)</f>
        <v>31</v>
      </c>
      <c r="E678" s="15" t="n">
        <f aca="false">VLOOKUP(B678,WYT!$A$2:$L$97,12)</f>
        <v>0</v>
      </c>
      <c r="F678" s="15" t="n">
        <f aca="false">IF(C678=$W$5,1,0)</f>
        <v>0</v>
      </c>
      <c r="G678" s="15" t="n">
        <f aca="false">IF(C678=10,0,IF(F678=1,1,G677))</f>
        <v>1</v>
      </c>
      <c r="H678" s="5" t="n">
        <f aca="false">VA_base_426_data!B678</f>
        <v>2664.65116612333</v>
      </c>
      <c r="I678" s="5" t="n">
        <f aca="false">IF(AND(E678=1,OR(C678=4,C678=5)),25*12.1/24/D678*1000,0)</f>
        <v>0</v>
      </c>
      <c r="J678" s="5" t="n">
        <f aca="false">VA_base_426_data!C678</f>
        <v>750</v>
      </c>
      <c r="K678" s="5" t="n">
        <f aca="false">H678+I678-J678</f>
        <v>1914.65116612333</v>
      </c>
      <c r="L678" s="5" t="n">
        <f aca="false">MIN($W$7,J678+K678)</f>
        <v>2000</v>
      </c>
      <c r="M678" s="5" t="n">
        <f aca="false">VA_base_426_data!D678</f>
        <v>700</v>
      </c>
      <c r="N678" s="5" t="n">
        <f aca="false">IF(AND(C678=10,E678=1),$W$6,N677-P677)</f>
        <v>0</v>
      </c>
      <c r="O678" s="5" t="n">
        <f aca="false">IF(ABS(M678-L678)&gt;1,MIN(N678/((L678-M678)*24/12.1/1000),D678),D678)</f>
        <v>0</v>
      </c>
      <c r="P678" s="5" t="n">
        <f aca="false">MIN(IF(AND(G678,E678),(L678-M678)*24/12.1*O678/1000,0),N678)</f>
        <v>0</v>
      </c>
      <c r="Q678" s="5" t="n">
        <f aca="false">IF(P678&gt;0,P678/O678*12.1/24*1000+M678,0)</f>
        <v>0</v>
      </c>
      <c r="R678" s="0" t="n">
        <f aca="false">IF(Q678&gt;0,TRUNC(O678),0)</f>
        <v>0</v>
      </c>
      <c r="S678" s="5" t="n">
        <f aca="false">(M678*(D678-R678)+(Q678*R678))/D678</f>
        <v>700</v>
      </c>
      <c r="T678" s="6" t="n">
        <f aca="false">(Q678-M678)*R678*24/12.1/1000</f>
        <v>-0</v>
      </c>
    </row>
    <row r="679" customFormat="false" ht="14.35" hidden="false" customHeight="false" outlineLevel="0" collapsed="false">
      <c r="A679" s="4" t="n">
        <v>28398</v>
      </c>
      <c r="B679" s="15" t="n">
        <f aca="false">IF(C679&lt;=9,YEAR(A679),YEAR(A679)+1)</f>
        <v>1977</v>
      </c>
      <c r="C679" s="15" t="n">
        <f aca="false">MONTH(A679)</f>
        <v>9</v>
      </c>
      <c r="D679" s="15" t="n">
        <f aca="false">DAY(A679)</f>
        <v>30</v>
      </c>
      <c r="E679" s="15" t="n">
        <f aca="false">VLOOKUP(B679,WYT!$A$2:$L$97,12)</f>
        <v>0</v>
      </c>
      <c r="F679" s="15" t="n">
        <f aca="false">IF(C679=$W$5,1,0)</f>
        <v>0</v>
      </c>
      <c r="G679" s="15" t="n">
        <f aca="false">IF(C679=10,0,IF(F679=1,1,G678))</f>
        <v>1</v>
      </c>
      <c r="H679" s="5" t="n">
        <f aca="false">VA_base_426_data!B679</f>
        <v>1655.12469310436</v>
      </c>
      <c r="I679" s="5" t="n">
        <f aca="false">IF(AND(E679=1,OR(C679=4,C679=5)),25*12.1/24/D679*1000,0)</f>
        <v>0</v>
      </c>
      <c r="J679" s="5" t="n">
        <f aca="false">VA_base_426_data!C679</f>
        <v>750</v>
      </c>
      <c r="K679" s="5" t="n">
        <f aca="false">H679+I679-J679</f>
        <v>905.124693104363</v>
      </c>
      <c r="L679" s="5" t="n">
        <f aca="false">MIN($W$7,J679+K679)</f>
        <v>1655.12469310436</v>
      </c>
      <c r="M679" s="5" t="n">
        <f aca="false">VA_base_426_data!D679</f>
        <v>773.3333333</v>
      </c>
      <c r="N679" s="5" t="n">
        <f aca="false">IF(AND(C679=10,E679=1),$W$6,N678-P678)</f>
        <v>0</v>
      </c>
      <c r="O679" s="5" t="n">
        <f aca="false">IF(ABS(M679-L679)&gt;1,MIN(N679/((L679-M679)*24/12.1/1000),D679),D679)</f>
        <v>0</v>
      </c>
      <c r="P679" s="5" t="n">
        <f aca="false">MIN(IF(AND(G679,E679),(L679-M679)*24/12.1*O679/1000,0),N679)</f>
        <v>0</v>
      </c>
      <c r="Q679" s="5" t="n">
        <f aca="false">IF(P679&gt;0,P679/O679*12.1/24*1000+M679,0)</f>
        <v>0</v>
      </c>
      <c r="R679" s="0" t="n">
        <f aca="false">IF(Q679&gt;0,TRUNC(O679),0)</f>
        <v>0</v>
      </c>
      <c r="S679" s="5" t="n">
        <f aca="false">(M679*(D679-R679)+(Q679*R679))/D679</f>
        <v>773.3333333</v>
      </c>
      <c r="T679" s="6" t="n">
        <f aca="false">(Q679-M679)*R679*24/12.1/1000</f>
        <v>-0</v>
      </c>
    </row>
    <row r="680" customFormat="false" ht="14.35" hidden="false" customHeight="false" outlineLevel="0" collapsed="false">
      <c r="A680" s="4" t="n">
        <v>28429</v>
      </c>
      <c r="B680" s="15" t="n">
        <f aca="false">IF(C680&lt;=9,YEAR(A680),YEAR(A680)+1)</f>
        <v>1978</v>
      </c>
      <c r="C680" s="15" t="n">
        <f aca="false">MONTH(A680)</f>
        <v>10</v>
      </c>
      <c r="D680" s="15" t="n">
        <f aca="false">DAY(A680)</f>
        <v>31</v>
      </c>
      <c r="E680" s="15" t="n">
        <f aca="false">VLOOKUP(B680,WYT!$A$2:$L$97,12)</f>
        <v>1</v>
      </c>
      <c r="F680" s="15" t="n">
        <f aca="false">IF(C680=$W$5,1,0)</f>
        <v>0</v>
      </c>
      <c r="G680" s="15" t="n">
        <f aca="false">IF(C680=10,0,IF(F680=1,1,G679))</f>
        <v>0</v>
      </c>
      <c r="H680" s="5" t="n">
        <f aca="false">VA_base_426_data!B680</f>
        <v>2058.12596611901</v>
      </c>
      <c r="I680" s="5" t="n">
        <f aca="false">IF(AND(E680=1,OR(C680=4,C680=5)),25*12.1/24/D680*1000,0)</f>
        <v>0</v>
      </c>
      <c r="J680" s="5" t="n">
        <f aca="false">VA_base_426_data!C680</f>
        <v>900</v>
      </c>
      <c r="K680" s="5" t="n">
        <f aca="false">H680+I680-J680</f>
        <v>1158.12596611901</v>
      </c>
      <c r="L680" s="5" t="n">
        <f aca="false">MIN($W$7,J680+K680)</f>
        <v>2000</v>
      </c>
      <c r="M680" s="5" t="n">
        <f aca="false">VA_base_426_data!D680</f>
        <v>800</v>
      </c>
      <c r="N680" s="5" t="n">
        <f aca="false">IF(AND(C680=10,E680=1),$W$6,N679-P679)</f>
        <v>43</v>
      </c>
      <c r="O680" s="5" t="n">
        <f aca="false">IF(ABS(M680-L680)&gt;1,MIN(N680/((L680-M680)*24/12.1/1000),D680),D680)</f>
        <v>18.0659722222222</v>
      </c>
      <c r="P680" s="5" t="n">
        <f aca="false">MIN(IF(AND(G680,E680),(L680-M680)*24/12.1*O680/1000,0),N680)</f>
        <v>0</v>
      </c>
      <c r="Q680" s="5" t="n">
        <f aca="false">IF(P680&gt;0,P680/O680*12.1/24*1000+M680,0)</f>
        <v>0</v>
      </c>
      <c r="R680" s="0" t="n">
        <f aca="false">IF(Q680&gt;0,TRUNC(O680),0)</f>
        <v>0</v>
      </c>
      <c r="S680" s="5" t="n">
        <f aca="false">(M680*(D680-R680)+(Q680*R680))/D680</f>
        <v>800</v>
      </c>
      <c r="T680" s="6" t="n">
        <f aca="false">(Q680-M680)*R680*24/12.1/1000</f>
        <v>-0</v>
      </c>
    </row>
    <row r="681" customFormat="false" ht="14.35" hidden="false" customHeight="false" outlineLevel="0" collapsed="false">
      <c r="A681" s="4" t="n">
        <v>28459</v>
      </c>
      <c r="B681" s="15" t="n">
        <f aca="false">IF(C681&lt;=9,YEAR(A681),YEAR(A681)+1)</f>
        <v>1978</v>
      </c>
      <c r="C681" s="15" t="n">
        <f aca="false">MONTH(A681)</f>
        <v>11</v>
      </c>
      <c r="D681" s="15" t="n">
        <f aca="false">DAY(A681)</f>
        <v>30</v>
      </c>
      <c r="E681" s="15" t="n">
        <f aca="false">VLOOKUP(B681,WYT!$A$2:$L$97,12)</f>
        <v>1</v>
      </c>
      <c r="F681" s="15" t="n">
        <f aca="false">IF(C681=$W$5,1,0)</f>
        <v>0</v>
      </c>
      <c r="G681" s="15" t="n">
        <f aca="false">IF(C681=10,0,IF(F681=1,1,G680))</f>
        <v>0</v>
      </c>
      <c r="H681" s="5" t="n">
        <f aca="false">VA_base_426_data!B681</f>
        <v>900</v>
      </c>
      <c r="I681" s="5" t="n">
        <f aca="false">IF(AND(E681=1,OR(C681=4,C681=5)),25*12.1/24/D681*1000,0)</f>
        <v>0</v>
      </c>
      <c r="J681" s="5" t="n">
        <f aca="false">VA_base_426_data!C681</f>
        <v>900</v>
      </c>
      <c r="K681" s="5" t="n">
        <f aca="false">H681+I681-J681</f>
        <v>0</v>
      </c>
      <c r="L681" s="5" t="n">
        <f aca="false">MIN($W$7,J681+K681)</f>
        <v>900</v>
      </c>
      <c r="M681" s="5" t="n">
        <f aca="false">VA_base_426_data!D681</f>
        <v>800</v>
      </c>
      <c r="N681" s="5" t="n">
        <f aca="false">IF(AND(C681=10,E681=1),$W$6,N680-P680)</f>
        <v>43</v>
      </c>
      <c r="O681" s="5" t="n">
        <f aca="false">IF(ABS(M681-L681)&gt;1,MIN(N681/((L681-M681)*24/12.1/1000),D681),D681)</f>
        <v>30</v>
      </c>
      <c r="P681" s="5" t="n">
        <f aca="false">MIN(IF(AND(G681,E681),(L681-M681)*24/12.1*O681/1000,0),N681)</f>
        <v>0</v>
      </c>
      <c r="Q681" s="5" t="n">
        <f aca="false">IF(P681&gt;0,P681/O681*12.1/24*1000+M681,0)</f>
        <v>0</v>
      </c>
      <c r="R681" s="0" t="n">
        <f aca="false">IF(Q681&gt;0,TRUNC(O681),0)</f>
        <v>0</v>
      </c>
      <c r="S681" s="5" t="n">
        <f aca="false">(M681*(D681-R681)+(Q681*R681))/D681</f>
        <v>800</v>
      </c>
      <c r="T681" s="6" t="n">
        <f aca="false">(Q681-M681)*R681*24/12.1/1000</f>
        <v>-0</v>
      </c>
    </row>
    <row r="682" customFormat="false" ht="14.35" hidden="false" customHeight="false" outlineLevel="0" collapsed="false">
      <c r="A682" s="4" t="n">
        <v>28490</v>
      </c>
      <c r="B682" s="15" t="n">
        <f aca="false">IF(C682&lt;=9,YEAR(A682),YEAR(A682)+1)</f>
        <v>1978</v>
      </c>
      <c r="C682" s="15" t="n">
        <f aca="false">MONTH(A682)</f>
        <v>12</v>
      </c>
      <c r="D682" s="15" t="n">
        <f aca="false">DAY(A682)</f>
        <v>31</v>
      </c>
      <c r="E682" s="15" t="n">
        <f aca="false">VLOOKUP(B682,WYT!$A$2:$L$97,12)</f>
        <v>1</v>
      </c>
      <c r="F682" s="15" t="n">
        <f aca="false">IF(C682=$W$5,1,0)</f>
        <v>0</v>
      </c>
      <c r="G682" s="15" t="n">
        <f aca="false">IF(C682=10,0,IF(F682=1,1,G681))</f>
        <v>0</v>
      </c>
      <c r="H682" s="5" t="n">
        <f aca="false">VA_base_426_data!B682</f>
        <v>900</v>
      </c>
      <c r="I682" s="5" t="n">
        <f aca="false">IF(AND(E682=1,OR(C682=4,C682=5)),25*12.1/24/D682*1000,0)</f>
        <v>0</v>
      </c>
      <c r="J682" s="5" t="n">
        <f aca="false">VA_base_426_data!C682</f>
        <v>900</v>
      </c>
      <c r="K682" s="5" t="n">
        <f aca="false">H682+I682-J682</f>
        <v>0</v>
      </c>
      <c r="L682" s="5" t="n">
        <f aca="false">MIN($W$7,J682+K682)</f>
        <v>900</v>
      </c>
      <c r="M682" s="5" t="n">
        <f aca="false">VA_base_426_data!D682</f>
        <v>800</v>
      </c>
      <c r="N682" s="5" t="n">
        <f aca="false">IF(AND(C682=10,E682=1),$W$6,N681-P681)</f>
        <v>43</v>
      </c>
      <c r="O682" s="5" t="n">
        <f aca="false">IF(ABS(M682-L682)&gt;1,MIN(N682/((L682-M682)*24/12.1/1000),D682),D682)</f>
        <v>31</v>
      </c>
      <c r="P682" s="5" t="n">
        <f aca="false">MIN(IF(AND(G682,E682),(L682-M682)*24/12.1*O682/1000,0),N682)</f>
        <v>0</v>
      </c>
      <c r="Q682" s="5" t="n">
        <f aca="false">IF(P682&gt;0,P682/O682*12.1/24*1000+M682,0)</f>
        <v>0</v>
      </c>
      <c r="R682" s="0" t="n">
        <f aca="false">IF(Q682&gt;0,TRUNC(O682),0)</f>
        <v>0</v>
      </c>
      <c r="S682" s="5" t="n">
        <f aca="false">(M682*(D682-R682)+(Q682*R682))/D682</f>
        <v>800</v>
      </c>
      <c r="T682" s="6" t="n">
        <f aca="false">(Q682-M682)*R682*24/12.1/1000</f>
        <v>-0</v>
      </c>
    </row>
    <row r="683" customFormat="false" ht="14.35" hidden="false" customHeight="false" outlineLevel="0" collapsed="false">
      <c r="A683" s="4" t="n">
        <v>28521</v>
      </c>
      <c r="B683" s="15" t="n">
        <f aca="false">IF(C683&lt;=9,YEAR(A683),YEAR(A683)+1)</f>
        <v>1978</v>
      </c>
      <c r="C683" s="15" t="n">
        <f aca="false">MONTH(A683)</f>
        <v>1</v>
      </c>
      <c r="D683" s="15" t="n">
        <f aca="false">DAY(A683)</f>
        <v>31</v>
      </c>
      <c r="E683" s="15" t="n">
        <f aca="false">VLOOKUP(B683,WYT!$A$2:$L$97,12)</f>
        <v>1</v>
      </c>
      <c r="F683" s="15" t="n">
        <f aca="false">IF(C683=$W$5,1,0)</f>
        <v>0</v>
      </c>
      <c r="G683" s="15" t="n">
        <f aca="false">IF(C683=10,0,IF(F683=1,1,G682))</f>
        <v>0</v>
      </c>
      <c r="H683" s="5" t="n">
        <f aca="false">VA_base_426_data!B683</f>
        <v>900</v>
      </c>
      <c r="I683" s="5" t="n">
        <f aca="false">IF(AND(E683=1,OR(C683=4,C683=5)),25*12.1/24/D683*1000,0)</f>
        <v>0</v>
      </c>
      <c r="J683" s="5" t="n">
        <f aca="false">VA_base_426_data!C683</f>
        <v>900</v>
      </c>
      <c r="K683" s="5" t="n">
        <f aca="false">H683+I683-J683</f>
        <v>0</v>
      </c>
      <c r="L683" s="5" t="n">
        <f aca="false">MIN($W$7,J683+K683)</f>
        <v>900</v>
      </c>
      <c r="M683" s="5" t="n">
        <f aca="false">VA_base_426_data!D683</f>
        <v>800</v>
      </c>
      <c r="N683" s="5" t="n">
        <f aca="false">IF(AND(C683=10,E683=1),$W$6,N682-P682)</f>
        <v>43</v>
      </c>
      <c r="O683" s="5" t="n">
        <f aca="false">IF(ABS(M683-L683)&gt;1,MIN(N683/((L683-M683)*24/12.1/1000),D683),D683)</f>
        <v>31</v>
      </c>
      <c r="P683" s="5" t="n">
        <f aca="false">MIN(IF(AND(G683,E683),(L683-M683)*24/12.1*O683/1000,0),N683)</f>
        <v>0</v>
      </c>
      <c r="Q683" s="5" t="n">
        <f aca="false">IF(P683&gt;0,P683/O683*12.1/24*1000+M683,0)</f>
        <v>0</v>
      </c>
      <c r="R683" s="0" t="n">
        <f aca="false">IF(Q683&gt;0,TRUNC(O683),0)</f>
        <v>0</v>
      </c>
      <c r="S683" s="5" t="n">
        <f aca="false">(M683*(D683-R683)+(Q683*R683))/D683</f>
        <v>800</v>
      </c>
      <c r="T683" s="6" t="n">
        <f aca="false">(Q683-M683)*R683*24/12.1/1000</f>
        <v>-0</v>
      </c>
    </row>
    <row r="684" customFormat="false" ht="14.35" hidden="false" customHeight="false" outlineLevel="0" collapsed="false">
      <c r="A684" s="4" t="n">
        <v>28549</v>
      </c>
      <c r="B684" s="15" t="n">
        <f aca="false">IF(C684&lt;=9,YEAR(A684),YEAR(A684)+1)</f>
        <v>1978</v>
      </c>
      <c r="C684" s="15" t="n">
        <f aca="false">MONTH(A684)</f>
        <v>2</v>
      </c>
      <c r="D684" s="15" t="n">
        <f aca="false">DAY(A684)</f>
        <v>28</v>
      </c>
      <c r="E684" s="15" t="n">
        <f aca="false">VLOOKUP(B684,WYT!$A$2:$L$97,12)</f>
        <v>1</v>
      </c>
      <c r="F684" s="15" t="n">
        <f aca="false">IF(C684=$W$5,1,0)</f>
        <v>1</v>
      </c>
      <c r="G684" s="15" t="n">
        <f aca="false">IF(C684=10,0,IF(F684=1,1,G683))</f>
        <v>1</v>
      </c>
      <c r="H684" s="5" t="n">
        <f aca="false">VA_base_426_data!B684</f>
        <v>900</v>
      </c>
      <c r="I684" s="5" t="n">
        <f aca="false">IF(AND(E684=1,OR(C684=4,C684=5)),25*12.1/24/D684*1000,0)</f>
        <v>0</v>
      </c>
      <c r="J684" s="5" t="n">
        <f aca="false">VA_base_426_data!C684</f>
        <v>900</v>
      </c>
      <c r="K684" s="5" t="n">
        <f aca="false">H684+I684-J684</f>
        <v>0</v>
      </c>
      <c r="L684" s="5" t="n">
        <f aca="false">MIN($W$7,J684+K684)</f>
        <v>900</v>
      </c>
      <c r="M684" s="5" t="n">
        <f aca="false">VA_base_426_data!D684</f>
        <v>800</v>
      </c>
      <c r="N684" s="5" t="n">
        <f aca="false">IF(AND(C684=10,E684=1),$W$6,N683-P683)</f>
        <v>43</v>
      </c>
      <c r="O684" s="5" t="n">
        <f aca="false">IF(ABS(M684-L684)&gt;1,MIN(N684/((L684-M684)*24/12.1/1000),D684),D684)</f>
        <v>28</v>
      </c>
      <c r="P684" s="5" t="n">
        <f aca="false">MIN(IF(AND(G684,E684),(L684-M684)*24/12.1*O684/1000,0),N684)</f>
        <v>5.55371900826446</v>
      </c>
      <c r="Q684" s="5" t="n">
        <f aca="false">IF(P684&gt;0,P684/O684*12.1/24*1000+M684,0)</f>
        <v>900</v>
      </c>
      <c r="R684" s="0" t="n">
        <f aca="false">IF(Q684&gt;0,TRUNC(O684),0)</f>
        <v>28</v>
      </c>
      <c r="S684" s="5" t="n">
        <f aca="false">(M684*(D684-R684)+(Q684*R684))/D684</f>
        <v>900</v>
      </c>
      <c r="T684" s="6" t="n">
        <f aca="false">(Q684-M684)*R684*24/12.1/1000</f>
        <v>5.55371900826446</v>
      </c>
    </row>
    <row r="685" customFormat="false" ht="14.35" hidden="false" customHeight="false" outlineLevel="0" collapsed="false">
      <c r="A685" s="4" t="n">
        <v>28580</v>
      </c>
      <c r="B685" s="15" t="n">
        <f aca="false">IF(C685&lt;=9,YEAR(A685),YEAR(A685)+1)</f>
        <v>1978</v>
      </c>
      <c r="C685" s="15" t="n">
        <f aca="false">MONTH(A685)</f>
        <v>3</v>
      </c>
      <c r="D685" s="15" t="n">
        <f aca="false">DAY(A685)</f>
        <v>31</v>
      </c>
      <c r="E685" s="15" t="n">
        <f aca="false">VLOOKUP(B685,WYT!$A$2:$L$97,12)</f>
        <v>1</v>
      </c>
      <c r="F685" s="15" t="n">
        <f aca="false">IF(C685=$W$5,1,0)</f>
        <v>0</v>
      </c>
      <c r="G685" s="15" t="n">
        <f aca="false">IF(C685=10,0,IF(F685=1,1,G684))</f>
        <v>1</v>
      </c>
      <c r="H685" s="5" t="n">
        <f aca="false">VA_base_426_data!B685</f>
        <v>799.999999999999</v>
      </c>
      <c r="I685" s="5" t="n">
        <f aca="false">IF(AND(E685=1,OR(C685=4,C685=5)),25*12.1/24/D685*1000,0)</f>
        <v>0</v>
      </c>
      <c r="J685" s="5" t="n">
        <f aca="false">VA_base_426_data!C685</f>
        <v>750</v>
      </c>
      <c r="K685" s="5" t="n">
        <f aca="false">H685+I685-J685</f>
        <v>49.9999999999985</v>
      </c>
      <c r="L685" s="5" t="n">
        <f aca="false">MIN($W$7,J685+K685)</f>
        <v>799.999999999999</v>
      </c>
      <c r="M685" s="5" t="n">
        <f aca="false">VA_base_426_data!D685</f>
        <v>800</v>
      </c>
      <c r="N685" s="5" t="n">
        <f aca="false">IF(AND(C685=10,E685=1),$W$6,N684-P684)</f>
        <v>37.4462809917355</v>
      </c>
      <c r="O685" s="5" t="n">
        <f aca="false">IF(ABS(M685-L685)&gt;1,MIN(N685/((L685-M685)*24/12.1/1000),D685),D685)</f>
        <v>31</v>
      </c>
      <c r="P685" s="5" t="n">
        <f aca="false">MIN(IF(AND(G685,E685),(L685-M685)*24/12.1*O685/1000,0),N685)</f>
        <v>0</v>
      </c>
      <c r="Q685" s="5" t="n">
        <f aca="false">IF(P685&gt;0,P685/O685*12.1/24*1000+M685,0)</f>
        <v>0</v>
      </c>
      <c r="R685" s="0" t="n">
        <f aca="false">IF(Q685&gt;0,TRUNC(O685),0)</f>
        <v>0</v>
      </c>
      <c r="S685" s="5" t="n">
        <f aca="false">(M685*(D685-R685)+(Q685*R685))/D685</f>
        <v>800</v>
      </c>
      <c r="T685" s="6" t="n">
        <f aca="false">(Q685-M685)*R685*24/12.1/1000</f>
        <v>-0</v>
      </c>
    </row>
    <row r="686" customFormat="false" ht="14.35" hidden="false" customHeight="false" outlineLevel="0" collapsed="false">
      <c r="A686" s="4" t="n">
        <v>28610</v>
      </c>
      <c r="B686" s="15" t="n">
        <f aca="false">IF(C686&lt;=9,YEAR(A686),YEAR(A686)+1)</f>
        <v>1978</v>
      </c>
      <c r="C686" s="15" t="n">
        <f aca="false">MONTH(A686)</f>
        <v>4</v>
      </c>
      <c r="D686" s="15" t="n">
        <f aca="false">DAY(A686)</f>
        <v>30</v>
      </c>
      <c r="E686" s="15" t="n">
        <f aca="false">VLOOKUP(B686,WYT!$A$2:$L$97,12)</f>
        <v>1</v>
      </c>
      <c r="F686" s="15" t="n">
        <f aca="false">IF(C686=$W$5,1,0)</f>
        <v>0</v>
      </c>
      <c r="G686" s="15" t="n">
        <f aca="false">IF(C686=10,0,IF(F686=1,1,G685))</f>
        <v>1</v>
      </c>
      <c r="H686" s="5" t="n">
        <f aca="false">VA_base_426_data!B686</f>
        <v>1000</v>
      </c>
      <c r="I686" s="5" t="n">
        <f aca="false">IF(AND(E686=1,OR(C686=4,C686=5)),25*12.1/24/D686*1000,0)</f>
        <v>420.138888888889</v>
      </c>
      <c r="J686" s="5" t="n">
        <f aca="false">VA_base_426_data!C686</f>
        <v>1000</v>
      </c>
      <c r="K686" s="5" t="n">
        <f aca="false">H686+I686-J686</f>
        <v>420.138888888889</v>
      </c>
      <c r="L686" s="5" t="n">
        <f aca="false">MIN($W$7,J686+K686)</f>
        <v>1420.13888888889</v>
      </c>
      <c r="M686" s="5" t="n">
        <f aca="false">VA_base_426_data!D686</f>
        <v>700</v>
      </c>
      <c r="N686" s="5" t="n">
        <f aca="false">IF(AND(C686=10,E686=1),$W$6,N685-P685)</f>
        <v>37.4462809917355</v>
      </c>
      <c r="O686" s="5" t="n">
        <f aca="false">IF(ABS(M686-L686)&gt;1,MIN(N686/((L686-M686)*24/12.1/1000),D686),D686)</f>
        <v>26.2160077145612</v>
      </c>
      <c r="P686" s="5" t="n">
        <f aca="false">MIN(IF(AND(G686,E686),(L686-M686)*24/12.1*O686/1000,0),N686)</f>
        <v>37.4462809917355</v>
      </c>
      <c r="Q686" s="5" t="n">
        <f aca="false">IF(P686&gt;0,P686/O686*12.1/24*1000+M686,0)</f>
        <v>1420.13888888889</v>
      </c>
      <c r="R686" s="0" t="n">
        <f aca="false">IF(Q686&gt;0,TRUNC(O686),0)</f>
        <v>26</v>
      </c>
      <c r="S686" s="5" t="n">
        <f aca="false">(M686*(D686-R686)+(Q686*R686))/D686</f>
        <v>1324.12037037037</v>
      </c>
      <c r="T686" s="6" t="n">
        <f aca="false">(Q686-M686)*R686*24/12.1/1000</f>
        <v>37.137741046832</v>
      </c>
    </row>
    <row r="687" customFormat="false" ht="14.35" hidden="false" customHeight="false" outlineLevel="0" collapsed="false">
      <c r="A687" s="4" t="n">
        <v>28641</v>
      </c>
      <c r="B687" s="15" t="n">
        <f aca="false">IF(C687&lt;=9,YEAR(A687),YEAR(A687)+1)</f>
        <v>1978</v>
      </c>
      <c r="C687" s="15" t="n">
        <f aca="false">MONTH(A687)</f>
        <v>5</v>
      </c>
      <c r="D687" s="15" t="n">
        <f aca="false">DAY(A687)</f>
        <v>31</v>
      </c>
      <c r="E687" s="15" t="n">
        <f aca="false">VLOOKUP(B687,WYT!$A$2:$L$97,12)</f>
        <v>1</v>
      </c>
      <c r="F687" s="15" t="n">
        <f aca="false">IF(C687=$W$5,1,0)</f>
        <v>0</v>
      </c>
      <c r="G687" s="15" t="n">
        <f aca="false">IF(C687=10,0,IF(F687=1,1,G686))</f>
        <v>1</v>
      </c>
      <c r="H687" s="5" t="n">
        <f aca="false">VA_base_426_data!B687</f>
        <v>1000</v>
      </c>
      <c r="I687" s="5" t="n">
        <f aca="false">IF(AND(E687=1,OR(C687=4,C687=5)),25*12.1/24/D687*1000,0)</f>
        <v>406.586021505376</v>
      </c>
      <c r="J687" s="5" t="n">
        <f aca="false">VA_base_426_data!C687</f>
        <v>1000</v>
      </c>
      <c r="K687" s="5" t="n">
        <f aca="false">H687+I687-J687</f>
        <v>406.586021505377</v>
      </c>
      <c r="L687" s="5" t="n">
        <f aca="false">MIN($W$7,J687+K687)</f>
        <v>1406.58602150538</v>
      </c>
      <c r="M687" s="5" t="n">
        <f aca="false">VA_base_426_data!D687</f>
        <v>700</v>
      </c>
      <c r="N687" s="5" t="n">
        <f aca="false">IF(AND(C687=10,E687=1),$W$6,N686-P686)</f>
        <v>0</v>
      </c>
      <c r="O687" s="5" t="n">
        <f aca="false">IF(ABS(M687-L687)&gt;1,MIN(N687/((L687-M687)*24/12.1/1000),D687),D687)</f>
        <v>0</v>
      </c>
      <c r="P687" s="5" t="n">
        <f aca="false">MIN(IF(AND(G687,E687),(L687-M687)*24/12.1*O687/1000,0),N687)</f>
        <v>0</v>
      </c>
      <c r="Q687" s="5" t="n">
        <f aca="false">IF(P687&gt;0,P687/O687*12.1/24*1000+M687,0)</f>
        <v>0</v>
      </c>
      <c r="R687" s="0" t="n">
        <f aca="false">IF(Q687&gt;0,TRUNC(O687),0)</f>
        <v>0</v>
      </c>
      <c r="S687" s="5" t="n">
        <f aca="false">(M687*(D687-R687)+(Q687*R687))/D687</f>
        <v>700</v>
      </c>
      <c r="T687" s="6" t="n">
        <f aca="false">(Q687-M687)*R687*24/12.1/1000</f>
        <v>-0</v>
      </c>
    </row>
    <row r="688" customFormat="false" ht="14.35" hidden="false" customHeight="false" outlineLevel="0" collapsed="false">
      <c r="A688" s="4" t="n">
        <v>28671</v>
      </c>
      <c r="B688" s="15" t="n">
        <f aca="false">IF(C688&lt;=9,YEAR(A688),YEAR(A688)+1)</f>
        <v>1978</v>
      </c>
      <c r="C688" s="15" t="n">
        <f aca="false">MONTH(A688)</f>
        <v>6</v>
      </c>
      <c r="D688" s="15" t="n">
        <f aca="false">DAY(A688)</f>
        <v>30</v>
      </c>
      <c r="E688" s="15" t="n">
        <f aca="false">VLOOKUP(B688,WYT!$A$2:$L$97,12)</f>
        <v>1</v>
      </c>
      <c r="F688" s="15" t="n">
        <f aca="false">IF(C688=$W$5,1,0)</f>
        <v>0</v>
      </c>
      <c r="G688" s="15" t="n">
        <f aca="false">IF(C688=10,0,IF(F688=1,1,G687))</f>
        <v>1</v>
      </c>
      <c r="H688" s="5" t="n">
        <f aca="false">VA_base_426_data!B688</f>
        <v>1000</v>
      </c>
      <c r="I688" s="5" t="n">
        <f aca="false">IF(AND(E688=1,OR(C688=4,C688=5)),25*12.1/24/D688*1000,0)</f>
        <v>0</v>
      </c>
      <c r="J688" s="5" t="n">
        <f aca="false">VA_base_426_data!C688</f>
        <v>1000</v>
      </c>
      <c r="K688" s="5" t="n">
        <f aca="false">H688+I688-J688</f>
        <v>0</v>
      </c>
      <c r="L688" s="5" t="n">
        <f aca="false">MIN($W$7,J688+K688)</f>
        <v>1000</v>
      </c>
      <c r="M688" s="5" t="n">
        <f aca="false">VA_base_426_data!D688</f>
        <v>700</v>
      </c>
      <c r="N688" s="5" t="n">
        <f aca="false">IF(AND(C688=10,E688=1),$W$6,N687-P687)</f>
        <v>0</v>
      </c>
      <c r="O688" s="5" t="n">
        <f aca="false">IF(ABS(M688-L688)&gt;1,MIN(N688/((L688-M688)*24/12.1/1000),D688),D688)</f>
        <v>0</v>
      </c>
      <c r="P688" s="5" t="n">
        <f aca="false">MIN(IF(AND(G688,E688),(L688-M688)*24/12.1*O688/1000,0),N688)</f>
        <v>0</v>
      </c>
      <c r="Q688" s="5" t="n">
        <f aca="false">IF(P688&gt;0,P688/O688*12.1/24*1000+M688,0)</f>
        <v>0</v>
      </c>
      <c r="R688" s="0" t="n">
        <f aca="false">IF(Q688&gt;0,TRUNC(O688),0)</f>
        <v>0</v>
      </c>
      <c r="S688" s="5" t="n">
        <f aca="false">(M688*(D688-R688)+(Q688*R688))/D688</f>
        <v>700</v>
      </c>
      <c r="T688" s="6" t="n">
        <f aca="false">(Q688-M688)*R688*24/12.1/1000</f>
        <v>-0</v>
      </c>
    </row>
    <row r="689" customFormat="false" ht="14.35" hidden="false" customHeight="false" outlineLevel="0" collapsed="false">
      <c r="A689" s="4" t="n">
        <v>28702</v>
      </c>
      <c r="B689" s="15" t="n">
        <f aca="false">IF(C689&lt;=9,YEAR(A689),YEAR(A689)+1)</f>
        <v>1978</v>
      </c>
      <c r="C689" s="15" t="n">
        <f aca="false">MONTH(A689)</f>
        <v>7</v>
      </c>
      <c r="D689" s="15" t="n">
        <f aca="false">DAY(A689)</f>
        <v>31</v>
      </c>
      <c r="E689" s="15" t="n">
        <f aca="false">VLOOKUP(B689,WYT!$A$2:$L$97,12)</f>
        <v>1</v>
      </c>
      <c r="F689" s="15" t="n">
        <f aca="false">IF(C689=$W$5,1,0)</f>
        <v>0</v>
      </c>
      <c r="G689" s="15" t="n">
        <f aca="false">IF(C689=10,0,IF(F689=1,1,G688))</f>
        <v>1</v>
      </c>
      <c r="H689" s="5" t="n">
        <f aca="false">VA_base_426_data!B689</f>
        <v>6978.52883994546</v>
      </c>
      <c r="I689" s="5" t="n">
        <f aca="false">IF(AND(E689=1,OR(C689=4,C689=5)),25*12.1/24/D689*1000,0)</f>
        <v>0</v>
      </c>
      <c r="J689" s="5" t="n">
        <f aca="false">VA_base_426_data!C689</f>
        <v>1000</v>
      </c>
      <c r="K689" s="5" t="n">
        <f aca="false">H689+I689-J689</f>
        <v>5978.52883994546</v>
      </c>
      <c r="L689" s="5" t="n">
        <f aca="false">MIN($W$7,J689+K689)</f>
        <v>2000</v>
      </c>
      <c r="M689" s="5" t="n">
        <f aca="false">VA_base_426_data!D689</f>
        <v>700</v>
      </c>
      <c r="N689" s="5" t="n">
        <f aca="false">IF(AND(C689=10,E689=1),$W$6,N688-P688)</f>
        <v>0</v>
      </c>
      <c r="O689" s="5" t="n">
        <f aca="false">IF(ABS(M689-L689)&gt;1,MIN(N689/((L689-M689)*24/12.1/1000),D689),D689)</f>
        <v>0</v>
      </c>
      <c r="P689" s="5" t="n">
        <f aca="false">MIN(IF(AND(G689,E689),(L689-M689)*24/12.1*O689/1000,0),N689)</f>
        <v>0</v>
      </c>
      <c r="Q689" s="5" t="n">
        <f aca="false">IF(P689&gt;0,P689/O689*12.1/24*1000+M689,0)</f>
        <v>0</v>
      </c>
      <c r="R689" s="0" t="n">
        <f aca="false">IF(Q689&gt;0,TRUNC(O689),0)</f>
        <v>0</v>
      </c>
      <c r="S689" s="5" t="n">
        <f aca="false">(M689*(D689-R689)+(Q689*R689))/D689</f>
        <v>700</v>
      </c>
      <c r="T689" s="6" t="n">
        <f aca="false">(Q689-M689)*R689*24/12.1/1000</f>
        <v>-0</v>
      </c>
    </row>
    <row r="690" customFormat="false" ht="14.35" hidden="false" customHeight="false" outlineLevel="0" collapsed="false">
      <c r="A690" s="4" t="n">
        <v>28733</v>
      </c>
      <c r="B690" s="15" t="n">
        <f aca="false">IF(C690&lt;=9,YEAR(A690),YEAR(A690)+1)</f>
        <v>1978</v>
      </c>
      <c r="C690" s="15" t="n">
        <f aca="false">MONTH(A690)</f>
        <v>8</v>
      </c>
      <c r="D690" s="15" t="n">
        <f aca="false">DAY(A690)</f>
        <v>31</v>
      </c>
      <c r="E690" s="15" t="n">
        <f aca="false">VLOOKUP(B690,WYT!$A$2:$L$97,12)</f>
        <v>1</v>
      </c>
      <c r="F690" s="15" t="n">
        <f aca="false">IF(C690=$W$5,1,0)</f>
        <v>0</v>
      </c>
      <c r="G690" s="15" t="n">
        <f aca="false">IF(C690=10,0,IF(F690=1,1,G689))</f>
        <v>1</v>
      </c>
      <c r="H690" s="5" t="n">
        <f aca="false">VA_base_426_data!B690</f>
        <v>5757.19542893887</v>
      </c>
      <c r="I690" s="5" t="n">
        <f aca="false">IF(AND(E690=1,OR(C690=4,C690=5)),25*12.1/24/D690*1000,0)</f>
        <v>0</v>
      </c>
      <c r="J690" s="5" t="n">
        <f aca="false">VA_base_426_data!C690</f>
        <v>1000</v>
      </c>
      <c r="K690" s="5" t="n">
        <f aca="false">H690+I690-J690</f>
        <v>4757.19542893887</v>
      </c>
      <c r="L690" s="5" t="n">
        <f aca="false">MIN($W$7,J690+K690)</f>
        <v>2000</v>
      </c>
      <c r="M690" s="5" t="n">
        <f aca="false">VA_base_426_data!D690</f>
        <v>700</v>
      </c>
      <c r="N690" s="5" t="n">
        <f aca="false">IF(AND(C690=10,E690=1),$W$6,N689-P689)</f>
        <v>0</v>
      </c>
      <c r="O690" s="5" t="n">
        <f aca="false">IF(ABS(M690-L690)&gt;1,MIN(N690/((L690-M690)*24/12.1/1000),D690),D690)</f>
        <v>0</v>
      </c>
      <c r="P690" s="5" t="n">
        <f aca="false">MIN(IF(AND(G690,E690),(L690-M690)*24/12.1*O690/1000,0),N690)</f>
        <v>0</v>
      </c>
      <c r="Q690" s="5" t="n">
        <f aca="false">IF(P690&gt;0,P690/O690*12.1/24*1000+M690,0)</f>
        <v>0</v>
      </c>
      <c r="R690" s="0" t="n">
        <f aca="false">IF(Q690&gt;0,TRUNC(O690),0)</f>
        <v>0</v>
      </c>
      <c r="S690" s="5" t="n">
        <f aca="false">(M690*(D690-R690)+(Q690*R690))/D690</f>
        <v>700</v>
      </c>
      <c r="T690" s="6" t="n">
        <f aca="false">(Q690-M690)*R690*24/12.1/1000</f>
        <v>-0</v>
      </c>
    </row>
    <row r="691" customFormat="false" ht="14.35" hidden="false" customHeight="false" outlineLevel="0" collapsed="false">
      <c r="A691" s="4" t="n">
        <v>28763</v>
      </c>
      <c r="B691" s="15" t="n">
        <f aca="false">IF(C691&lt;=9,YEAR(A691),YEAR(A691)+1)</f>
        <v>1978</v>
      </c>
      <c r="C691" s="15" t="n">
        <f aca="false">MONTH(A691)</f>
        <v>9</v>
      </c>
      <c r="D691" s="15" t="n">
        <f aca="false">DAY(A691)</f>
        <v>30</v>
      </c>
      <c r="E691" s="15" t="n">
        <f aca="false">VLOOKUP(B691,WYT!$A$2:$L$97,12)</f>
        <v>1</v>
      </c>
      <c r="F691" s="15" t="n">
        <f aca="false">IF(C691=$W$5,1,0)</f>
        <v>0</v>
      </c>
      <c r="G691" s="15" t="n">
        <f aca="false">IF(C691=10,0,IF(F691=1,1,G690))</f>
        <v>1</v>
      </c>
      <c r="H691" s="5" t="n">
        <f aca="false">VA_base_426_data!B691</f>
        <v>7342.19119825728</v>
      </c>
      <c r="I691" s="5" t="n">
        <f aca="false">IF(AND(E691=1,OR(C691=4,C691=5)),25*12.1/24/D691*1000,0)</f>
        <v>0</v>
      </c>
      <c r="J691" s="5" t="n">
        <f aca="false">VA_base_426_data!C691</f>
        <v>1000</v>
      </c>
      <c r="K691" s="5" t="n">
        <f aca="false">H691+I691-J691</f>
        <v>6342.19119825728</v>
      </c>
      <c r="L691" s="5" t="n">
        <f aca="false">MIN($W$7,J691+K691)</f>
        <v>2000</v>
      </c>
      <c r="M691" s="5" t="n">
        <f aca="false">VA_base_426_data!D691</f>
        <v>773.3333333</v>
      </c>
      <c r="N691" s="5" t="n">
        <f aca="false">IF(AND(C691=10,E691=1),$W$6,N690-P690)</f>
        <v>0</v>
      </c>
      <c r="O691" s="5" t="n">
        <f aca="false">IF(ABS(M691-L691)&gt;1,MIN(N691/((L691-M691)*24/12.1/1000),D691),D691)</f>
        <v>0</v>
      </c>
      <c r="P691" s="5" t="n">
        <f aca="false">MIN(IF(AND(G691,E691),(L691-M691)*24/12.1*O691/1000,0),N691)</f>
        <v>0</v>
      </c>
      <c r="Q691" s="5" t="n">
        <f aca="false">IF(P691&gt;0,P691/O691*12.1/24*1000+M691,0)</f>
        <v>0</v>
      </c>
      <c r="R691" s="0" t="n">
        <f aca="false">IF(Q691&gt;0,TRUNC(O691),0)</f>
        <v>0</v>
      </c>
      <c r="S691" s="5" t="n">
        <f aca="false">(M691*(D691-R691)+(Q691*R691))/D691</f>
        <v>773.3333333</v>
      </c>
      <c r="T691" s="6" t="n">
        <f aca="false">(Q691-M691)*R691*24/12.1/1000</f>
        <v>-0</v>
      </c>
    </row>
    <row r="692" customFormat="false" ht="14.35" hidden="false" customHeight="false" outlineLevel="0" collapsed="false">
      <c r="A692" s="4" t="n">
        <v>28794</v>
      </c>
      <c r="B692" s="15" t="n">
        <f aca="false">IF(C692&lt;=9,YEAR(A692),YEAR(A692)+1)</f>
        <v>1979</v>
      </c>
      <c r="C692" s="15" t="n">
        <f aca="false">MONTH(A692)</f>
        <v>10</v>
      </c>
      <c r="D692" s="15" t="n">
        <f aca="false">DAY(A692)</f>
        <v>31</v>
      </c>
      <c r="E692" s="15" t="n">
        <f aca="false">VLOOKUP(B692,WYT!$A$2:$L$97,12)</f>
        <v>1</v>
      </c>
      <c r="F692" s="15" t="n">
        <f aca="false">IF(C692=$W$5,1,0)</f>
        <v>0</v>
      </c>
      <c r="G692" s="15" t="n">
        <f aca="false">IF(C692=10,0,IF(F692=1,1,G691))</f>
        <v>0</v>
      </c>
      <c r="H692" s="5" t="n">
        <f aca="false">VA_base_426_data!B692</f>
        <v>4000</v>
      </c>
      <c r="I692" s="5" t="n">
        <f aca="false">IF(AND(E692=1,OR(C692=4,C692=5)),25*12.1/24/D692*1000,0)</f>
        <v>0</v>
      </c>
      <c r="J692" s="5" t="n">
        <f aca="false">VA_base_426_data!C692</f>
        <v>1200</v>
      </c>
      <c r="K692" s="5" t="n">
        <f aca="false">H692+I692-J692</f>
        <v>2800</v>
      </c>
      <c r="L692" s="5" t="n">
        <f aca="false">MIN($W$7,J692+K692)</f>
        <v>2000</v>
      </c>
      <c r="M692" s="5" t="n">
        <f aca="false">VA_base_426_data!D692</f>
        <v>800</v>
      </c>
      <c r="N692" s="5" t="n">
        <f aca="false">IF(AND(C692=10,E692=1),$W$6,N691-P691)</f>
        <v>43</v>
      </c>
      <c r="O692" s="5" t="n">
        <f aca="false">IF(ABS(M692-L692)&gt;1,MIN(N692/((L692-M692)*24/12.1/1000),D692),D692)</f>
        <v>18.0659722222222</v>
      </c>
      <c r="P692" s="5" t="n">
        <f aca="false">MIN(IF(AND(G692,E692),(L692-M692)*24/12.1*O692/1000,0),N692)</f>
        <v>0</v>
      </c>
      <c r="Q692" s="5" t="n">
        <f aca="false">IF(P692&gt;0,P692/O692*12.1/24*1000+M692,0)</f>
        <v>0</v>
      </c>
      <c r="R692" s="0" t="n">
        <f aca="false">IF(Q692&gt;0,TRUNC(O692),0)</f>
        <v>0</v>
      </c>
      <c r="S692" s="5" t="n">
        <f aca="false">(M692*(D692-R692)+(Q692*R692))/D692</f>
        <v>800</v>
      </c>
      <c r="T692" s="6" t="n">
        <f aca="false">(Q692-M692)*R692*24/12.1/1000</f>
        <v>-0</v>
      </c>
    </row>
    <row r="693" customFormat="false" ht="14.35" hidden="false" customHeight="false" outlineLevel="0" collapsed="false">
      <c r="A693" s="4" t="n">
        <v>28824</v>
      </c>
      <c r="B693" s="15" t="n">
        <f aca="false">IF(C693&lt;=9,YEAR(A693),YEAR(A693)+1)</f>
        <v>1979</v>
      </c>
      <c r="C693" s="15" t="n">
        <f aca="false">MONTH(A693)</f>
        <v>11</v>
      </c>
      <c r="D693" s="15" t="n">
        <f aca="false">DAY(A693)</f>
        <v>30</v>
      </c>
      <c r="E693" s="15" t="n">
        <f aca="false">VLOOKUP(B693,WYT!$A$2:$L$97,12)</f>
        <v>1</v>
      </c>
      <c r="F693" s="15" t="n">
        <f aca="false">IF(C693=$W$5,1,0)</f>
        <v>0</v>
      </c>
      <c r="G693" s="15" t="n">
        <f aca="false">IF(C693=10,0,IF(F693=1,1,G692))</f>
        <v>0</v>
      </c>
      <c r="H693" s="5" t="n">
        <f aca="false">VA_base_426_data!B693</f>
        <v>2500</v>
      </c>
      <c r="I693" s="5" t="n">
        <f aca="false">IF(AND(E693=1,OR(C693=4,C693=5)),25*12.1/24/D693*1000,0)</f>
        <v>0</v>
      </c>
      <c r="J693" s="5" t="n">
        <f aca="false">VA_base_426_data!C693</f>
        <v>1200</v>
      </c>
      <c r="K693" s="5" t="n">
        <f aca="false">H693+I693-J693</f>
        <v>1300</v>
      </c>
      <c r="L693" s="5" t="n">
        <f aca="false">MIN($W$7,J693+K693)</f>
        <v>2000</v>
      </c>
      <c r="M693" s="5" t="n">
        <f aca="false">VA_base_426_data!D693</f>
        <v>800</v>
      </c>
      <c r="N693" s="5" t="n">
        <f aca="false">IF(AND(C693=10,E693=1),$W$6,N692-P692)</f>
        <v>43</v>
      </c>
      <c r="O693" s="5" t="n">
        <f aca="false">IF(ABS(M693-L693)&gt;1,MIN(N693/((L693-M693)*24/12.1/1000),D693),D693)</f>
        <v>18.0659722222222</v>
      </c>
      <c r="P693" s="5" t="n">
        <f aca="false">MIN(IF(AND(G693,E693),(L693-M693)*24/12.1*O693/1000,0),N693)</f>
        <v>0</v>
      </c>
      <c r="Q693" s="5" t="n">
        <f aca="false">IF(P693&gt;0,P693/O693*12.1/24*1000+M693,0)</f>
        <v>0</v>
      </c>
      <c r="R693" s="0" t="n">
        <f aca="false">IF(Q693&gt;0,TRUNC(O693),0)</f>
        <v>0</v>
      </c>
      <c r="S693" s="5" t="n">
        <f aca="false">(M693*(D693-R693)+(Q693*R693))/D693</f>
        <v>800</v>
      </c>
      <c r="T693" s="6" t="n">
        <f aca="false">(Q693-M693)*R693*24/12.1/1000</f>
        <v>-0</v>
      </c>
    </row>
    <row r="694" customFormat="false" ht="14.35" hidden="false" customHeight="false" outlineLevel="0" collapsed="false">
      <c r="A694" s="4" t="n">
        <v>28855</v>
      </c>
      <c r="B694" s="15" t="n">
        <f aca="false">IF(C694&lt;=9,YEAR(A694),YEAR(A694)+1)</f>
        <v>1979</v>
      </c>
      <c r="C694" s="15" t="n">
        <f aca="false">MONTH(A694)</f>
        <v>12</v>
      </c>
      <c r="D694" s="15" t="n">
        <f aca="false">DAY(A694)</f>
        <v>31</v>
      </c>
      <c r="E694" s="15" t="n">
        <f aca="false">VLOOKUP(B694,WYT!$A$2:$L$97,12)</f>
        <v>1</v>
      </c>
      <c r="F694" s="15" t="n">
        <f aca="false">IF(C694=$W$5,1,0)</f>
        <v>0</v>
      </c>
      <c r="G694" s="15" t="n">
        <f aca="false">IF(C694=10,0,IF(F694=1,1,G693))</f>
        <v>0</v>
      </c>
      <c r="H694" s="5" t="n">
        <f aca="false">VA_base_426_data!B694</f>
        <v>5293.98104121409</v>
      </c>
      <c r="I694" s="5" t="n">
        <f aca="false">IF(AND(E694=1,OR(C694=4,C694=5)),25*12.1/24/D694*1000,0)</f>
        <v>0</v>
      </c>
      <c r="J694" s="5" t="n">
        <f aca="false">VA_base_426_data!C694</f>
        <v>1200</v>
      </c>
      <c r="K694" s="5" t="n">
        <f aca="false">H694+I694-J694</f>
        <v>4093.98104121409</v>
      </c>
      <c r="L694" s="5" t="n">
        <f aca="false">MIN($W$7,J694+K694)</f>
        <v>2000</v>
      </c>
      <c r="M694" s="5" t="n">
        <f aca="false">VA_base_426_data!D694</f>
        <v>800</v>
      </c>
      <c r="N694" s="5" t="n">
        <f aca="false">IF(AND(C694=10,E694=1),$W$6,N693-P693)</f>
        <v>43</v>
      </c>
      <c r="O694" s="5" t="n">
        <f aca="false">IF(ABS(M694-L694)&gt;1,MIN(N694/((L694-M694)*24/12.1/1000),D694),D694)</f>
        <v>18.0659722222222</v>
      </c>
      <c r="P694" s="5" t="n">
        <f aca="false">MIN(IF(AND(G694,E694),(L694-M694)*24/12.1*O694/1000,0),N694)</f>
        <v>0</v>
      </c>
      <c r="Q694" s="5" t="n">
        <f aca="false">IF(P694&gt;0,P694/O694*12.1/24*1000+M694,0)</f>
        <v>0</v>
      </c>
      <c r="R694" s="0" t="n">
        <f aca="false">IF(Q694&gt;0,TRUNC(O694),0)</f>
        <v>0</v>
      </c>
      <c r="S694" s="5" t="n">
        <f aca="false">(M694*(D694-R694)+(Q694*R694))/D694</f>
        <v>800</v>
      </c>
      <c r="T694" s="6" t="n">
        <f aca="false">(Q694-M694)*R694*24/12.1/1000</f>
        <v>-0</v>
      </c>
    </row>
    <row r="695" customFormat="false" ht="14.35" hidden="false" customHeight="false" outlineLevel="0" collapsed="false">
      <c r="A695" s="4" t="n">
        <v>28886</v>
      </c>
      <c r="B695" s="15" t="n">
        <f aca="false">IF(C695&lt;=9,YEAR(A695),YEAR(A695)+1)</f>
        <v>1979</v>
      </c>
      <c r="C695" s="15" t="n">
        <f aca="false">MONTH(A695)</f>
        <v>1</v>
      </c>
      <c r="D695" s="15" t="n">
        <f aca="false">DAY(A695)</f>
        <v>31</v>
      </c>
      <c r="E695" s="15" t="n">
        <f aca="false">VLOOKUP(B695,WYT!$A$2:$L$97,12)</f>
        <v>1</v>
      </c>
      <c r="F695" s="15" t="n">
        <f aca="false">IF(C695=$W$5,1,0)</f>
        <v>0</v>
      </c>
      <c r="G695" s="15" t="n">
        <f aca="false">IF(C695=10,0,IF(F695=1,1,G694))</f>
        <v>0</v>
      </c>
      <c r="H695" s="5" t="n">
        <f aca="false">VA_base_426_data!B695</f>
        <v>1200</v>
      </c>
      <c r="I695" s="5" t="n">
        <f aca="false">IF(AND(E695=1,OR(C695=4,C695=5)),25*12.1/24/D695*1000,0)</f>
        <v>0</v>
      </c>
      <c r="J695" s="5" t="n">
        <f aca="false">VA_base_426_data!C695</f>
        <v>1200</v>
      </c>
      <c r="K695" s="5" t="n">
        <f aca="false">H695+I695-J695</f>
        <v>0</v>
      </c>
      <c r="L695" s="5" t="n">
        <f aca="false">MIN($W$7,J695+K695)</f>
        <v>1200</v>
      </c>
      <c r="M695" s="5" t="n">
        <f aca="false">VA_base_426_data!D695</f>
        <v>800</v>
      </c>
      <c r="N695" s="5" t="n">
        <f aca="false">IF(AND(C695=10,E695=1),$W$6,N694-P694)</f>
        <v>43</v>
      </c>
      <c r="O695" s="5" t="n">
        <f aca="false">IF(ABS(M695-L695)&gt;1,MIN(N695/((L695-M695)*24/12.1/1000),D695),D695)</f>
        <v>31</v>
      </c>
      <c r="P695" s="5" t="n">
        <f aca="false">MIN(IF(AND(G695,E695),(L695-M695)*24/12.1*O695/1000,0),N695)</f>
        <v>0</v>
      </c>
      <c r="Q695" s="5" t="n">
        <f aca="false">IF(P695&gt;0,P695/O695*12.1/24*1000+M695,0)</f>
        <v>0</v>
      </c>
      <c r="R695" s="0" t="n">
        <f aca="false">IF(Q695&gt;0,TRUNC(O695),0)</f>
        <v>0</v>
      </c>
      <c r="S695" s="5" t="n">
        <f aca="false">(M695*(D695-R695)+(Q695*R695))/D695</f>
        <v>800</v>
      </c>
      <c r="T695" s="6" t="n">
        <f aca="false">(Q695-M695)*R695*24/12.1/1000</f>
        <v>-0</v>
      </c>
    </row>
    <row r="696" customFormat="false" ht="14.35" hidden="false" customHeight="false" outlineLevel="0" collapsed="false">
      <c r="A696" s="4" t="n">
        <v>28914</v>
      </c>
      <c r="B696" s="15" t="n">
        <f aca="false">IF(C696&lt;=9,YEAR(A696),YEAR(A696)+1)</f>
        <v>1979</v>
      </c>
      <c r="C696" s="15" t="n">
        <f aca="false">MONTH(A696)</f>
        <v>2</v>
      </c>
      <c r="D696" s="15" t="n">
        <f aca="false">DAY(A696)</f>
        <v>28</v>
      </c>
      <c r="E696" s="15" t="n">
        <f aca="false">VLOOKUP(B696,WYT!$A$2:$L$97,12)</f>
        <v>1</v>
      </c>
      <c r="F696" s="15" t="n">
        <f aca="false">IF(C696=$W$5,1,0)</f>
        <v>1</v>
      </c>
      <c r="G696" s="15" t="n">
        <f aca="false">IF(C696=10,0,IF(F696=1,1,G695))</f>
        <v>1</v>
      </c>
      <c r="H696" s="5" t="n">
        <f aca="false">VA_base_426_data!B696</f>
        <v>1200</v>
      </c>
      <c r="I696" s="5" t="n">
        <f aca="false">IF(AND(E696=1,OR(C696=4,C696=5)),25*12.1/24/D696*1000,0)</f>
        <v>0</v>
      </c>
      <c r="J696" s="5" t="n">
        <f aca="false">VA_base_426_data!C696</f>
        <v>1200</v>
      </c>
      <c r="K696" s="5" t="n">
        <f aca="false">H696+I696-J696</f>
        <v>0</v>
      </c>
      <c r="L696" s="5" t="n">
        <f aca="false">MIN($W$7,J696+K696)</f>
        <v>1200</v>
      </c>
      <c r="M696" s="5" t="n">
        <f aca="false">VA_base_426_data!D696</f>
        <v>800</v>
      </c>
      <c r="N696" s="5" t="n">
        <f aca="false">IF(AND(C696=10,E696=1),$W$6,N695-P695)</f>
        <v>43</v>
      </c>
      <c r="O696" s="5" t="n">
        <f aca="false">IF(ABS(M696-L696)&gt;1,MIN(N696/((L696-M696)*24/12.1/1000),D696),D696)</f>
        <v>28</v>
      </c>
      <c r="P696" s="5" t="n">
        <f aca="false">MIN(IF(AND(G696,E696),(L696-M696)*24/12.1*O696/1000,0),N696)</f>
        <v>22.2148760330578</v>
      </c>
      <c r="Q696" s="5" t="n">
        <f aca="false">IF(P696&gt;0,P696/O696*12.1/24*1000+M696,0)</f>
        <v>1200</v>
      </c>
      <c r="R696" s="0" t="n">
        <f aca="false">IF(Q696&gt;0,TRUNC(O696),0)</f>
        <v>28</v>
      </c>
      <c r="S696" s="5" t="n">
        <f aca="false">(M696*(D696-R696)+(Q696*R696))/D696</f>
        <v>1200</v>
      </c>
      <c r="T696" s="6" t="n">
        <f aca="false">(Q696-M696)*R696*24/12.1/1000</f>
        <v>22.2148760330578</v>
      </c>
    </row>
    <row r="697" customFormat="false" ht="14.35" hidden="false" customHeight="false" outlineLevel="0" collapsed="false">
      <c r="A697" s="4" t="n">
        <v>28945</v>
      </c>
      <c r="B697" s="15" t="n">
        <f aca="false">IF(C697&lt;=9,YEAR(A697),YEAR(A697)+1)</f>
        <v>1979</v>
      </c>
      <c r="C697" s="15" t="n">
        <f aca="false">MONTH(A697)</f>
        <v>3</v>
      </c>
      <c r="D697" s="15" t="n">
        <f aca="false">DAY(A697)</f>
        <v>31</v>
      </c>
      <c r="E697" s="15" t="n">
        <f aca="false">VLOOKUP(B697,WYT!$A$2:$L$97,12)</f>
        <v>1</v>
      </c>
      <c r="F697" s="15" t="n">
        <f aca="false">IF(C697=$W$5,1,0)</f>
        <v>0</v>
      </c>
      <c r="G697" s="15" t="n">
        <f aca="false">IF(C697=10,0,IF(F697=1,1,G696))</f>
        <v>1</v>
      </c>
      <c r="H697" s="5" t="n">
        <f aca="false">VA_base_426_data!B697</f>
        <v>1000</v>
      </c>
      <c r="I697" s="5" t="n">
        <f aca="false">IF(AND(E697=1,OR(C697=4,C697=5)),25*12.1/24/D697*1000,0)</f>
        <v>0</v>
      </c>
      <c r="J697" s="5" t="n">
        <f aca="false">VA_base_426_data!C697</f>
        <v>1000</v>
      </c>
      <c r="K697" s="5" t="n">
        <f aca="false">H697+I697-J697</f>
        <v>0</v>
      </c>
      <c r="L697" s="5" t="n">
        <f aca="false">MIN($W$7,J697+K697)</f>
        <v>1000</v>
      </c>
      <c r="M697" s="5" t="n">
        <f aca="false">VA_base_426_data!D697</f>
        <v>800</v>
      </c>
      <c r="N697" s="5" t="n">
        <f aca="false">IF(AND(C697=10,E697=1),$W$6,N696-P696)</f>
        <v>20.7851239669421</v>
      </c>
      <c r="O697" s="5" t="n">
        <f aca="false">IF(ABS(M697-L697)&gt;1,MIN(N697/((L697-M697)*24/12.1/1000),D697),D697)</f>
        <v>31</v>
      </c>
      <c r="P697" s="5" t="n">
        <f aca="false">MIN(IF(AND(G697,E697),(L697-M697)*24/12.1*O697/1000,0),N697)</f>
        <v>12.297520661157</v>
      </c>
      <c r="Q697" s="5" t="n">
        <f aca="false">IF(P697&gt;0,P697/O697*12.1/24*1000+M697,0)</f>
        <v>1000</v>
      </c>
      <c r="R697" s="0" t="n">
        <f aca="false">IF(Q697&gt;0,TRUNC(O697),0)</f>
        <v>31</v>
      </c>
      <c r="S697" s="5" t="n">
        <f aca="false">(M697*(D697-R697)+(Q697*R697))/D697</f>
        <v>1000</v>
      </c>
      <c r="T697" s="6" t="n">
        <f aca="false">(Q697-M697)*R697*24/12.1/1000</f>
        <v>12.297520661157</v>
      </c>
    </row>
    <row r="698" customFormat="false" ht="14.35" hidden="false" customHeight="false" outlineLevel="0" collapsed="false">
      <c r="A698" s="4" t="n">
        <v>28975</v>
      </c>
      <c r="B698" s="15" t="n">
        <f aca="false">IF(C698&lt;=9,YEAR(A698),YEAR(A698)+1)</f>
        <v>1979</v>
      </c>
      <c r="C698" s="15" t="n">
        <f aca="false">MONTH(A698)</f>
        <v>4</v>
      </c>
      <c r="D698" s="15" t="n">
        <f aca="false">DAY(A698)</f>
        <v>30</v>
      </c>
      <c r="E698" s="15" t="n">
        <f aca="false">VLOOKUP(B698,WYT!$A$2:$L$97,12)</f>
        <v>1</v>
      </c>
      <c r="F698" s="15" t="n">
        <f aca="false">IF(C698=$W$5,1,0)</f>
        <v>0</v>
      </c>
      <c r="G698" s="15" t="n">
        <f aca="false">IF(C698=10,0,IF(F698=1,1,G697))</f>
        <v>1</v>
      </c>
      <c r="H698" s="5" t="n">
        <f aca="false">VA_base_426_data!B698</f>
        <v>1000</v>
      </c>
      <c r="I698" s="5" t="n">
        <f aca="false">IF(AND(E698=1,OR(C698=4,C698=5)),25*12.1/24/D698*1000,0)</f>
        <v>420.138888888889</v>
      </c>
      <c r="J698" s="5" t="n">
        <f aca="false">VA_base_426_data!C698</f>
        <v>1000</v>
      </c>
      <c r="K698" s="5" t="n">
        <f aca="false">H698+I698-J698</f>
        <v>420.138888888889</v>
      </c>
      <c r="L698" s="5" t="n">
        <f aca="false">MIN($W$7,J698+K698)</f>
        <v>1420.13888888889</v>
      </c>
      <c r="M698" s="5" t="n">
        <f aca="false">VA_base_426_data!D698</f>
        <v>700</v>
      </c>
      <c r="N698" s="5" t="n">
        <f aca="false">IF(AND(C698=10,E698=1),$W$6,N697-P697)</f>
        <v>8.48760330578512</v>
      </c>
      <c r="O698" s="5" t="n">
        <f aca="false">IF(ABS(M698-L698)&gt;1,MIN(N698/((L698-M698)*24/12.1/1000),D698),D698)</f>
        <v>5.94214079074253</v>
      </c>
      <c r="P698" s="5" t="n">
        <f aca="false">MIN(IF(AND(G698,E698),(L698-M698)*24/12.1*O698/1000,0),N698)</f>
        <v>8.48760330578512</v>
      </c>
      <c r="Q698" s="5" t="n">
        <f aca="false">IF(P698&gt;0,P698/O698*12.1/24*1000+M698,0)</f>
        <v>1420.13888888889</v>
      </c>
      <c r="R698" s="0" t="n">
        <f aca="false">IF(Q698&gt;0,TRUNC(O698),0)</f>
        <v>5</v>
      </c>
      <c r="S698" s="5" t="n">
        <f aca="false">(M698*(D698-R698)+(Q698*R698))/D698</f>
        <v>820.023148148148</v>
      </c>
      <c r="T698" s="6" t="n">
        <f aca="false">(Q698-M698)*R698*24/12.1/1000</f>
        <v>7.14187327823692</v>
      </c>
    </row>
    <row r="699" customFormat="false" ht="14.35" hidden="false" customHeight="false" outlineLevel="0" collapsed="false">
      <c r="A699" s="4" t="n">
        <v>29006</v>
      </c>
      <c r="B699" s="15" t="n">
        <f aca="false">IF(C699&lt;=9,YEAR(A699),YEAR(A699)+1)</f>
        <v>1979</v>
      </c>
      <c r="C699" s="15" t="n">
        <f aca="false">MONTH(A699)</f>
        <v>5</v>
      </c>
      <c r="D699" s="15" t="n">
        <f aca="false">DAY(A699)</f>
        <v>31</v>
      </c>
      <c r="E699" s="15" t="n">
        <f aca="false">VLOOKUP(B699,WYT!$A$2:$L$97,12)</f>
        <v>1</v>
      </c>
      <c r="F699" s="15" t="n">
        <f aca="false">IF(C699=$W$5,1,0)</f>
        <v>0</v>
      </c>
      <c r="G699" s="15" t="n">
        <f aca="false">IF(C699=10,0,IF(F699=1,1,G698))</f>
        <v>1</v>
      </c>
      <c r="H699" s="5" t="n">
        <f aca="false">VA_base_426_data!B699</f>
        <v>1000.00000000003</v>
      </c>
      <c r="I699" s="5" t="n">
        <f aca="false">IF(AND(E699=1,OR(C699=4,C699=5)),25*12.1/24/D699*1000,0)</f>
        <v>406.586021505376</v>
      </c>
      <c r="J699" s="5" t="n">
        <f aca="false">VA_base_426_data!C699</f>
        <v>1000</v>
      </c>
      <c r="K699" s="5" t="n">
        <f aca="false">H699+I699-J699</f>
        <v>406.586021505405</v>
      </c>
      <c r="L699" s="5" t="n">
        <f aca="false">MIN($W$7,J699+K699)</f>
        <v>1406.58602150541</v>
      </c>
      <c r="M699" s="5" t="n">
        <f aca="false">VA_base_426_data!D699</f>
        <v>700</v>
      </c>
      <c r="N699" s="5" t="n">
        <f aca="false">IF(AND(C699=10,E699=1),$W$6,N698-P698)</f>
        <v>0</v>
      </c>
      <c r="O699" s="5" t="n">
        <f aca="false">IF(ABS(M699-L699)&gt;1,MIN(N699/((L699-M699)*24/12.1/1000),D699),D699)</f>
        <v>0</v>
      </c>
      <c r="P699" s="5" t="n">
        <f aca="false">MIN(IF(AND(G699,E699),(L699-M699)*24/12.1*O699/1000,0),N699)</f>
        <v>0</v>
      </c>
      <c r="Q699" s="5" t="n">
        <f aca="false">IF(P699&gt;0,P699/O699*12.1/24*1000+M699,0)</f>
        <v>0</v>
      </c>
      <c r="R699" s="0" t="n">
        <f aca="false">IF(Q699&gt;0,TRUNC(O699),0)</f>
        <v>0</v>
      </c>
      <c r="S699" s="5" t="n">
        <f aca="false">(M699*(D699-R699)+(Q699*R699))/D699</f>
        <v>700</v>
      </c>
      <c r="T699" s="6" t="n">
        <f aca="false">(Q699-M699)*R699*24/12.1/1000</f>
        <v>-0</v>
      </c>
    </row>
    <row r="700" customFormat="false" ht="14.35" hidden="false" customHeight="false" outlineLevel="0" collapsed="false">
      <c r="A700" s="4" t="n">
        <v>29036</v>
      </c>
      <c r="B700" s="15" t="n">
        <f aca="false">IF(C700&lt;=9,YEAR(A700),YEAR(A700)+1)</f>
        <v>1979</v>
      </c>
      <c r="C700" s="15" t="n">
        <f aca="false">MONTH(A700)</f>
        <v>6</v>
      </c>
      <c r="D700" s="15" t="n">
        <f aca="false">DAY(A700)</f>
        <v>30</v>
      </c>
      <c r="E700" s="15" t="n">
        <f aca="false">VLOOKUP(B700,WYT!$A$2:$L$97,12)</f>
        <v>1</v>
      </c>
      <c r="F700" s="15" t="n">
        <f aca="false">IF(C700=$W$5,1,0)</f>
        <v>0</v>
      </c>
      <c r="G700" s="15" t="n">
        <f aca="false">IF(C700=10,0,IF(F700=1,1,G699))</f>
        <v>1</v>
      </c>
      <c r="H700" s="5" t="n">
        <f aca="false">VA_base_426_data!B700</f>
        <v>3632.37381824171</v>
      </c>
      <c r="I700" s="5" t="n">
        <f aca="false">IF(AND(E700=1,OR(C700=4,C700=5)),25*12.1/24/D700*1000,0)</f>
        <v>0</v>
      </c>
      <c r="J700" s="5" t="n">
        <f aca="false">VA_base_426_data!C700</f>
        <v>1000</v>
      </c>
      <c r="K700" s="5" t="n">
        <f aca="false">H700+I700-J700</f>
        <v>2632.37381824171</v>
      </c>
      <c r="L700" s="5" t="n">
        <f aca="false">MIN($W$7,J700+K700)</f>
        <v>2000</v>
      </c>
      <c r="M700" s="5" t="n">
        <f aca="false">VA_base_426_data!D700</f>
        <v>700</v>
      </c>
      <c r="N700" s="5" t="n">
        <f aca="false">IF(AND(C700=10,E700=1),$W$6,N699-P699)</f>
        <v>0</v>
      </c>
      <c r="O700" s="5" t="n">
        <f aca="false">IF(ABS(M700-L700)&gt;1,MIN(N700/((L700-M700)*24/12.1/1000),D700),D700)</f>
        <v>0</v>
      </c>
      <c r="P700" s="5" t="n">
        <f aca="false">MIN(IF(AND(G700,E700),(L700-M700)*24/12.1*O700/1000,0),N700)</f>
        <v>0</v>
      </c>
      <c r="Q700" s="5" t="n">
        <f aca="false">IF(P700&gt;0,P700/O700*12.1/24*1000+M700,0)</f>
        <v>0</v>
      </c>
      <c r="R700" s="0" t="n">
        <f aca="false">IF(Q700&gt;0,TRUNC(O700),0)</f>
        <v>0</v>
      </c>
      <c r="S700" s="5" t="n">
        <f aca="false">(M700*(D700-R700)+(Q700*R700))/D700</f>
        <v>700</v>
      </c>
      <c r="T700" s="6" t="n">
        <f aca="false">(Q700-M700)*R700*24/12.1/1000</f>
        <v>-0</v>
      </c>
    </row>
    <row r="701" customFormat="false" ht="14.35" hidden="false" customHeight="false" outlineLevel="0" collapsed="false">
      <c r="A701" s="4" t="n">
        <v>29067</v>
      </c>
      <c r="B701" s="15" t="n">
        <f aca="false">IF(C701&lt;=9,YEAR(A701),YEAR(A701)+1)</f>
        <v>1979</v>
      </c>
      <c r="C701" s="15" t="n">
        <f aca="false">MONTH(A701)</f>
        <v>7</v>
      </c>
      <c r="D701" s="15" t="n">
        <f aca="false">DAY(A701)</f>
        <v>31</v>
      </c>
      <c r="E701" s="15" t="n">
        <f aca="false">VLOOKUP(B701,WYT!$A$2:$L$97,12)</f>
        <v>1</v>
      </c>
      <c r="F701" s="15" t="n">
        <f aca="false">IF(C701=$W$5,1,0)</f>
        <v>0</v>
      </c>
      <c r="G701" s="15" t="n">
        <f aca="false">IF(C701=10,0,IF(F701=1,1,G700))</f>
        <v>1</v>
      </c>
      <c r="H701" s="5" t="n">
        <f aca="false">VA_base_426_data!B701</f>
        <v>8677.36313536867</v>
      </c>
      <c r="I701" s="5" t="n">
        <f aca="false">IF(AND(E701=1,OR(C701=4,C701=5)),25*12.1/24/D701*1000,0)</f>
        <v>0</v>
      </c>
      <c r="J701" s="5" t="n">
        <f aca="false">VA_base_426_data!C701</f>
        <v>1000</v>
      </c>
      <c r="K701" s="5" t="n">
        <f aca="false">H701+I701-J701</f>
        <v>7677.36313536867</v>
      </c>
      <c r="L701" s="5" t="n">
        <f aca="false">MIN($W$7,J701+K701)</f>
        <v>2000</v>
      </c>
      <c r="M701" s="5" t="n">
        <f aca="false">VA_base_426_data!D701</f>
        <v>700</v>
      </c>
      <c r="N701" s="5" t="n">
        <f aca="false">IF(AND(C701=10,E701=1),$W$6,N700-P700)</f>
        <v>0</v>
      </c>
      <c r="O701" s="5" t="n">
        <f aca="false">IF(ABS(M701-L701)&gt;1,MIN(N701/((L701-M701)*24/12.1/1000),D701),D701)</f>
        <v>0</v>
      </c>
      <c r="P701" s="5" t="n">
        <f aca="false">MIN(IF(AND(G701,E701),(L701-M701)*24/12.1*O701/1000,0),N701)</f>
        <v>0</v>
      </c>
      <c r="Q701" s="5" t="n">
        <f aca="false">IF(P701&gt;0,P701/O701*12.1/24*1000+M701,0)</f>
        <v>0</v>
      </c>
      <c r="R701" s="0" t="n">
        <f aca="false">IF(Q701&gt;0,TRUNC(O701),0)</f>
        <v>0</v>
      </c>
      <c r="S701" s="5" t="n">
        <f aca="false">(M701*(D701-R701)+(Q701*R701))/D701</f>
        <v>700</v>
      </c>
      <c r="T701" s="6" t="n">
        <f aca="false">(Q701-M701)*R701*24/12.1/1000</f>
        <v>-0</v>
      </c>
    </row>
    <row r="702" customFormat="false" ht="14.35" hidden="false" customHeight="false" outlineLevel="0" collapsed="false">
      <c r="A702" s="4" t="n">
        <v>29098</v>
      </c>
      <c r="B702" s="15" t="n">
        <f aca="false">IF(C702&lt;=9,YEAR(A702),YEAR(A702)+1)</f>
        <v>1979</v>
      </c>
      <c r="C702" s="15" t="n">
        <f aca="false">MONTH(A702)</f>
        <v>8</v>
      </c>
      <c r="D702" s="15" t="n">
        <f aca="false">DAY(A702)</f>
        <v>31</v>
      </c>
      <c r="E702" s="15" t="n">
        <f aca="false">VLOOKUP(B702,WYT!$A$2:$L$97,12)</f>
        <v>1</v>
      </c>
      <c r="F702" s="15" t="n">
        <f aca="false">IF(C702=$W$5,1,0)</f>
        <v>0</v>
      </c>
      <c r="G702" s="15" t="n">
        <f aca="false">IF(C702=10,0,IF(F702=1,1,G701))</f>
        <v>1</v>
      </c>
      <c r="H702" s="5" t="n">
        <f aca="false">VA_base_426_data!B702</f>
        <v>7037.51489497846</v>
      </c>
      <c r="I702" s="5" t="n">
        <f aca="false">IF(AND(E702=1,OR(C702=4,C702=5)),25*12.1/24/D702*1000,0)</f>
        <v>0</v>
      </c>
      <c r="J702" s="5" t="n">
        <f aca="false">VA_base_426_data!C702</f>
        <v>1000</v>
      </c>
      <c r="K702" s="5" t="n">
        <f aca="false">H702+I702-J702</f>
        <v>6037.51489497846</v>
      </c>
      <c r="L702" s="5" t="n">
        <f aca="false">MIN($W$7,J702+K702)</f>
        <v>2000</v>
      </c>
      <c r="M702" s="5" t="n">
        <f aca="false">VA_base_426_data!D702</f>
        <v>700</v>
      </c>
      <c r="N702" s="5" t="n">
        <f aca="false">IF(AND(C702=10,E702=1),$W$6,N701-P701)</f>
        <v>0</v>
      </c>
      <c r="O702" s="5" t="n">
        <f aca="false">IF(ABS(M702-L702)&gt;1,MIN(N702/((L702-M702)*24/12.1/1000),D702),D702)</f>
        <v>0</v>
      </c>
      <c r="P702" s="5" t="n">
        <f aca="false">MIN(IF(AND(G702,E702),(L702-M702)*24/12.1*O702/1000,0),N702)</f>
        <v>0</v>
      </c>
      <c r="Q702" s="5" t="n">
        <f aca="false">IF(P702&gt;0,P702/O702*12.1/24*1000+M702,0)</f>
        <v>0</v>
      </c>
      <c r="R702" s="0" t="n">
        <f aca="false">IF(Q702&gt;0,TRUNC(O702),0)</f>
        <v>0</v>
      </c>
      <c r="S702" s="5" t="n">
        <f aca="false">(M702*(D702-R702)+(Q702*R702))/D702</f>
        <v>700</v>
      </c>
      <c r="T702" s="6" t="n">
        <f aca="false">(Q702-M702)*R702*24/12.1/1000</f>
        <v>-0</v>
      </c>
    </row>
    <row r="703" customFormat="false" ht="14.35" hidden="false" customHeight="false" outlineLevel="0" collapsed="false">
      <c r="A703" s="4" t="n">
        <v>29128</v>
      </c>
      <c r="B703" s="15" t="n">
        <f aca="false">IF(C703&lt;=9,YEAR(A703),YEAR(A703)+1)</f>
        <v>1979</v>
      </c>
      <c r="C703" s="15" t="n">
        <f aca="false">MONTH(A703)</f>
        <v>9</v>
      </c>
      <c r="D703" s="15" t="n">
        <f aca="false">DAY(A703)</f>
        <v>30</v>
      </c>
      <c r="E703" s="15" t="n">
        <f aca="false">VLOOKUP(B703,WYT!$A$2:$L$97,12)</f>
        <v>1</v>
      </c>
      <c r="F703" s="15" t="n">
        <f aca="false">IF(C703=$W$5,1,0)</f>
        <v>0</v>
      </c>
      <c r="G703" s="15" t="n">
        <f aca="false">IF(C703=10,0,IF(F703=1,1,G702))</f>
        <v>1</v>
      </c>
      <c r="H703" s="5" t="n">
        <f aca="false">VA_base_426_data!B703</f>
        <v>2184.91945940823</v>
      </c>
      <c r="I703" s="5" t="n">
        <f aca="false">IF(AND(E703=1,OR(C703=4,C703=5)),25*12.1/24/D703*1000,0)</f>
        <v>0</v>
      </c>
      <c r="J703" s="5" t="n">
        <f aca="false">VA_base_426_data!C703</f>
        <v>1000</v>
      </c>
      <c r="K703" s="5" t="n">
        <f aca="false">H703+I703-J703</f>
        <v>1184.91945940823</v>
      </c>
      <c r="L703" s="5" t="n">
        <f aca="false">MIN($W$7,J703+K703)</f>
        <v>2000</v>
      </c>
      <c r="M703" s="5" t="n">
        <f aca="false">VA_base_426_data!D703</f>
        <v>773.3333333</v>
      </c>
      <c r="N703" s="5" t="n">
        <f aca="false">IF(AND(C703=10,E703=1),$W$6,N702-P702)</f>
        <v>0</v>
      </c>
      <c r="O703" s="5" t="n">
        <f aca="false">IF(ABS(M703-L703)&gt;1,MIN(N703/((L703-M703)*24/12.1/1000),D703),D703)</f>
        <v>0</v>
      </c>
      <c r="P703" s="5" t="n">
        <f aca="false">MIN(IF(AND(G703,E703),(L703-M703)*24/12.1*O703/1000,0),N703)</f>
        <v>0</v>
      </c>
      <c r="Q703" s="5" t="n">
        <f aca="false">IF(P703&gt;0,P703/O703*12.1/24*1000+M703,0)</f>
        <v>0</v>
      </c>
      <c r="R703" s="0" t="n">
        <f aca="false">IF(Q703&gt;0,TRUNC(O703),0)</f>
        <v>0</v>
      </c>
      <c r="S703" s="5" t="n">
        <f aca="false">(M703*(D703-R703)+(Q703*R703))/D703</f>
        <v>773.3333333</v>
      </c>
      <c r="T703" s="6" t="n">
        <f aca="false">(Q703-M703)*R703*24/12.1/1000</f>
        <v>-0</v>
      </c>
    </row>
    <row r="704" customFormat="false" ht="14.35" hidden="false" customHeight="false" outlineLevel="0" collapsed="false">
      <c r="A704" s="4" t="n">
        <v>29159</v>
      </c>
      <c r="B704" s="15" t="n">
        <f aca="false">IF(C704&lt;=9,YEAR(A704),YEAR(A704)+1)</f>
        <v>1980</v>
      </c>
      <c r="C704" s="15" t="n">
        <f aca="false">MONTH(A704)</f>
        <v>10</v>
      </c>
      <c r="D704" s="15" t="n">
        <f aca="false">DAY(A704)</f>
        <v>31</v>
      </c>
      <c r="E704" s="15" t="n">
        <f aca="false">VLOOKUP(B704,WYT!$A$2:$L$97,12)</f>
        <v>1</v>
      </c>
      <c r="F704" s="15" t="n">
        <f aca="false">IF(C704=$W$5,1,0)</f>
        <v>0</v>
      </c>
      <c r="G704" s="15" t="n">
        <f aca="false">IF(C704=10,0,IF(F704=1,1,G703))</f>
        <v>0</v>
      </c>
      <c r="H704" s="5" t="n">
        <f aca="false">VA_base_426_data!B704</f>
        <v>2177.33142635328</v>
      </c>
      <c r="I704" s="5" t="n">
        <f aca="false">IF(AND(E704=1,OR(C704=4,C704=5)),25*12.1/24/D704*1000,0)</f>
        <v>0</v>
      </c>
      <c r="J704" s="5" t="n">
        <f aca="false">VA_base_426_data!C704</f>
        <v>1700</v>
      </c>
      <c r="K704" s="5" t="n">
        <f aca="false">H704+I704-J704</f>
        <v>477.331426353283</v>
      </c>
      <c r="L704" s="5" t="n">
        <f aca="false">MIN($W$7,J704+K704)</f>
        <v>2000</v>
      </c>
      <c r="M704" s="5" t="n">
        <f aca="false">VA_base_426_data!D704</f>
        <v>800</v>
      </c>
      <c r="N704" s="5" t="n">
        <f aca="false">IF(AND(C704=10,E704=1),$W$6,N703-P703)</f>
        <v>43</v>
      </c>
      <c r="O704" s="5" t="n">
        <f aca="false">IF(ABS(M704-L704)&gt;1,MIN(N704/((L704-M704)*24/12.1/1000),D704),D704)</f>
        <v>18.0659722222222</v>
      </c>
      <c r="P704" s="5" t="n">
        <f aca="false">MIN(IF(AND(G704,E704),(L704-M704)*24/12.1*O704/1000,0),N704)</f>
        <v>0</v>
      </c>
      <c r="Q704" s="5" t="n">
        <f aca="false">IF(P704&gt;0,P704/O704*12.1/24*1000+M704,0)</f>
        <v>0</v>
      </c>
      <c r="R704" s="0" t="n">
        <f aca="false">IF(Q704&gt;0,TRUNC(O704),0)</f>
        <v>0</v>
      </c>
      <c r="S704" s="5" t="n">
        <f aca="false">(M704*(D704-R704)+(Q704*R704))/D704</f>
        <v>800</v>
      </c>
      <c r="T704" s="6" t="n">
        <f aca="false">(Q704-M704)*R704*24/12.1/1000</f>
        <v>-0</v>
      </c>
    </row>
    <row r="705" customFormat="false" ht="14.35" hidden="false" customHeight="false" outlineLevel="0" collapsed="false">
      <c r="A705" s="4" t="n">
        <v>29189</v>
      </c>
      <c r="B705" s="15" t="n">
        <f aca="false">IF(C705&lt;=9,YEAR(A705),YEAR(A705)+1)</f>
        <v>1980</v>
      </c>
      <c r="C705" s="15" t="n">
        <f aca="false">MONTH(A705)</f>
        <v>11</v>
      </c>
      <c r="D705" s="15" t="n">
        <f aca="false">DAY(A705)</f>
        <v>30</v>
      </c>
      <c r="E705" s="15" t="n">
        <f aca="false">VLOOKUP(B705,WYT!$A$2:$L$97,12)</f>
        <v>1</v>
      </c>
      <c r="F705" s="15" t="n">
        <f aca="false">IF(C705=$W$5,1,0)</f>
        <v>0</v>
      </c>
      <c r="G705" s="15" t="n">
        <f aca="false">IF(C705=10,0,IF(F705=1,1,G704))</f>
        <v>0</v>
      </c>
      <c r="H705" s="5" t="n">
        <f aca="false">VA_base_426_data!B705</f>
        <v>1700</v>
      </c>
      <c r="I705" s="5" t="n">
        <f aca="false">IF(AND(E705=1,OR(C705=4,C705=5)),25*12.1/24/D705*1000,0)</f>
        <v>0</v>
      </c>
      <c r="J705" s="5" t="n">
        <f aca="false">VA_base_426_data!C705</f>
        <v>1700</v>
      </c>
      <c r="K705" s="5" t="n">
        <f aca="false">H705+I705-J705</f>
        <v>0</v>
      </c>
      <c r="L705" s="5" t="n">
        <f aca="false">MIN($W$7,J705+K705)</f>
        <v>1700</v>
      </c>
      <c r="M705" s="5" t="n">
        <f aca="false">VA_base_426_data!D705</f>
        <v>800</v>
      </c>
      <c r="N705" s="5" t="n">
        <f aca="false">IF(AND(C705=10,E705=1),$W$6,N704-P704)</f>
        <v>43</v>
      </c>
      <c r="O705" s="5" t="n">
        <f aca="false">IF(ABS(M705-L705)&gt;1,MIN(N705/((L705-M705)*24/12.1/1000),D705),D705)</f>
        <v>24.087962962963</v>
      </c>
      <c r="P705" s="5" t="n">
        <f aca="false">MIN(IF(AND(G705,E705),(L705-M705)*24/12.1*O705/1000,0),N705)</f>
        <v>0</v>
      </c>
      <c r="Q705" s="5" t="n">
        <f aca="false">IF(P705&gt;0,P705/O705*12.1/24*1000+M705,0)</f>
        <v>0</v>
      </c>
      <c r="R705" s="0" t="n">
        <f aca="false">IF(Q705&gt;0,TRUNC(O705),0)</f>
        <v>0</v>
      </c>
      <c r="S705" s="5" t="n">
        <f aca="false">(M705*(D705-R705)+(Q705*R705))/D705</f>
        <v>800</v>
      </c>
      <c r="T705" s="6" t="n">
        <f aca="false">(Q705-M705)*R705*24/12.1/1000</f>
        <v>-0</v>
      </c>
    </row>
    <row r="706" customFormat="false" ht="14.35" hidden="false" customHeight="false" outlineLevel="0" collapsed="false">
      <c r="A706" s="4" t="n">
        <v>29220</v>
      </c>
      <c r="B706" s="15" t="n">
        <f aca="false">IF(C706&lt;=9,YEAR(A706),YEAR(A706)+1)</f>
        <v>1980</v>
      </c>
      <c r="C706" s="15" t="n">
        <f aca="false">MONTH(A706)</f>
        <v>12</v>
      </c>
      <c r="D706" s="15" t="n">
        <f aca="false">DAY(A706)</f>
        <v>31</v>
      </c>
      <c r="E706" s="15" t="n">
        <f aca="false">VLOOKUP(B706,WYT!$A$2:$L$97,12)</f>
        <v>1</v>
      </c>
      <c r="F706" s="15" t="n">
        <f aca="false">IF(C706=$W$5,1,0)</f>
        <v>0</v>
      </c>
      <c r="G706" s="15" t="n">
        <f aca="false">IF(C706=10,0,IF(F706=1,1,G705))</f>
        <v>0</v>
      </c>
      <c r="H706" s="5" t="n">
        <f aca="false">VA_base_426_data!B706</f>
        <v>1700</v>
      </c>
      <c r="I706" s="5" t="n">
        <f aca="false">IF(AND(E706=1,OR(C706=4,C706=5)),25*12.1/24/D706*1000,0)</f>
        <v>0</v>
      </c>
      <c r="J706" s="5" t="n">
        <f aca="false">VA_base_426_data!C706</f>
        <v>1700</v>
      </c>
      <c r="K706" s="5" t="n">
        <f aca="false">H706+I706-J706</f>
        <v>0</v>
      </c>
      <c r="L706" s="5" t="n">
        <f aca="false">MIN($W$7,J706+K706)</f>
        <v>1700</v>
      </c>
      <c r="M706" s="5" t="n">
        <f aca="false">VA_base_426_data!D706</f>
        <v>800</v>
      </c>
      <c r="N706" s="5" t="n">
        <f aca="false">IF(AND(C706=10,E706=1),$W$6,N705-P705)</f>
        <v>43</v>
      </c>
      <c r="O706" s="5" t="n">
        <f aca="false">IF(ABS(M706-L706)&gt;1,MIN(N706/((L706-M706)*24/12.1/1000),D706),D706)</f>
        <v>24.087962962963</v>
      </c>
      <c r="P706" s="5" t="n">
        <f aca="false">MIN(IF(AND(G706,E706),(L706-M706)*24/12.1*O706/1000,0),N706)</f>
        <v>0</v>
      </c>
      <c r="Q706" s="5" t="n">
        <f aca="false">IF(P706&gt;0,P706/O706*12.1/24*1000+M706,0)</f>
        <v>0</v>
      </c>
      <c r="R706" s="0" t="n">
        <f aca="false">IF(Q706&gt;0,TRUNC(O706),0)</f>
        <v>0</v>
      </c>
      <c r="S706" s="5" t="n">
        <f aca="false">(M706*(D706-R706)+(Q706*R706))/D706</f>
        <v>800</v>
      </c>
      <c r="T706" s="6" t="n">
        <f aca="false">(Q706-M706)*R706*24/12.1/1000</f>
        <v>-0</v>
      </c>
    </row>
    <row r="707" customFormat="false" ht="14.35" hidden="false" customHeight="false" outlineLevel="0" collapsed="false">
      <c r="A707" s="4" t="n">
        <v>29251</v>
      </c>
      <c r="B707" s="15" t="n">
        <f aca="false">IF(C707&lt;=9,YEAR(A707),YEAR(A707)+1)</f>
        <v>1980</v>
      </c>
      <c r="C707" s="15" t="n">
        <f aca="false">MONTH(A707)</f>
        <v>1</v>
      </c>
      <c r="D707" s="15" t="n">
        <f aca="false">DAY(A707)</f>
        <v>31</v>
      </c>
      <c r="E707" s="15" t="n">
        <f aca="false">VLOOKUP(B707,WYT!$A$2:$L$97,12)</f>
        <v>1</v>
      </c>
      <c r="F707" s="15" t="n">
        <f aca="false">IF(C707=$W$5,1,0)</f>
        <v>0</v>
      </c>
      <c r="G707" s="15" t="n">
        <f aca="false">IF(C707=10,0,IF(F707=1,1,G706))</f>
        <v>0</v>
      </c>
      <c r="H707" s="5" t="n">
        <f aca="false">VA_base_426_data!B707</f>
        <v>1700</v>
      </c>
      <c r="I707" s="5" t="n">
        <f aca="false">IF(AND(E707=1,OR(C707=4,C707=5)),25*12.1/24/D707*1000,0)</f>
        <v>0</v>
      </c>
      <c r="J707" s="5" t="n">
        <f aca="false">VA_base_426_data!C707</f>
        <v>1700</v>
      </c>
      <c r="K707" s="5" t="n">
        <f aca="false">H707+I707-J707</f>
        <v>0</v>
      </c>
      <c r="L707" s="5" t="n">
        <f aca="false">MIN($W$7,J707+K707)</f>
        <v>1700</v>
      </c>
      <c r="M707" s="5" t="n">
        <f aca="false">VA_base_426_data!D707</f>
        <v>800</v>
      </c>
      <c r="N707" s="5" t="n">
        <f aca="false">IF(AND(C707=10,E707=1),$W$6,N706-P706)</f>
        <v>43</v>
      </c>
      <c r="O707" s="5" t="n">
        <f aca="false">IF(ABS(M707-L707)&gt;1,MIN(N707/((L707-M707)*24/12.1/1000),D707),D707)</f>
        <v>24.087962962963</v>
      </c>
      <c r="P707" s="5" t="n">
        <f aca="false">MIN(IF(AND(G707,E707),(L707-M707)*24/12.1*O707/1000,0),N707)</f>
        <v>0</v>
      </c>
      <c r="Q707" s="5" t="n">
        <f aca="false">IF(P707&gt;0,P707/O707*12.1/24*1000+M707,0)</f>
        <v>0</v>
      </c>
      <c r="R707" s="0" t="n">
        <f aca="false">IF(Q707&gt;0,TRUNC(O707),0)</f>
        <v>0</v>
      </c>
      <c r="S707" s="5" t="n">
        <f aca="false">(M707*(D707-R707)+(Q707*R707))/D707</f>
        <v>800</v>
      </c>
      <c r="T707" s="6" t="n">
        <f aca="false">(Q707-M707)*R707*24/12.1/1000</f>
        <v>-0</v>
      </c>
    </row>
    <row r="708" customFormat="false" ht="14.35" hidden="false" customHeight="false" outlineLevel="0" collapsed="false">
      <c r="A708" s="4" t="n">
        <v>29280</v>
      </c>
      <c r="B708" s="15" t="n">
        <f aca="false">IF(C708&lt;=9,YEAR(A708),YEAR(A708)+1)</f>
        <v>1980</v>
      </c>
      <c r="C708" s="15" t="n">
        <f aca="false">MONTH(A708)</f>
        <v>2</v>
      </c>
      <c r="D708" s="15" t="n">
        <f aca="false">DAY(A708)</f>
        <v>29</v>
      </c>
      <c r="E708" s="15" t="n">
        <f aca="false">VLOOKUP(B708,WYT!$A$2:$L$97,12)</f>
        <v>1</v>
      </c>
      <c r="F708" s="15" t="n">
        <f aca="false">IF(C708=$W$5,1,0)</f>
        <v>1</v>
      </c>
      <c r="G708" s="15" t="n">
        <f aca="false">IF(C708=10,0,IF(F708=1,1,G707))</f>
        <v>1</v>
      </c>
      <c r="H708" s="5" t="n">
        <f aca="false">VA_base_426_data!B708</f>
        <v>14849.7358783277</v>
      </c>
      <c r="I708" s="5" t="n">
        <f aca="false">IF(AND(E708=1,OR(C708=4,C708=5)),25*12.1/24/D708*1000,0)</f>
        <v>0</v>
      </c>
      <c r="J708" s="5" t="n">
        <f aca="false">VA_base_426_data!C708</f>
        <v>1700</v>
      </c>
      <c r="K708" s="5" t="n">
        <f aca="false">H708+I708-J708</f>
        <v>13149.7358783277</v>
      </c>
      <c r="L708" s="5" t="n">
        <f aca="false">MIN($W$7,J708+K708)</f>
        <v>2000</v>
      </c>
      <c r="M708" s="5" t="n">
        <f aca="false">VA_base_426_data!D708</f>
        <v>800</v>
      </c>
      <c r="N708" s="5" t="n">
        <f aca="false">IF(AND(C708=10,E708=1),$W$6,N707-P707)</f>
        <v>43</v>
      </c>
      <c r="O708" s="5" t="n">
        <f aca="false">IF(ABS(M708-L708)&gt;1,MIN(N708/((L708-M708)*24/12.1/1000),D708),D708)</f>
        <v>18.0659722222222</v>
      </c>
      <c r="P708" s="5" t="n">
        <f aca="false">MIN(IF(AND(G708,E708),(L708-M708)*24/12.1*O708/1000,0),N708)</f>
        <v>43</v>
      </c>
      <c r="Q708" s="5" t="n">
        <f aca="false">IF(P708&gt;0,P708/O708*12.1/24*1000+M708,0)</f>
        <v>2000</v>
      </c>
      <c r="R708" s="0" t="n">
        <f aca="false">IF(Q708&gt;0,TRUNC(O708),0)</f>
        <v>18</v>
      </c>
      <c r="S708" s="5" t="n">
        <f aca="false">(M708*(D708-R708)+(Q708*R708))/D708</f>
        <v>1544.8275862069</v>
      </c>
      <c r="T708" s="6" t="n">
        <f aca="false">(Q708-M708)*R708*24/12.1/1000</f>
        <v>42.8429752066116</v>
      </c>
    </row>
    <row r="709" customFormat="false" ht="14.35" hidden="false" customHeight="false" outlineLevel="0" collapsed="false">
      <c r="A709" s="4" t="n">
        <v>29311</v>
      </c>
      <c r="B709" s="15" t="n">
        <f aca="false">IF(C709&lt;=9,YEAR(A709),YEAR(A709)+1)</f>
        <v>1980</v>
      </c>
      <c r="C709" s="15" t="n">
        <f aca="false">MONTH(A709)</f>
        <v>3</v>
      </c>
      <c r="D709" s="15" t="n">
        <f aca="false">DAY(A709)</f>
        <v>31</v>
      </c>
      <c r="E709" s="15" t="n">
        <f aca="false">VLOOKUP(B709,WYT!$A$2:$L$97,12)</f>
        <v>1</v>
      </c>
      <c r="F709" s="15" t="n">
        <f aca="false">IF(C709=$W$5,1,0)</f>
        <v>0</v>
      </c>
      <c r="G709" s="15" t="n">
        <f aca="false">IF(C709=10,0,IF(F709=1,1,G708))</f>
        <v>1</v>
      </c>
      <c r="H709" s="5" t="n">
        <f aca="false">VA_base_426_data!B709</f>
        <v>5309.54123567003</v>
      </c>
      <c r="I709" s="5" t="n">
        <f aca="false">IF(AND(E709=1,OR(C709=4,C709=5)),25*12.1/24/D709*1000,0)</f>
        <v>0</v>
      </c>
      <c r="J709" s="5" t="n">
        <f aca="false">VA_base_426_data!C709</f>
        <v>1700</v>
      </c>
      <c r="K709" s="5" t="n">
        <f aca="false">H709+I709-J709</f>
        <v>3609.54123567003</v>
      </c>
      <c r="L709" s="5" t="n">
        <f aca="false">MIN($W$7,J709+K709)</f>
        <v>2000</v>
      </c>
      <c r="M709" s="5" t="n">
        <f aca="false">VA_base_426_data!D709</f>
        <v>800</v>
      </c>
      <c r="N709" s="5" t="n">
        <f aca="false">IF(AND(C709=10,E709=1),$W$6,N708-P708)</f>
        <v>0</v>
      </c>
      <c r="O709" s="5" t="n">
        <f aca="false">IF(ABS(M709-L709)&gt;1,MIN(N709/((L709-M709)*24/12.1/1000),D709),D709)</f>
        <v>0</v>
      </c>
      <c r="P709" s="5" t="n">
        <f aca="false">MIN(IF(AND(G709,E709),(L709-M709)*24/12.1*O709/1000,0),N709)</f>
        <v>0</v>
      </c>
      <c r="Q709" s="5" t="n">
        <f aca="false">IF(P709&gt;0,P709/O709*12.1/24*1000+M709,0)</f>
        <v>0</v>
      </c>
      <c r="R709" s="0" t="n">
        <f aca="false">IF(Q709&gt;0,TRUNC(O709),0)</f>
        <v>0</v>
      </c>
      <c r="S709" s="5" t="n">
        <f aca="false">(M709*(D709-R709)+(Q709*R709))/D709</f>
        <v>800</v>
      </c>
      <c r="T709" s="6" t="n">
        <f aca="false">(Q709-M709)*R709*24/12.1/1000</f>
        <v>-0</v>
      </c>
    </row>
    <row r="710" customFormat="false" ht="14.35" hidden="false" customHeight="false" outlineLevel="0" collapsed="false">
      <c r="A710" s="4" t="n">
        <v>29341</v>
      </c>
      <c r="B710" s="15" t="n">
        <f aca="false">IF(C710&lt;=9,YEAR(A710),YEAR(A710)+1)</f>
        <v>1980</v>
      </c>
      <c r="C710" s="15" t="n">
        <f aca="false">MONTH(A710)</f>
        <v>4</v>
      </c>
      <c r="D710" s="15" t="n">
        <f aca="false">DAY(A710)</f>
        <v>30</v>
      </c>
      <c r="E710" s="15" t="n">
        <f aca="false">VLOOKUP(B710,WYT!$A$2:$L$97,12)</f>
        <v>1</v>
      </c>
      <c r="F710" s="15" t="n">
        <f aca="false">IF(C710=$W$5,1,0)</f>
        <v>0</v>
      </c>
      <c r="G710" s="15" t="n">
        <f aca="false">IF(C710=10,0,IF(F710=1,1,G709))</f>
        <v>1</v>
      </c>
      <c r="H710" s="5" t="n">
        <f aca="false">VA_base_426_data!B710</f>
        <v>1000</v>
      </c>
      <c r="I710" s="5" t="n">
        <f aca="false">IF(AND(E710=1,OR(C710=4,C710=5)),25*12.1/24/D710*1000,0)</f>
        <v>420.138888888889</v>
      </c>
      <c r="J710" s="5" t="n">
        <f aca="false">VA_base_426_data!C710</f>
        <v>1000</v>
      </c>
      <c r="K710" s="5" t="n">
        <f aca="false">H710+I710-J710</f>
        <v>420.138888888889</v>
      </c>
      <c r="L710" s="5" t="n">
        <f aca="false">MIN($W$7,J710+K710)</f>
        <v>1420.13888888889</v>
      </c>
      <c r="M710" s="5" t="n">
        <f aca="false">VA_base_426_data!D710</f>
        <v>700</v>
      </c>
      <c r="N710" s="5" t="n">
        <f aca="false">IF(AND(C710=10,E710=1),$W$6,N709-P709)</f>
        <v>0</v>
      </c>
      <c r="O710" s="5" t="n">
        <f aca="false">IF(ABS(M710-L710)&gt;1,MIN(N710/((L710-M710)*24/12.1/1000),D710),D710)</f>
        <v>0</v>
      </c>
      <c r="P710" s="5" t="n">
        <f aca="false">MIN(IF(AND(G710,E710),(L710-M710)*24/12.1*O710/1000,0),N710)</f>
        <v>0</v>
      </c>
      <c r="Q710" s="5" t="n">
        <f aca="false">IF(P710&gt;0,P710/O710*12.1/24*1000+M710,0)</f>
        <v>0</v>
      </c>
      <c r="R710" s="0" t="n">
        <f aca="false">IF(Q710&gt;0,TRUNC(O710),0)</f>
        <v>0</v>
      </c>
      <c r="S710" s="5" t="n">
        <f aca="false">(M710*(D710-R710)+(Q710*R710))/D710</f>
        <v>700</v>
      </c>
      <c r="T710" s="6" t="n">
        <f aca="false">(Q710-M710)*R710*24/12.1/1000</f>
        <v>-0</v>
      </c>
    </row>
    <row r="711" customFormat="false" ht="14.35" hidden="false" customHeight="false" outlineLevel="0" collapsed="false">
      <c r="A711" s="4" t="n">
        <v>29372</v>
      </c>
      <c r="B711" s="15" t="n">
        <f aca="false">IF(C711&lt;=9,YEAR(A711),YEAR(A711)+1)</f>
        <v>1980</v>
      </c>
      <c r="C711" s="15" t="n">
        <f aca="false">MONTH(A711)</f>
        <v>5</v>
      </c>
      <c r="D711" s="15" t="n">
        <f aca="false">DAY(A711)</f>
        <v>31</v>
      </c>
      <c r="E711" s="15" t="n">
        <f aca="false">VLOOKUP(B711,WYT!$A$2:$L$97,12)</f>
        <v>1</v>
      </c>
      <c r="F711" s="15" t="n">
        <f aca="false">IF(C711=$W$5,1,0)</f>
        <v>0</v>
      </c>
      <c r="G711" s="15" t="n">
        <f aca="false">IF(C711=10,0,IF(F711=1,1,G710))</f>
        <v>1</v>
      </c>
      <c r="H711" s="5" t="n">
        <f aca="false">VA_base_426_data!B711</f>
        <v>1000</v>
      </c>
      <c r="I711" s="5" t="n">
        <f aca="false">IF(AND(E711=1,OR(C711=4,C711=5)),25*12.1/24/D711*1000,0)</f>
        <v>406.586021505376</v>
      </c>
      <c r="J711" s="5" t="n">
        <f aca="false">VA_base_426_data!C711</f>
        <v>1000</v>
      </c>
      <c r="K711" s="5" t="n">
        <f aca="false">H711+I711-J711</f>
        <v>406.586021505376</v>
      </c>
      <c r="L711" s="5" t="n">
        <f aca="false">MIN($W$7,J711+K711)</f>
        <v>1406.58602150538</v>
      </c>
      <c r="M711" s="5" t="n">
        <f aca="false">VA_base_426_data!D711</f>
        <v>700</v>
      </c>
      <c r="N711" s="5" t="n">
        <f aca="false">IF(AND(C711=10,E711=1),$W$6,N710-P710)</f>
        <v>0</v>
      </c>
      <c r="O711" s="5" t="n">
        <f aca="false">IF(ABS(M711-L711)&gt;1,MIN(N711/((L711-M711)*24/12.1/1000),D711),D711)</f>
        <v>0</v>
      </c>
      <c r="P711" s="5" t="n">
        <f aca="false">MIN(IF(AND(G711,E711),(L711-M711)*24/12.1*O711/1000,0),N711)</f>
        <v>0</v>
      </c>
      <c r="Q711" s="5" t="n">
        <f aca="false">IF(P711&gt;0,P711/O711*12.1/24*1000+M711,0)</f>
        <v>0</v>
      </c>
      <c r="R711" s="0" t="n">
        <f aca="false">IF(Q711&gt;0,TRUNC(O711),0)</f>
        <v>0</v>
      </c>
      <c r="S711" s="5" t="n">
        <f aca="false">(M711*(D711-R711)+(Q711*R711))/D711</f>
        <v>700</v>
      </c>
      <c r="T711" s="6" t="n">
        <f aca="false">(Q711-M711)*R711*24/12.1/1000</f>
        <v>-0</v>
      </c>
    </row>
    <row r="712" customFormat="false" ht="14.35" hidden="false" customHeight="false" outlineLevel="0" collapsed="false">
      <c r="A712" s="4" t="n">
        <v>29402</v>
      </c>
      <c r="B712" s="15" t="n">
        <f aca="false">IF(C712&lt;=9,YEAR(A712),YEAR(A712)+1)</f>
        <v>1980</v>
      </c>
      <c r="C712" s="15" t="n">
        <f aca="false">MONTH(A712)</f>
        <v>6</v>
      </c>
      <c r="D712" s="15" t="n">
        <f aca="false">DAY(A712)</f>
        <v>30</v>
      </c>
      <c r="E712" s="15" t="n">
        <f aca="false">VLOOKUP(B712,WYT!$A$2:$L$97,12)</f>
        <v>1</v>
      </c>
      <c r="F712" s="15" t="n">
        <f aca="false">IF(C712=$W$5,1,0)</f>
        <v>0</v>
      </c>
      <c r="G712" s="15" t="n">
        <f aca="false">IF(C712=10,0,IF(F712=1,1,G711))</f>
        <v>1</v>
      </c>
      <c r="H712" s="5" t="n">
        <f aca="false">VA_base_426_data!B712</f>
        <v>1000</v>
      </c>
      <c r="I712" s="5" t="n">
        <f aca="false">IF(AND(E712=1,OR(C712=4,C712=5)),25*12.1/24/D712*1000,0)</f>
        <v>0</v>
      </c>
      <c r="J712" s="5" t="n">
        <f aca="false">VA_base_426_data!C712</f>
        <v>1000</v>
      </c>
      <c r="K712" s="5" t="n">
        <f aca="false">H712+I712-J712</f>
        <v>0</v>
      </c>
      <c r="L712" s="5" t="n">
        <f aca="false">MIN($W$7,J712+K712)</f>
        <v>1000</v>
      </c>
      <c r="M712" s="5" t="n">
        <f aca="false">VA_base_426_data!D712</f>
        <v>700</v>
      </c>
      <c r="N712" s="5" t="n">
        <f aca="false">IF(AND(C712=10,E712=1),$W$6,N711-P711)</f>
        <v>0</v>
      </c>
      <c r="O712" s="5" t="n">
        <f aca="false">IF(ABS(M712-L712)&gt;1,MIN(N712/((L712-M712)*24/12.1/1000),D712),D712)</f>
        <v>0</v>
      </c>
      <c r="P712" s="5" t="n">
        <f aca="false">MIN(IF(AND(G712,E712),(L712-M712)*24/12.1*O712/1000,0),N712)</f>
        <v>0</v>
      </c>
      <c r="Q712" s="5" t="n">
        <f aca="false">IF(P712&gt;0,P712/O712*12.1/24*1000+M712,0)</f>
        <v>0</v>
      </c>
      <c r="R712" s="0" t="n">
        <f aca="false">IF(Q712&gt;0,TRUNC(O712),0)</f>
        <v>0</v>
      </c>
      <c r="S712" s="5" t="n">
        <f aca="false">(M712*(D712-R712)+(Q712*R712))/D712</f>
        <v>700</v>
      </c>
      <c r="T712" s="6" t="n">
        <f aca="false">(Q712-M712)*R712*24/12.1/1000</f>
        <v>-0</v>
      </c>
    </row>
    <row r="713" customFormat="false" ht="14.35" hidden="false" customHeight="false" outlineLevel="0" collapsed="false">
      <c r="A713" s="4" t="n">
        <v>29433</v>
      </c>
      <c r="B713" s="15" t="n">
        <f aca="false">IF(C713&lt;=9,YEAR(A713),YEAR(A713)+1)</f>
        <v>1980</v>
      </c>
      <c r="C713" s="15" t="n">
        <f aca="false">MONTH(A713)</f>
        <v>7</v>
      </c>
      <c r="D713" s="15" t="n">
        <f aca="false">DAY(A713)</f>
        <v>31</v>
      </c>
      <c r="E713" s="15" t="n">
        <f aca="false">VLOOKUP(B713,WYT!$A$2:$L$97,12)</f>
        <v>1</v>
      </c>
      <c r="F713" s="15" t="n">
        <f aca="false">IF(C713=$W$5,1,0)</f>
        <v>0</v>
      </c>
      <c r="G713" s="15" t="n">
        <f aca="false">IF(C713=10,0,IF(F713=1,1,G712))</f>
        <v>1</v>
      </c>
      <c r="H713" s="5" t="n">
        <f aca="false">VA_base_426_data!B713</f>
        <v>5633.88979887802</v>
      </c>
      <c r="I713" s="5" t="n">
        <f aca="false">IF(AND(E713=1,OR(C713=4,C713=5)),25*12.1/24/D713*1000,0)</f>
        <v>0</v>
      </c>
      <c r="J713" s="5" t="n">
        <f aca="false">VA_base_426_data!C713</f>
        <v>1000</v>
      </c>
      <c r="K713" s="5" t="n">
        <f aca="false">H713+I713-J713</f>
        <v>4633.88979887802</v>
      </c>
      <c r="L713" s="5" t="n">
        <f aca="false">MIN($W$7,J713+K713)</f>
        <v>2000</v>
      </c>
      <c r="M713" s="5" t="n">
        <f aca="false">VA_base_426_data!D713</f>
        <v>700</v>
      </c>
      <c r="N713" s="5" t="n">
        <f aca="false">IF(AND(C713=10,E713=1),$W$6,N712-P712)</f>
        <v>0</v>
      </c>
      <c r="O713" s="5" t="n">
        <f aca="false">IF(ABS(M713-L713)&gt;1,MIN(N713/((L713-M713)*24/12.1/1000),D713),D713)</f>
        <v>0</v>
      </c>
      <c r="P713" s="5" t="n">
        <f aca="false">MIN(IF(AND(G713,E713),(L713-M713)*24/12.1*O713/1000,0),N713)</f>
        <v>0</v>
      </c>
      <c r="Q713" s="5" t="n">
        <f aca="false">IF(P713&gt;0,P713/O713*12.1/24*1000+M713,0)</f>
        <v>0</v>
      </c>
      <c r="R713" s="0" t="n">
        <f aca="false">IF(Q713&gt;0,TRUNC(O713),0)</f>
        <v>0</v>
      </c>
      <c r="S713" s="5" t="n">
        <f aca="false">(M713*(D713-R713)+(Q713*R713))/D713</f>
        <v>700</v>
      </c>
      <c r="T713" s="6" t="n">
        <f aca="false">(Q713-M713)*R713*24/12.1/1000</f>
        <v>-0</v>
      </c>
    </row>
    <row r="714" customFormat="false" ht="14.35" hidden="false" customHeight="false" outlineLevel="0" collapsed="false">
      <c r="A714" s="4" t="n">
        <v>29464</v>
      </c>
      <c r="B714" s="15" t="n">
        <f aca="false">IF(C714&lt;=9,YEAR(A714),YEAR(A714)+1)</f>
        <v>1980</v>
      </c>
      <c r="C714" s="15" t="n">
        <f aca="false">MONTH(A714)</f>
        <v>8</v>
      </c>
      <c r="D714" s="15" t="n">
        <f aca="false">DAY(A714)</f>
        <v>31</v>
      </c>
      <c r="E714" s="15" t="n">
        <f aca="false">VLOOKUP(B714,WYT!$A$2:$L$97,12)</f>
        <v>1</v>
      </c>
      <c r="F714" s="15" t="n">
        <f aca="false">IF(C714=$W$5,1,0)</f>
        <v>0</v>
      </c>
      <c r="G714" s="15" t="n">
        <f aca="false">IF(C714=10,0,IF(F714=1,1,G713))</f>
        <v>1</v>
      </c>
      <c r="H714" s="5" t="n">
        <f aca="false">VA_base_426_data!B714</f>
        <v>4483.55392437415</v>
      </c>
      <c r="I714" s="5" t="n">
        <f aca="false">IF(AND(E714=1,OR(C714=4,C714=5)),25*12.1/24/D714*1000,0)</f>
        <v>0</v>
      </c>
      <c r="J714" s="5" t="n">
        <f aca="false">VA_base_426_data!C714</f>
        <v>1000</v>
      </c>
      <c r="K714" s="5" t="n">
        <f aca="false">H714+I714-J714</f>
        <v>3483.55392437415</v>
      </c>
      <c r="L714" s="5" t="n">
        <f aca="false">MIN($W$7,J714+K714)</f>
        <v>2000</v>
      </c>
      <c r="M714" s="5" t="n">
        <f aca="false">VA_base_426_data!D714</f>
        <v>700</v>
      </c>
      <c r="N714" s="5" t="n">
        <f aca="false">IF(AND(C714=10,E714=1),$W$6,N713-P713)</f>
        <v>0</v>
      </c>
      <c r="O714" s="5" t="n">
        <f aca="false">IF(ABS(M714-L714)&gt;1,MIN(N714/((L714-M714)*24/12.1/1000),D714),D714)</f>
        <v>0</v>
      </c>
      <c r="P714" s="5" t="n">
        <f aca="false">MIN(IF(AND(G714,E714),(L714-M714)*24/12.1*O714/1000,0),N714)</f>
        <v>0</v>
      </c>
      <c r="Q714" s="5" t="n">
        <f aca="false">IF(P714&gt;0,P714/O714*12.1/24*1000+M714,0)</f>
        <v>0</v>
      </c>
      <c r="R714" s="0" t="n">
        <f aca="false">IF(Q714&gt;0,TRUNC(O714),0)</f>
        <v>0</v>
      </c>
      <c r="S714" s="5" t="n">
        <f aca="false">(M714*(D714-R714)+(Q714*R714))/D714</f>
        <v>700</v>
      </c>
      <c r="T714" s="6" t="n">
        <f aca="false">(Q714-M714)*R714*24/12.1/1000</f>
        <v>-0</v>
      </c>
    </row>
    <row r="715" customFormat="false" ht="14.35" hidden="false" customHeight="false" outlineLevel="0" collapsed="false">
      <c r="A715" s="4" t="n">
        <v>29494</v>
      </c>
      <c r="B715" s="15" t="n">
        <f aca="false">IF(C715&lt;=9,YEAR(A715),YEAR(A715)+1)</f>
        <v>1980</v>
      </c>
      <c r="C715" s="15" t="n">
        <f aca="false">MONTH(A715)</f>
        <v>9</v>
      </c>
      <c r="D715" s="15" t="n">
        <f aca="false">DAY(A715)</f>
        <v>30</v>
      </c>
      <c r="E715" s="15" t="n">
        <f aca="false">VLOOKUP(B715,WYT!$A$2:$L$97,12)</f>
        <v>1</v>
      </c>
      <c r="F715" s="15" t="n">
        <f aca="false">IF(C715=$W$5,1,0)</f>
        <v>0</v>
      </c>
      <c r="G715" s="15" t="n">
        <f aca="false">IF(C715=10,0,IF(F715=1,1,G714))</f>
        <v>1</v>
      </c>
      <c r="H715" s="5" t="n">
        <f aca="false">VA_base_426_data!B715</f>
        <v>7357.39784167077</v>
      </c>
      <c r="I715" s="5" t="n">
        <f aca="false">IF(AND(E715=1,OR(C715=4,C715=5)),25*12.1/24/D715*1000,0)</f>
        <v>0</v>
      </c>
      <c r="J715" s="5" t="n">
        <f aca="false">VA_base_426_data!C715</f>
        <v>1000</v>
      </c>
      <c r="K715" s="5" t="n">
        <f aca="false">H715+I715-J715</f>
        <v>6357.39784167077</v>
      </c>
      <c r="L715" s="5" t="n">
        <f aca="false">MIN($W$7,J715+K715)</f>
        <v>2000</v>
      </c>
      <c r="M715" s="5" t="n">
        <f aca="false">VA_base_426_data!D715</f>
        <v>773.3333333</v>
      </c>
      <c r="N715" s="5" t="n">
        <f aca="false">IF(AND(C715=10,E715=1),$W$6,N714-P714)</f>
        <v>0</v>
      </c>
      <c r="O715" s="5" t="n">
        <f aca="false">IF(ABS(M715-L715)&gt;1,MIN(N715/((L715-M715)*24/12.1/1000),D715),D715)</f>
        <v>0</v>
      </c>
      <c r="P715" s="5" t="n">
        <f aca="false">MIN(IF(AND(G715,E715),(L715-M715)*24/12.1*O715/1000,0),N715)</f>
        <v>0</v>
      </c>
      <c r="Q715" s="5" t="n">
        <f aca="false">IF(P715&gt;0,P715/O715*12.1/24*1000+M715,0)</f>
        <v>0</v>
      </c>
      <c r="R715" s="0" t="n">
        <f aca="false">IF(Q715&gt;0,TRUNC(O715),0)</f>
        <v>0</v>
      </c>
      <c r="S715" s="5" t="n">
        <f aca="false">(M715*(D715-R715)+(Q715*R715))/D715</f>
        <v>773.3333333</v>
      </c>
      <c r="T715" s="6" t="n">
        <f aca="false">(Q715-M715)*R715*24/12.1/1000</f>
        <v>-0</v>
      </c>
    </row>
    <row r="716" customFormat="false" ht="14.35" hidden="false" customHeight="false" outlineLevel="0" collapsed="false">
      <c r="A716" s="4" t="n">
        <v>29525</v>
      </c>
      <c r="B716" s="15" t="n">
        <f aca="false">IF(C716&lt;=9,YEAR(A716),YEAR(A716)+1)</f>
        <v>1981</v>
      </c>
      <c r="C716" s="15" t="n">
        <f aca="false">MONTH(A716)</f>
        <v>10</v>
      </c>
      <c r="D716" s="15" t="n">
        <f aca="false">DAY(A716)</f>
        <v>31</v>
      </c>
      <c r="E716" s="15" t="n">
        <f aca="false">VLOOKUP(B716,WYT!$A$2:$L$97,12)</f>
        <v>1</v>
      </c>
      <c r="F716" s="15" t="n">
        <f aca="false">IF(C716=$W$5,1,0)</f>
        <v>0</v>
      </c>
      <c r="G716" s="15" t="n">
        <f aca="false">IF(C716=10,0,IF(F716=1,1,G715))</f>
        <v>0</v>
      </c>
      <c r="H716" s="5" t="n">
        <f aca="false">VA_base_426_data!B716</f>
        <v>4000</v>
      </c>
      <c r="I716" s="5" t="n">
        <f aca="false">IF(AND(E716=1,OR(C716=4,C716=5)),25*12.1/24/D716*1000,0)</f>
        <v>0</v>
      </c>
      <c r="J716" s="5" t="n">
        <f aca="false">VA_base_426_data!C716</f>
        <v>1700</v>
      </c>
      <c r="K716" s="5" t="n">
        <f aca="false">H716+I716-J716</f>
        <v>2300</v>
      </c>
      <c r="L716" s="5" t="n">
        <f aca="false">MIN($W$7,J716+K716)</f>
        <v>2000</v>
      </c>
      <c r="M716" s="5" t="n">
        <f aca="false">VA_base_426_data!D716</f>
        <v>800</v>
      </c>
      <c r="N716" s="5" t="n">
        <f aca="false">IF(AND(C716=10,E716=1),$W$6,N715-P715)</f>
        <v>43</v>
      </c>
      <c r="O716" s="5" t="n">
        <f aca="false">IF(ABS(M716-L716)&gt;1,MIN(N716/((L716-M716)*24/12.1/1000),D716),D716)</f>
        <v>18.0659722222222</v>
      </c>
      <c r="P716" s="5" t="n">
        <f aca="false">MIN(IF(AND(G716,E716),(L716-M716)*24/12.1*O716/1000,0),N716)</f>
        <v>0</v>
      </c>
      <c r="Q716" s="5" t="n">
        <f aca="false">IF(P716&gt;0,P716/O716*12.1/24*1000+M716,0)</f>
        <v>0</v>
      </c>
      <c r="R716" s="0" t="n">
        <f aca="false">IF(Q716&gt;0,TRUNC(O716),0)</f>
        <v>0</v>
      </c>
      <c r="S716" s="5" t="n">
        <f aca="false">(M716*(D716-R716)+(Q716*R716))/D716</f>
        <v>800</v>
      </c>
      <c r="T716" s="6" t="n">
        <f aca="false">(Q716-M716)*R716*24/12.1/1000</f>
        <v>-0</v>
      </c>
    </row>
    <row r="717" customFormat="false" ht="14.35" hidden="false" customHeight="false" outlineLevel="0" collapsed="false">
      <c r="A717" s="4" t="n">
        <v>29555</v>
      </c>
      <c r="B717" s="15" t="n">
        <f aca="false">IF(C717&lt;=9,YEAR(A717),YEAR(A717)+1)</f>
        <v>1981</v>
      </c>
      <c r="C717" s="15" t="n">
        <f aca="false">MONTH(A717)</f>
        <v>11</v>
      </c>
      <c r="D717" s="15" t="n">
        <f aca="false">DAY(A717)</f>
        <v>30</v>
      </c>
      <c r="E717" s="15" t="n">
        <f aca="false">VLOOKUP(B717,WYT!$A$2:$L$97,12)</f>
        <v>1</v>
      </c>
      <c r="F717" s="15" t="n">
        <f aca="false">IF(C717=$W$5,1,0)</f>
        <v>0</v>
      </c>
      <c r="G717" s="15" t="n">
        <f aca="false">IF(C717=10,0,IF(F717=1,1,G716))</f>
        <v>0</v>
      </c>
      <c r="H717" s="5" t="n">
        <f aca="false">VA_base_426_data!B717</f>
        <v>2500</v>
      </c>
      <c r="I717" s="5" t="n">
        <f aca="false">IF(AND(E717=1,OR(C717=4,C717=5)),25*12.1/24/D717*1000,0)</f>
        <v>0</v>
      </c>
      <c r="J717" s="5" t="n">
        <f aca="false">VA_base_426_data!C717</f>
        <v>1700</v>
      </c>
      <c r="K717" s="5" t="n">
        <f aca="false">H717+I717-J717</f>
        <v>800</v>
      </c>
      <c r="L717" s="5" t="n">
        <f aca="false">MIN($W$7,J717+K717)</f>
        <v>2000</v>
      </c>
      <c r="M717" s="5" t="n">
        <f aca="false">VA_base_426_data!D717</f>
        <v>800</v>
      </c>
      <c r="N717" s="5" t="n">
        <f aca="false">IF(AND(C717=10,E717=1),$W$6,N716-P716)</f>
        <v>43</v>
      </c>
      <c r="O717" s="5" t="n">
        <f aca="false">IF(ABS(M717-L717)&gt;1,MIN(N717/((L717-M717)*24/12.1/1000),D717),D717)</f>
        <v>18.0659722222222</v>
      </c>
      <c r="P717" s="5" t="n">
        <f aca="false">MIN(IF(AND(G717,E717),(L717-M717)*24/12.1*O717/1000,0),N717)</f>
        <v>0</v>
      </c>
      <c r="Q717" s="5" t="n">
        <f aca="false">IF(P717&gt;0,P717/O717*12.1/24*1000+M717,0)</f>
        <v>0</v>
      </c>
      <c r="R717" s="0" t="n">
        <f aca="false">IF(Q717&gt;0,TRUNC(O717),0)</f>
        <v>0</v>
      </c>
      <c r="S717" s="5" t="n">
        <f aca="false">(M717*(D717-R717)+(Q717*R717))/D717</f>
        <v>800</v>
      </c>
      <c r="T717" s="6" t="n">
        <f aca="false">(Q717-M717)*R717*24/12.1/1000</f>
        <v>-0</v>
      </c>
    </row>
    <row r="718" customFormat="false" ht="14.35" hidden="false" customHeight="false" outlineLevel="0" collapsed="false">
      <c r="A718" s="4" t="n">
        <v>29586</v>
      </c>
      <c r="B718" s="15" t="n">
        <f aca="false">IF(C718&lt;=9,YEAR(A718),YEAR(A718)+1)</f>
        <v>1981</v>
      </c>
      <c r="C718" s="15" t="n">
        <f aca="false">MONTH(A718)</f>
        <v>12</v>
      </c>
      <c r="D718" s="15" t="n">
        <f aca="false">DAY(A718)</f>
        <v>31</v>
      </c>
      <c r="E718" s="15" t="n">
        <f aca="false">VLOOKUP(B718,WYT!$A$2:$L$97,12)</f>
        <v>1</v>
      </c>
      <c r="F718" s="15" t="n">
        <f aca="false">IF(C718=$W$5,1,0)</f>
        <v>0</v>
      </c>
      <c r="G718" s="15" t="n">
        <f aca="false">IF(C718=10,0,IF(F718=1,1,G717))</f>
        <v>0</v>
      </c>
      <c r="H718" s="5" t="n">
        <f aca="false">VA_base_426_data!B718</f>
        <v>4010.71532810796</v>
      </c>
      <c r="I718" s="5" t="n">
        <f aca="false">IF(AND(E718=1,OR(C718=4,C718=5)),25*12.1/24/D718*1000,0)</f>
        <v>0</v>
      </c>
      <c r="J718" s="5" t="n">
        <f aca="false">VA_base_426_data!C718</f>
        <v>1700</v>
      </c>
      <c r="K718" s="5" t="n">
        <f aca="false">H718+I718-J718</f>
        <v>2310.71532810796</v>
      </c>
      <c r="L718" s="5" t="n">
        <f aca="false">MIN($W$7,J718+K718)</f>
        <v>2000</v>
      </c>
      <c r="M718" s="5" t="n">
        <f aca="false">VA_base_426_data!D718</f>
        <v>800</v>
      </c>
      <c r="N718" s="5" t="n">
        <f aca="false">IF(AND(C718=10,E718=1),$W$6,N717-P717)</f>
        <v>43</v>
      </c>
      <c r="O718" s="5" t="n">
        <f aca="false">IF(ABS(M718-L718)&gt;1,MIN(N718/((L718-M718)*24/12.1/1000),D718),D718)</f>
        <v>18.0659722222222</v>
      </c>
      <c r="P718" s="5" t="n">
        <f aca="false">MIN(IF(AND(G718,E718),(L718-M718)*24/12.1*O718/1000,0),N718)</f>
        <v>0</v>
      </c>
      <c r="Q718" s="5" t="n">
        <f aca="false">IF(P718&gt;0,P718/O718*12.1/24*1000+M718,0)</f>
        <v>0</v>
      </c>
      <c r="R718" s="0" t="n">
        <f aca="false">IF(Q718&gt;0,TRUNC(O718),0)</f>
        <v>0</v>
      </c>
      <c r="S718" s="5" t="n">
        <f aca="false">(M718*(D718-R718)+(Q718*R718))/D718</f>
        <v>800</v>
      </c>
      <c r="T718" s="6" t="n">
        <f aca="false">(Q718-M718)*R718*24/12.1/1000</f>
        <v>-0</v>
      </c>
    </row>
    <row r="719" customFormat="false" ht="14.35" hidden="false" customHeight="false" outlineLevel="0" collapsed="false">
      <c r="A719" s="4" t="n">
        <v>29617</v>
      </c>
      <c r="B719" s="15" t="n">
        <f aca="false">IF(C719&lt;=9,YEAR(A719),YEAR(A719)+1)</f>
        <v>1981</v>
      </c>
      <c r="C719" s="15" t="n">
        <f aca="false">MONTH(A719)</f>
        <v>1</v>
      </c>
      <c r="D719" s="15" t="n">
        <f aca="false">DAY(A719)</f>
        <v>31</v>
      </c>
      <c r="E719" s="15" t="n">
        <f aca="false">VLOOKUP(B719,WYT!$A$2:$L$97,12)</f>
        <v>1</v>
      </c>
      <c r="F719" s="15" t="n">
        <f aca="false">IF(C719=$W$5,1,0)</f>
        <v>0</v>
      </c>
      <c r="G719" s="15" t="n">
        <f aca="false">IF(C719=10,0,IF(F719=1,1,G718))</f>
        <v>0</v>
      </c>
      <c r="H719" s="5" t="n">
        <f aca="false">VA_base_426_data!B719</f>
        <v>1829.38043666408</v>
      </c>
      <c r="I719" s="5" t="n">
        <f aca="false">IF(AND(E719=1,OR(C719=4,C719=5)),25*12.1/24/D719*1000,0)</f>
        <v>0</v>
      </c>
      <c r="J719" s="5" t="n">
        <f aca="false">VA_base_426_data!C719</f>
        <v>1700</v>
      </c>
      <c r="K719" s="5" t="n">
        <f aca="false">H719+I719-J719</f>
        <v>129.380436664076</v>
      </c>
      <c r="L719" s="5" t="n">
        <f aca="false">MIN($W$7,J719+K719)</f>
        <v>1829.38043666408</v>
      </c>
      <c r="M719" s="5" t="n">
        <f aca="false">VA_base_426_data!D719</f>
        <v>800</v>
      </c>
      <c r="N719" s="5" t="n">
        <f aca="false">IF(AND(C719=10,E719=1),$W$6,N718-P718)</f>
        <v>43</v>
      </c>
      <c r="O719" s="5" t="n">
        <f aca="false">IF(ABS(M719-L719)&gt;1,MIN(N719/((L719-M719)*24/12.1/1000),D719),D719)</f>
        <v>21.0604028350515</v>
      </c>
      <c r="P719" s="5" t="n">
        <f aca="false">MIN(IF(AND(G719,E719),(L719-M719)*24/12.1*O719/1000,0),N719)</f>
        <v>0</v>
      </c>
      <c r="Q719" s="5" t="n">
        <f aca="false">IF(P719&gt;0,P719/O719*12.1/24*1000+M719,0)</f>
        <v>0</v>
      </c>
      <c r="R719" s="0" t="n">
        <f aca="false">IF(Q719&gt;0,TRUNC(O719),0)</f>
        <v>0</v>
      </c>
      <c r="S719" s="5" t="n">
        <f aca="false">(M719*(D719-R719)+(Q719*R719))/D719</f>
        <v>800</v>
      </c>
      <c r="T719" s="6" t="n">
        <f aca="false">(Q719-M719)*R719*24/12.1/1000</f>
        <v>-0</v>
      </c>
    </row>
    <row r="720" customFormat="false" ht="14.35" hidden="false" customHeight="false" outlineLevel="0" collapsed="false">
      <c r="A720" s="4" t="n">
        <v>29645</v>
      </c>
      <c r="B720" s="15" t="n">
        <f aca="false">IF(C720&lt;=9,YEAR(A720),YEAR(A720)+1)</f>
        <v>1981</v>
      </c>
      <c r="C720" s="15" t="n">
        <f aca="false">MONTH(A720)</f>
        <v>2</v>
      </c>
      <c r="D720" s="15" t="n">
        <f aca="false">DAY(A720)</f>
        <v>28</v>
      </c>
      <c r="E720" s="15" t="n">
        <f aca="false">VLOOKUP(B720,WYT!$A$2:$L$97,12)</f>
        <v>1</v>
      </c>
      <c r="F720" s="15" t="n">
        <f aca="false">IF(C720=$W$5,1,0)</f>
        <v>1</v>
      </c>
      <c r="G720" s="15" t="n">
        <f aca="false">IF(C720=10,0,IF(F720=1,1,G719))</f>
        <v>1</v>
      </c>
      <c r="H720" s="5" t="n">
        <f aca="false">VA_base_426_data!B720</f>
        <v>1700</v>
      </c>
      <c r="I720" s="5" t="n">
        <f aca="false">IF(AND(E720=1,OR(C720=4,C720=5)),25*12.1/24/D720*1000,0)</f>
        <v>0</v>
      </c>
      <c r="J720" s="5" t="n">
        <f aca="false">VA_base_426_data!C720</f>
        <v>1700</v>
      </c>
      <c r="K720" s="5" t="n">
        <f aca="false">H720+I720-J720</f>
        <v>0</v>
      </c>
      <c r="L720" s="5" t="n">
        <f aca="false">MIN($W$7,J720+K720)</f>
        <v>1700</v>
      </c>
      <c r="M720" s="5" t="n">
        <f aca="false">VA_base_426_data!D720</f>
        <v>800</v>
      </c>
      <c r="N720" s="5" t="n">
        <f aca="false">IF(AND(C720=10,E720=1),$W$6,N719-P719)</f>
        <v>43</v>
      </c>
      <c r="O720" s="5" t="n">
        <f aca="false">IF(ABS(M720-L720)&gt;1,MIN(N720/((L720-M720)*24/12.1/1000),D720),D720)</f>
        <v>24.087962962963</v>
      </c>
      <c r="P720" s="5" t="n">
        <f aca="false">MIN(IF(AND(G720,E720),(L720-M720)*24/12.1*O720/1000,0),N720)</f>
        <v>43</v>
      </c>
      <c r="Q720" s="5" t="n">
        <f aca="false">IF(P720&gt;0,P720/O720*12.1/24*1000+M720,0)</f>
        <v>1700</v>
      </c>
      <c r="R720" s="0" t="n">
        <f aca="false">IF(Q720&gt;0,TRUNC(O720),0)</f>
        <v>24</v>
      </c>
      <c r="S720" s="5" t="n">
        <f aca="false">(M720*(D720-R720)+(Q720*R720))/D720</f>
        <v>1571.42857142857</v>
      </c>
      <c r="T720" s="6" t="n">
        <f aca="false">(Q720-M720)*R720*24/12.1/1000</f>
        <v>42.8429752066116</v>
      </c>
    </row>
    <row r="721" customFormat="false" ht="14.35" hidden="false" customHeight="false" outlineLevel="0" collapsed="false">
      <c r="A721" s="4" t="n">
        <v>29676</v>
      </c>
      <c r="B721" s="15" t="n">
        <f aca="false">IF(C721&lt;=9,YEAR(A721),YEAR(A721)+1)</f>
        <v>1981</v>
      </c>
      <c r="C721" s="15" t="n">
        <f aca="false">MONTH(A721)</f>
        <v>3</v>
      </c>
      <c r="D721" s="15" t="n">
        <f aca="false">DAY(A721)</f>
        <v>31</v>
      </c>
      <c r="E721" s="15" t="n">
        <f aca="false">VLOOKUP(B721,WYT!$A$2:$L$97,12)</f>
        <v>1</v>
      </c>
      <c r="F721" s="15" t="n">
        <f aca="false">IF(C721=$W$5,1,0)</f>
        <v>0</v>
      </c>
      <c r="G721" s="15" t="n">
        <f aca="false">IF(C721=10,0,IF(F721=1,1,G720))</f>
        <v>1</v>
      </c>
      <c r="H721" s="5" t="n">
        <f aca="false">VA_base_426_data!B721</f>
        <v>1700</v>
      </c>
      <c r="I721" s="5" t="n">
        <f aca="false">IF(AND(E721=1,OR(C721=4,C721=5)),25*12.1/24/D721*1000,0)</f>
        <v>0</v>
      </c>
      <c r="J721" s="5" t="n">
        <f aca="false">VA_base_426_data!C721</f>
        <v>1700</v>
      </c>
      <c r="K721" s="5" t="n">
        <f aca="false">H721+I721-J721</f>
        <v>0</v>
      </c>
      <c r="L721" s="5" t="n">
        <f aca="false">MIN($W$7,J721+K721)</f>
        <v>1700</v>
      </c>
      <c r="M721" s="5" t="n">
        <f aca="false">VA_base_426_data!D721</f>
        <v>800</v>
      </c>
      <c r="N721" s="5" t="n">
        <f aca="false">IF(AND(C721=10,E721=1),$W$6,N720-P720)</f>
        <v>0</v>
      </c>
      <c r="O721" s="5" t="n">
        <f aca="false">IF(ABS(M721-L721)&gt;1,MIN(N721/((L721-M721)*24/12.1/1000),D721),D721)</f>
        <v>0</v>
      </c>
      <c r="P721" s="5" t="n">
        <f aca="false">MIN(IF(AND(G721,E721),(L721-M721)*24/12.1*O721/1000,0),N721)</f>
        <v>0</v>
      </c>
      <c r="Q721" s="5" t="n">
        <f aca="false">IF(P721&gt;0,P721/O721*12.1/24*1000+M721,0)</f>
        <v>0</v>
      </c>
      <c r="R721" s="0" t="n">
        <f aca="false">IF(Q721&gt;0,TRUNC(O721),0)</f>
        <v>0</v>
      </c>
      <c r="S721" s="5" t="n">
        <f aca="false">(M721*(D721-R721)+(Q721*R721))/D721</f>
        <v>800</v>
      </c>
      <c r="T721" s="6" t="n">
        <f aca="false">(Q721-M721)*R721*24/12.1/1000</f>
        <v>-0</v>
      </c>
    </row>
    <row r="722" customFormat="false" ht="14.35" hidden="false" customHeight="false" outlineLevel="0" collapsed="false">
      <c r="A722" s="4" t="n">
        <v>29706</v>
      </c>
      <c r="B722" s="15" t="n">
        <f aca="false">IF(C722&lt;=9,YEAR(A722),YEAR(A722)+1)</f>
        <v>1981</v>
      </c>
      <c r="C722" s="15" t="n">
        <f aca="false">MONTH(A722)</f>
        <v>4</v>
      </c>
      <c r="D722" s="15" t="n">
        <f aca="false">DAY(A722)</f>
        <v>30</v>
      </c>
      <c r="E722" s="15" t="n">
        <f aca="false">VLOOKUP(B722,WYT!$A$2:$L$97,12)</f>
        <v>1</v>
      </c>
      <c r="F722" s="15" t="n">
        <f aca="false">IF(C722=$W$5,1,0)</f>
        <v>0</v>
      </c>
      <c r="G722" s="15" t="n">
        <f aca="false">IF(C722=10,0,IF(F722=1,1,G721))</f>
        <v>1</v>
      </c>
      <c r="H722" s="5" t="n">
        <f aca="false">VA_base_426_data!B722</f>
        <v>1000</v>
      </c>
      <c r="I722" s="5" t="n">
        <f aca="false">IF(AND(E722=1,OR(C722=4,C722=5)),25*12.1/24/D722*1000,0)</f>
        <v>420.138888888889</v>
      </c>
      <c r="J722" s="5" t="n">
        <f aca="false">VA_base_426_data!C722</f>
        <v>1000</v>
      </c>
      <c r="K722" s="5" t="n">
        <f aca="false">H722+I722-J722</f>
        <v>420.138888888889</v>
      </c>
      <c r="L722" s="5" t="n">
        <f aca="false">MIN($W$7,J722+K722)</f>
        <v>1420.13888888889</v>
      </c>
      <c r="M722" s="5" t="n">
        <f aca="false">VA_base_426_data!D722</f>
        <v>700</v>
      </c>
      <c r="N722" s="5" t="n">
        <f aca="false">IF(AND(C722=10,E722=1),$W$6,N721-P721)</f>
        <v>0</v>
      </c>
      <c r="O722" s="5" t="n">
        <f aca="false">IF(ABS(M722-L722)&gt;1,MIN(N722/((L722-M722)*24/12.1/1000),D722),D722)</f>
        <v>0</v>
      </c>
      <c r="P722" s="5" t="n">
        <f aca="false">MIN(IF(AND(G722,E722),(L722-M722)*24/12.1*O722/1000,0),N722)</f>
        <v>0</v>
      </c>
      <c r="Q722" s="5" t="n">
        <f aca="false">IF(P722&gt;0,P722/O722*12.1/24*1000+M722,0)</f>
        <v>0</v>
      </c>
      <c r="R722" s="0" t="n">
        <f aca="false">IF(Q722&gt;0,TRUNC(O722),0)</f>
        <v>0</v>
      </c>
      <c r="S722" s="5" t="n">
        <f aca="false">(M722*(D722-R722)+(Q722*R722))/D722</f>
        <v>700</v>
      </c>
      <c r="T722" s="6" t="n">
        <f aca="false">(Q722-M722)*R722*24/12.1/1000</f>
        <v>-0</v>
      </c>
    </row>
    <row r="723" customFormat="false" ht="14.35" hidden="false" customHeight="false" outlineLevel="0" collapsed="false">
      <c r="A723" s="4" t="n">
        <v>29737</v>
      </c>
      <c r="B723" s="15" t="n">
        <f aca="false">IF(C723&lt;=9,YEAR(A723),YEAR(A723)+1)</f>
        <v>1981</v>
      </c>
      <c r="C723" s="15" t="n">
        <f aca="false">MONTH(A723)</f>
        <v>5</v>
      </c>
      <c r="D723" s="15" t="n">
        <f aca="false">DAY(A723)</f>
        <v>31</v>
      </c>
      <c r="E723" s="15" t="n">
        <f aca="false">VLOOKUP(B723,WYT!$A$2:$L$97,12)</f>
        <v>1</v>
      </c>
      <c r="F723" s="15" t="n">
        <f aca="false">IF(C723=$W$5,1,0)</f>
        <v>0</v>
      </c>
      <c r="G723" s="15" t="n">
        <f aca="false">IF(C723=10,0,IF(F723=1,1,G722))</f>
        <v>1</v>
      </c>
      <c r="H723" s="5" t="n">
        <f aca="false">VA_base_426_data!B723</f>
        <v>1000</v>
      </c>
      <c r="I723" s="5" t="n">
        <f aca="false">IF(AND(E723=1,OR(C723=4,C723=5)),25*12.1/24/D723*1000,0)</f>
        <v>406.586021505376</v>
      </c>
      <c r="J723" s="5" t="n">
        <f aca="false">VA_base_426_data!C723</f>
        <v>1000</v>
      </c>
      <c r="K723" s="5" t="n">
        <f aca="false">H723+I723-J723</f>
        <v>406.586021505376</v>
      </c>
      <c r="L723" s="5" t="n">
        <f aca="false">MIN($W$7,J723+K723)</f>
        <v>1406.58602150538</v>
      </c>
      <c r="M723" s="5" t="n">
        <f aca="false">VA_base_426_data!D723</f>
        <v>700</v>
      </c>
      <c r="N723" s="5" t="n">
        <f aca="false">IF(AND(C723=10,E723=1),$W$6,N722-P722)</f>
        <v>0</v>
      </c>
      <c r="O723" s="5" t="n">
        <f aca="false">IF(ABS(M723-L723)&gt;1,MIN(N723/((L723-M723)*24/12.1/1000),D723),D723)</f>
        <v>0</v>
      </c>
      <c r="P723" s="5" t="n">
        <f aca="false">MIN(IF(AND(G723,E723),(L723-M723)*24/12.1*O723/1000,0),N723)</f>
        <v>0</v>
      </c>
      <c r="Q723" s="5" t="n">
        <f aca="false">IF(P723&gt;0,P723/O723*12.1/24*1000+M723,0)</f>
        <v>0</v>
      </c>
      <c r="R723" s="0" t="n">
        <f aca="false">IF(Q723&gt;0,TRUNC(O723),0)</f>
        <v>0</v>
      </c>
      <c r="S723" s="5" t="n">
        <f aca="false">(M723*(D723-R723)+(Q723*R723))/D723</f>
        <v>700</v>
      </c>
      <c r="T723" s="6" t="n">
        <f aca="false">(Q723-M723)*R723*24/12.1/1000</f>
        <v>-0</v>
      </c>
    </row>
    <row r="724" customFormat="false" ht="14.35" hidden="false" customHeight="false" outlineLevel="0" collapsed="false">
      <c r="A724" s="4" t="n">
        <v>29767</v>
      </c>
      <c r="B724" s="15" t="n">
        <f aca="false">IF(C724&lt;=9,YEAR(A724),YEAR(A724)+1)</f>
        <v>1981</v>
      </c>
      <c r="C724" s="15" t="n">
        <f aca="false">MONTH(A724)</f>
        <v>6</v>
      </c>
      <c r="D724" s="15" t="n">
        <f aca="false">DAY(A724)</f>
        <v>30</v>
      </c>
      <c r="E724" s="15" t="n">
        <f aca="false">VLOOKUP(B724,WYT!$A$2:$L$97,12)</f>
        <v>1</v>
      </c>
      <c r="F724" s="15" t="n">
        <f aca="false">IF(C724=$W$5,1,0)</f>
        <v>0</v>
      </c>
      <c r="G724" s="15" t="n">
        <f aca="false">IF(C724=10,0,IF(F724=1,1,G723))</f>
        <v>1</v>
      </c>
      <c r="H724" s="5" t="n">
        <f aca="false">VA_base_426_data!B724</f>
        <v>5618.479783638</v>
      </c>
      <c r="I724" s="5" t="n">
        <f aca="false">IF(AND(E724=1,OR(C724=4,C724=5)),25*12.1/24/D724*1000,0)</f>
        <v>0</v>
      </c>
      <c r="J724" s="5" t="n">
        <f aca="false">VA_base_426_data!C724</f>
        <v>1000</v>
      </c>
      <c r="K724" s="5" t="n">
        <f aca="false">H724+I724-J724</f>
        <v>4618.479783638</v>
      </c>
      <c r="L724" s="5" t="n">
        <f aca="false">MIN($W$7,J724+K724)</f>
        <v>2000</v>
      </c>
      <c r="M724" s="5" t="n">
        <f aca="false">VA_base_426_data!D724</f>
        <v>700</v>
      </c>
      <c r="N724" s="5" t="n">
        <f aca="false">IF(AND(C724=10,E724=1),$W$6,N723-P723)</f>
        <v>0</v>
      </c>
      <c r="O724" s="5" t="n">
        <f aca="false">IF(ABS(M724-L724)&gt;1,MIN(N724/((L724-M724)*24/12.1/1000),D724),D724)</f>
        <v>0</v>
      </c>
      <c r="P724" s="5" t="n">
        <f aca="false">MIN(IF(AND(G724,E724),(L724-M724)*24/12.1*O724/1000,0),N724)</f>
        <v>0</v>
      </c>
      <c r="Q724" s="5" t="n">
        <f aca="false">IF(P724&gt;0,P724/O724*12.1/24*1000+M724,0)</f>
        <v>0</v>
      </c>
      <c r="R724" s="0" t="n">
        <f aca="false">IF(Q724&gt;0,TRUNC(O724),0)</f>
        <v>0</v>
      </c>
      <c r="S724" s="5" t="n">
        <f aca="false">(M724*(D724-R724)+(Q724*R724))/D724</f>
        <v>700</v>
      </c>
      <c r="T724" s="6" t="n">
        <f aca="false">(Q724-M724)*R724*24/12.1/1000</f>
        <v>-0</v>
      </c>
    </row>
    <row r="725" customFormat="false" ht="14.35" hidden="false" customHeight="false" outlineLevel="0" collapsed="false">
      <c r="A725" s="4" t="n">
        <v>29798</v>
      </c>
      <c r="B725" s="15" t="n">
        <f aca="false">IF(C725&lt;=9,YEAR(A725),YEAR(A725)+1)</f>
        <v>1981</v>
      </c>
      <c r="C725" s="15" t="n">
        <f aca="false">MONTH(A725)</f>
        <v>7</v>
      </c>
      <c r="D725" s="15" t="n">
        <f aca="false">DAY(A725)</f>
        <v>31</v>
      </c>
      <c r="E725" s="15" t="n">
        <f aca="false">VLOOKUP(B725,WYT!$A$2:$L$97,12)</f>
        <v>1</v>
      </c>
      <c r="F725" s="15" t="n">
        <f aca="false">IF(C725=$W$5,1,0)</f>
        <v>0</v>
      </c>
      <c r="G725" s="15" t="n">
        <f aca="false">IF(C725=10,0,IF(F725=1,1,G724))</f>
        <v>1</v>
      </c>
      <c r="H725" s="5" t="n">
        <f aca="false">VA_base_426_data!B725</f>
        <v>10000</v>
      </c>
      <c r="I725" s="5" t="n">
        <f aca="false">IF(AND(E725=1,OR(C725=4,C725=5)),25*12.1/24/D725*1000,0)</f>
        <v>0</v>
      </c>
      <c r="J725" s="5" t="n">
        <f aca="false">VA_base_426_data!C725</f>
        <v>1000</v>
      </c>
      <c r="K725" s="5" t="n">
        <f aca="false">H725+I725-J725</f>
        <v>9000</v>
      </c>
      <c r="L725" s="5" t="n">
        <f aca="false">MIN($W$7,J725+K725)</f>
        <v>2000</v>
      </c>
      <c r="M725" s="5" t="n">
        <f aca="false">VA_base_426_data!D725</f>
        <v>700</v>
      </c>
      <c r="N725" s="5" t="n">
        <f aca="false">IF(AND(C725=10,E725=1),$W$6,N724-P724)</f>
        <v>0</v>
      </c>
      <c r="O725" s="5" t="n">
        <f aca="false">IF(ABS(M725-L725)&gt;1,MIN(N725/((L725-M725)*24/12.1/1000),D725),D725)</f>
        <v>0</v>
      </c>
      <c r="P725" s="5" t="n">
        <f aca="false">MIN(IF(AND(G725,E725),(L725-M725)*24/12.1*O725/1000,0),N725)</f>
        <v>0</v>
      </c>
      <c r="Q725" s="5" t="n">
        <f aca="false">IF(P725&gt;0,P725/O725*12.1/24*1000+M725,0)</f>
        <v>0</v>
      </c>
      <c r="R725" s="0" t="n">
        <f aca="false">IF(Q725&gt;0,TRUNC(O725),0)</f>
        <v>0</v>
      </c>
      <c r="S725" s="5" t="n">
        <f aca="false">(M725*(D725-R725)+(Q725*R725))/D725</f>
        <v>700</v>
      </c>
      <c r="T725" s="6" t="n">
        <f aca="false">(Q725-M725)*R725*24/12.1/1000</f>
        <v>-0</v>
      </c>
    </row>
    <row r="726" customFormat="false" ht="14.35" hidden="false" customHeight="false" outlineLevel="0" collapsed="false">
      <c r="A726" s="4" t="n">
        <v>29829</v>
      </c>
      <c r="B726" s="15" t="n">
        <f aca="false">IF(C726&lt;=9,YEAR(A726),YEAR(A726)+1)</f>
        <v>1981</v>
      </c>
      <c r="C726" s="15" t="n">
        <f aca="false">MONTH(A726)</f>
        <v>8</v>
      </c>
      <c r="D726" s="15" t="n">
        <f aca="false">DAY(A726)</f>
        <v>31</v>
      </c>
      <c r="E726" s="15" t="n">
        <f aca="false">VLOOKUP(B726,WYT!$A$2:$L$97,12)</f>
        <v>1</v>
      </c>
      <c r="F726" s="15" t="n">
        <f aca="false">IF(C726=$W$5,1,0)</f>
        <v>0</v>
      </c>
      <c r="G726" s="15" t="n">
        <f aca="false">IF(C726=10,0,IF(F726=1,1,G725))</f>
        <v>1</v>
      </c>
      <c r="H726" s="5" t="n">
        <f aca="false">VA_base_426_data!B726</f>
        <v>1077.63224228786</v>
      </c>
      <c r="I726" s="5" t="n">
        <f aca="false">IF(AND(E726=1,OR(C726=4,C726=5)),25*12.1/24/D726*1000,0)</f>
        <v>0</v>
      </c>
      <c r="J726" s="5" t="n">
        <f aca="false">VA_base_426_data!C726</f>
        <v>1000</v>
      </c>
      <c r="K726" s="5" t="n">
        <f aca="false">H726+I726-J726</f>
        <v>77.6322422878625</v>
      </c>
      <c r="L726" s="5" t="n">
        <f aca="false">MIN($W$7,J726+K726)</f>
        <v>1077.63224228786</v>
      </c>
      <c r="M726" s="5" t="n">
        <f aca="false">VA_base_426_data!D726</f>
        <v>700</v>
      </c>
      <c r="N726" s="5" t="n">
        <f aca="false">IF(AND(C726=10,E726=1),$W$6,N725-P725)</f>
        <v>0</v>
      </c>
      <c r="O726" s="5" t="n">
        <f aca="false">IF(ABS(M726-L726)&gt;1,MIN(N726/((L726-M726)*24/12.1/1000),D726),D726)</f>
        <v>0</v>
      </c>
      <c r="P726" s="5" t="n">
        <f aca="false">MIN(IF(AND(G726,E726),(L726-M726)*24/12.1*O726/1000,0),N726)</f>
        <v>0</v>
      </c>
      <c r="Q726" s="5" t="n">
        <f aca="false">IF(P726&gt;0,P726/O726*12.1/24*1000+M726,0)</f>
        <v>0</v>
      </c>
      <c r="R726" s="0" t="n">
        <f aca="false">IF(Q726&gt;0,TRUNC(O726),0)</f>
        <v>0</v>
      </c>
      <c r="S726" s="5" t="n">
        <f aca="false">(M726*(D726-R726)+(Q726*R726))/D726</f>
        <v>700</v>
      </c>
      <c r="T726" s="6" t="n">
        <f aca="false">(Q726-M726)*R726*24/12.1/1000</f>
        <v>-0</v>
      </c>
    </row>
    <row r="727" customFormat="false" ht="14.35" hidden="false" customHeight="false" outlineLevel="0" collapsed="false">
      <c r="A727" s="4" t="n">
        <v>29859</v>
      </c>
      <c r="B727" s="15" t="n">
        <f aca="false">IF(C727&lt;=9,YEAR(A727),YEAR(A727)+1)</f>
        <v>1981</v>
      </c>
      <c r="C727" s="15" t="n">
        <f aca="false">MONTH(A727)</f>
        <v>9</v>
      </c>
      <c r="D727" s="15" t="n">
        <f aca="false">DAY(A727)</f>
        <v>30</v>
      </c>
      <c r="E727" s="15" t="n">
        <f aca="false">VLOOKUP(B727,WYT!$A$2:$L$97,12)</f>
        <v>1</v>
      </c>
      <c r="F727" s="15" t="n">
        <f aca="false">IF(C727=$W$5,1,0)</f>
        <v>0</v>
      </c>
      <c r="G727" s="15" t="n">
        <f aca="false">IF(C727=10,0,IF(F727=1,1,G726))</f>
        <v>1</v>
      </c>
      <c r="H727" s="5" t="n">
        <f aca="false">VA_base_426_data!B727</f>
        <v>1000</v>
      </c>
      <c r="I727" s="5" t="n">
        <f aca="false">IF(AND(E727=1,OR(C727=4,C727=5)),25*12.1/24/D727*1000,0)</f>
        <v>0</v>
      </c>
      <c r="J727" s="5" t="n">
        <f aca="false">VA_base_426_data!C727</f>
        <v>1000</v>
      </c>
      <c r="K727" s="5" t="n">
        <f aca="false">H727+I727-J727</f>
        <v>0</v>
      </c>
      <c r="L727" s="5" t="n">
        <f aca="false">MIN($W$7,J727+K727)</f>
        <v>1000</v>
      </c>
      <c r="M727" s="5" t="n">
        <f aca="false">VA_base_426_data!D727</f>
        <v>773.3333333</v>
      </c>
      <c r="N727" s="5" t="n">
        <f aca="false">IF(AND(C727=10,E727=1),$W$6,N726-P726)</f>
        <v>0</v>
      </c>
      <c r="O727" s="5" t="n">
        <f aca="false">IF(ABS(M727-L727)&gt;1,MIN(N727/((L727-M727)*24/12.1/1000),D727),D727)</f>
        <v>0</v>
      </c>
      <c r="P727" s="5" t="n">
        <f aca="false">MIN(IF(AND(G727,E727),(L727-M727)*24/12.1*O727/1000,0),N727)</f>
        <v>0</v>
      </c>
      <c r="Q727" s="5" t="n">
        <f aca="false">IF(P727&gt;0,P727/O727*12.1/24*1000+M727,0)</f>
        <v>0</v>
      </c>
      <c r="R727" s="0" t="n">
        <f aca="false">IF(Q727&gt;0,TRUNC(O727),0)</f>
        <v>0</v>
      </c>
      <c r="S727" s="5" t="n">
        <f aca="false">(M727*(D727-R727)+(Q727*R727))/D727</f>
        <v>773.3333333</v>
      </c>
      <c r="T727" s="6" t="n">
        <f aca="false">(Q727-M727)*R727*24/12.1/1000</f>
        <v>-0</v>
      </c>
    </row>
    <row r="728" customFormat="false" ht="14.35" hidden="false" customHeight="false" outlineLevel="0" collapsed="false">
      <c r="A728" s="4" t="n">
        <v>29890</v>
      </c>
      <c r="B728" s="15" t="n">
        <f aca="false">IF(C728&lt;=9,YEAR(A728),YEAR(A728)+1)</f>
        <v>1982</v>
      </c>
      <c r="C728" s="15" t="n">
        <f aca="false">MONTH(A728)</f>
        <v>10</v>
      </c>
      <c r="D728" s="15" t="n">
        <f aca="false">DAY(A728)</f>
        <v>31</v>
      </c>
      <c r="E728" s="15" t="n">
        <f aca="false">VLOOKUP(B728,WYT!$A$2:$L$97,12)</f>
        <v>0</v>
      </c>
      <c r="F728" s="15" t="n">
        <f aca="false">IF(C728=$W$5,1,0)</f>
        <v>0</v>
      </c>
      <c r="G728" s="15" t="n">
        <f aca="false">IF(C728=10,0,IF(F728=1,1,G727))</f>
        <v>0</v>
      </c>
      <c r="H728" s="5" t="n">
        <f aca="false">VA_base_426_data!B728</f>
        <v>1200</v>
      </c>
      <c r="I728" s="5" t="n">
        <f aca="false">IF(AND(E728=1,OR(C728=4,C728=5)),25*12.1/24/D728*1000,0)</f>
        <v>0</v>
      </c>
      <c r="J728" s="5" t="n">
        <f aca="false">VA_base_426_data!C728</f>
        <v>1200</v>
      </c>
      <c r="K728" s="5" t="n">
        <f aca="false">H728+I728-J728</f>
        <v>0</v>
      </c>
      <c r="L728" s="5" t="n">
        <f aca="false">MIN($W$7,J728+K728)</f>
        <v>1200</v>
      </c>
      <c r="M728" s="5" t="n">
        <f aca="false">VA_base_426_data!D728</f>
        <v>800</v>
      </c>
      <c r="N728" s="5" t="n">
        <f aca="false">IF(AND(C728=10,E728=1),$W$6,N727-P727)</f>
        <v>0</v>
      </c>
      <c r="O728" s="5" t="n">
        <f aca="false">IF(ABS(M728-L728)&gt;1,MIN(N728/((L728-M728)*24/12.1/1000),D728),D728)</f>
        <v>0</v>
      </c>
      <c r="P728" s="5" t="n">
        <f aca="false">MIN(IF(AND(G728,E728),(L728-M728)*24/12.1*O728/1000,0),N728)</f>
        <v>0</v>
      </c>
      <c r="Q728" s="5" t="n">
        <f aca="false">IF(P728&gt;0,P728/O728*12.1/24*1000+M728,0)</f>
        <v>0</v>
      </c>
      <c r="R728" s="0" t="n">
        <f aca="false">IF(Q728&gt;0,TRUNC(O728),0)</f>
        <v>0</v>
      </c>
      <c r="S728" s="5" t="n">
        <f aca="false">(M728*(D728-R728)+(Q728*R728))/D728</f>
        <v>800</v>
      </c>
      <c r="T728" s="6" t="n">
        <f aca="false">(Q728-M728)*R728*24/12.1/1000</f>
        <v>-0</v>
      </c>
    </row>
    <row r="729" customFormat="false" ht="14.35" hidden="false" customHeight="false" outlineLevel="0" collapsed="false">
      <c r="A729" s="4" t="n">
        <v>29920</v>
      </c>
      <c r="B729" s="15" t="n">
        <f aca="false">IF(C729&lt;=9,YEAR(A729),YEAR(A729)+1)</f>
        <v>1982</v>
      </c>
      <c r="C729" s="15" t="n">
        <f aca="false">MONTH(A729)</f>
        <v>11</v>
      </c>
      <c r="D729" s="15" t="n">
        <f aca="false">DAY(A729)</f>
        <v>30</v>
      </c>
      <c r="E729" s="15" t="n">
        <f aca="false">VLOOKUP(B729,WYT!$A$2:$L$97,12)</f>
        <v>0</v>
      </c>
      <c r="F729" s="15" t="n">
        <f aca="false">IF(C729=$W$5,1,0)</f>
        <v>0</v>
      </c>
      <c r="G729" s="15" t="n">
        <f aca="false">IF(C729=10,0,IF(F729=1,1,G728))</f>
        <v>0</v>
      </c>
      <c r="H729" s="5" t="n">
        <f aca="false">VA_base_426_data!B729</f>
        <v>1200</v>
      </c>
      <c r="I729" s="5" t="n">
        <f aca="false">IF(AND(E729=1,OR(C729=4,C729=5)),25*12.1/24/D729*1000,0)</f>
        <v>0</v>
      </c>
      <c r="J729" s="5" t="n">
        <f aca="false">VA_base_426_data!C729</f>
        <v>1200</v>
      </c>
      <c r="K729" s="5" t="n">
        <f aca="false">H729+I729-J729</f>
        <v>0</v>
      </c>
      <c r="L729" s="5" t="n">
        <f aca="false">MIN($W$7,J729+K729)</f>
        <v>1200</v>
      </c>
      <c r="M729" s="5" t="n">
        <f aca="false">VA_base_426_data!D729</f>
        <v>800</v>
      </c>
      <c r="N729" s="5" t="n">
        <f aca="false">IF(AND(C729=10,E729=1),$W$6,N728-P728)</f>
        <v>0</v>
      </c>
      <c r="O729" s="5" t="n">
        <f aca="false">IF(ABS(M729-L729)&gt;1,MIN(N729/((L729-M729)*24/12.1/1000),D729),D729)</f>
        <v>0</v>
      </c>
      <c r="P729" s="5" t="n">
        <f aca="false">MIN(IF(AND(G729,E729),(L729-M729)*24/12.1*O729/1000,0),N729)</f>
        <v>0</v>
      </c>
      <c r="Q729" s="5" t="n">
        <f aca="false">IF(P729&gt;0,P729/O729*12.1/24*1000+M729,0)</f>
        <v>0</v>
      </c>
      <c r="R729" s="0" t="n">
        <f aca="false">IF(Q729&gt;0,TRUNC(O729),0)</f>
        <v>0</v>
      </c>
      <c r="S729" s="5" t="n">
        <f aca="false">(M729*(D729-R729)+(Q729*R729))/D729</f>
        <v>800</v>
      </c>
      <c r="T729" s="6" t="n">
        <f aca="false">(Q729-M729)*R729*24/12.1/1000</f>
        <v>-0</v>
      </c>
    </row>
    <row r="730" customFormat="false" ht="14.35" hidden="false" customHeight="false" outlineLevel="0" collapsed="false">
      <c r="A730" s="4" t="n">
        <v>29951</v>
      </c>
      <c r="B730" s="15" t="n">
        <f aca="false">IF(C730&lt;=9,YEAR(A730),YEAR(A730)+1)</f>
        <v>1982</v>
      </c>
      <c r="C730" s="15" t="n">
        <f aca="false">MONTH(A730)</f>
        <v>12</v>
      </c>
      <c r="D730" s="15" t="n">
        <f aca="false">DAY(A730)</f>
        <v>31</v>
      </c>
      <c r="E730" s="15" t="n">
        <f aca="false">VLOOKUP(B730,WYT!$A$2:$L$97,12)</f>
        <v>0</v>
      </c>
      <c r="F730" s="15" t="n">
        <f aca="false">IF(C730=$W$5,1,0)</f>
        <v>0</v>
      </c>
      <c r="G730" s="15" t="n">
        <f aca="false">IF(C730=10,0,IF(F730=1,1,G729))</f>
        <v>0</v>
      </c>
      <c r="H730" s="5" t="n">
        <f aca="false">VA_base_426_data!B730</f>
        <v>9113.69479926021</v>
      </c>
      <c r="I730" s="5" t="n">
        <f aca="false">IF(AND(E730=1,OR(C730=4,C730=5)),25*12.1/24/D730*1000,0)</f>
        <v>0</v>
      </c>
      <c r="J730" s="5" t="n">
        <f aca="false">VA_base_426_data!C730</f>
        <v>1200</v>
      </c>
      <c r="K730" s="5" t="n">
        <f aca="false">H730+I730-J730</f>
        <v>7913.69479926021</v>
      </c>
      <c r="L730" s="5" t="n">
        <f aca="false">MIN($W$7,J730+K730)</f>
        <v>2000</v>
      </c>
      <c r="M730" s="5" t="n">
        <f aca="false">VA_base_426_data!D730</f>
        <v>800</v>
      </c>
      <c r="N730" s="5" t="n">
        <f aca="false">IF(AND(C730=10,E730=1),$W$6,N729-P729)</f>
        <v>0</v>
      </c>
      <c r="O730" s="5" t="n">
        <f aca="false">IF(ABS(M730-L730)&gt;1,MIN(N730/((L730-M730)*24/12.1/1000),D730),D730)</f>
        <v>0</v>
      </c>
      <c r="P730" s="5" t="n">
        <f aca="false">MIN(IF(AND(G730,E730),(L730-M730)*24/12.1*O730/1000,0),N730)</f>
        <v>0</v>
      </c>
      <c r="Q730" s="5" t="n">
        <f aca="false">IF(P730&gt;0,P730/O730*12.1/24*1000+M730,0)</f>
        <v>0</v>
      </c>
      <c r="R730" s="0" t="n">
        <f aca="false">IF(Q730&gt;0,TRUNC(O730),0)</f>
        <v>0</v>
      </c>
      <c r="S730" s="5" t="n">
        <f aca="false">(M730*(D730-R730)+(Q730*R730))/D730</f>
        <v>800</v>
      </c>
      <c r="T730" s="6" t="n">
        <f aca="false">(Q730-M730)*R730*24/12.1/1000</f>
        <v>-0</v>
      </c>
    </row>
    <row r="731" customFormat="false" ht="14.35" hidden="false" customHeight="false" outlineLevel="0" collapsed="false">
      <c r="A731" s="4" t="n">
        <v>29982</v>
      </c>
      <c r="B731" s="15" t="n">
        <f aca="false">IF(C731&lt;=9,YEAR(A731),YEAR(A731)+1)</f>
        <v>1982</v>
      </c>
      <c r="C731" s="15" t="n">
        <f aca="false">MONTH(A731)</f>
        <v>1</v>
      </c>
      <c r="D731" s="15" t="n">
        <f aca="false">DAY(A731)</f>
        <v>31</v>
      </c>
      <c r="E731" s="15" t="n">
        <f aca="false">VLOOKUP(B731,WYT!$A$2:$L$97,12)</f>
        <v>0</v>
      </c>
      <c r="F731" s="15" t="n">
        <f aca="false">IF(C731=$W$5,1,0)</f>
        <v>0</v>
      </c>
      <c r="G731" s="15" t="n">
        <f aca="false">IF(C731=10,0,IF(F731=1,1,G730))</f>
        <v>0</v>
      </c>
      <c r="H731" s="5" t="n">
        <f aca="false">VA_base_426_data!B731</f>
        <v>8090.10588077446</v>
      </c>
      <c r="I731" s="5" t="n">
        <f aca="false">IF(AND(E731=1,OR(C731=4,C731=5)),25*12.1/24/D731*1000,0)</f>
        <v>0</v>
      </c>
      <c r="J731" s="5" t="n">
        <f aca="false">VA_base_426_data!C731</f>
        <v>1200</v>
      </c>
      <c r="K731" s="5" t="n">
        <f aca="false">H731+I731-J731</f>
        <v>6890.10588077446</v>
      </c>
      <c r="L731" s="5" t="n">
        <f aca="false">MIN($W$7,J731+K731)</f>
        <v>2000</v>
      </c>
      <c r="M731" s="5" t="n">
        <f aca="false">VA_base_426_data!D731</f>
        <v>800</v>
      </c>
      <c r="N731" s="5" t="n">
        <f aca="false">IF(AND(C731=10,E731=1),$W$6,N730-P730)</f>
        <v>0</v>
      </c>
      <c r="O731" s="5" t="n">
        <f aca="false">IF(ABS(M731-L731)&gt;1,MIN(N731/((L731-M731)*24/12.1/1000),D731),D731)</f>
        <v>0</v>
      </c>
      <c r="P731" s="5" t="n">
        <f aca="false">MIN(IF(AND(G731,E731),(L731-M731)*24/12.1*O731/1000,0),N731)</f>
        <v>0</v>
      </c>
      <c r="Q731" s="5" t="n">
        <f aca="false">IF(P731&gt;0,P731/O731*12.1/24*1000+M731,0)</f>
        <v>0</v>
      </c>
      <c r="R731" s="0" t="n">
        <f aca="false">IF(Q731&gt;0,TRUNC(O731),0)</f>
        <v>0</v>
      </c>
      <c r="S731" s="5" t="n">
        <f aca="false">(M731*(D731-R731)+(Q731*R731))/D731</f>
        <v>800</v>
      </c>
      <c r="T731" s="6" t="n">
        <f aca="false">(Q731-M731)*R731*24/12.1/1000</f>
        <v>-0</v>
      </c>
    </row>
    <row r="732" customFormat="false" ht="14.35" hidden="false" customHeight="false" outlineLevel="0" collapsed="false">
      <c r="A732" s="4" t="n">
        <v>30010</v>
      </c>
      <c r="B732" s="15" t="n">
        <f aca="false">IF(C732&lt;=9,YEAR(A732),YEAR(A732)+1)</f>
        <v>1982</v>
      </c>
      <c r="C732" s="15" t="n">
        <f aca="false">MONTH(A732)</f>
        <v>2</v>
      </c>
      <c r="D732" s="15" t="n">
        <f aca="false">DAY(A732)</f>
        <v>28</v>
      </c>
      <c r="E732" s="15" t="n">
        <f aca="false">VLOOKUP(B732,WYT!$A$2:$L$97,12)</f>
        <v>0</v>
      </c>
      <c r="F732" s="15" t="n">
        <f aca="false">IF(C732=$W$5,1,0)</f>
        <v>1</v>
      </c>
      <c r="G732" s="15" t="n">
        <f aca="false">IF(C732=10,0,IF(F732=1,1,G731))</f>
        <v>1</v>
      </c>
      <c r="H732" s="5" t="n">
        <f aca="false">VA_base_426_data!B732</f>
        <v>17980.5798680485</v>
      </c>
      <c r="I732" s="5" t="n">
        <f aca="false">IF(AND(E732=1,OR(C732=4,C732=5)),25*12.1/24/D732*1000,0)</f>
        <v>0</v>
      </c>
      <c r="J732" s="5" t="n">
        <f aca="false">VA_base_426_data!C732</f>
        <v>1200</v>
      </c>
      <c r="K732" s="5" t="n">
        <f aca="false">H732+I732-J732</f>
        <v>16780.5798680485</v>
      </c>
      <c r="L732" s="5" t="n">
        <f aca="false">MIN($W$7,J732+K732)</f>
        <v>2000</v>
      </c>
      <c r="M732" s="5" t="n">
        <f aca="false">VA_base_426_data!D732</f>
        <v>800</v>
      </c>
      <c r="N732" s="5" t="n">
        <f aca="false">IF(AND(C732=10,E732=1),$W$6,N731-P731)</f>
        <v>0</v>
      </c>
      <c r="O732" s="5" t="n">
        <f aca="false">IF(ABS(M732-L732)&gt;1,MIN(N732/((L732-M732)*24/12.1/1000),D732),D732)</f>
        <v>0</v>
      </c>
      <c r="P732" s="5" t="n">
        <f aca="false">MIN(IF(AND(G732,E732),(L732-M732)*24/12.1*O732/1000,0),N732)</f>
        <v>0</v>
      </c>
      <c r="Q732" s="5" t="n">
        <f aca="false">IF(P732&gt;0,P732/O732*12.1/24*1000+M732,0)</f>
        <v>0</v>
      </c>
      <c r="R732" s="0" t="n">
        <f aca="false">IF(Q732&gt;0,TRUNC(O732),0)</f>
        <v>0</v>
      </c>
      <c r="S732" s="5" t="n">
        <f aca="false">(M732*(D732-R732)+(Q732*R732))/D732</f>
        <v>800</v>
      </c>
      <c r="T732" s="6" t="n">
        <f aca="false">(Q732-M732)*R732*24/12.1/1000</f>
        <v>-0</v>
      </c>
    </row>
    <row r="733" customFormat="false" ht="14.35" hidden="false" customHeight="false" outlineLevel="0" collapsed="false">
      <c r="A733" s="4" t="n">
        <v>30041</v>
      </c>
      <c r="B733" s="15" t="n">
        <f aca="false">IF(C733&lt;=9,YEAR(A733),YEAR(A733)+1)</f>
        <v>1982</v>
      </c>
      <c r="C733" s="15" t="n">
        <f aca="false">MONTH(A733)</f>
        <v>3</v>
      </c>
      <c r="D733" s="15" t="n">
        <f aca="false">DAY(A733)</f>
        <v>31</v>
      </c>
      <c r="E733" s="15" t="n">
        <f aca="false">VLOOKUP(B733,WYT!$A$2:$L$97,12)</f>
        <v>0</v>
      </c>
      <c r="F733" s="15" t="n">
        <f aca="false">IF(C733=$W$5,1,0)</f>
        <v>0</v>
      </c>
      <c r="G733" s="15" t="n">
        <f aca="false">IF(C733=10,0,IF(F733=1,1,G732))</f>
        <v>1</v>
      </c>
      <c r="H733" s="5" t="n">
        <f aca="false">VA_base_426_data!B733</f>
        <v>13394.440787873</v>
      </c>
      <c r="I733" s="5" t="n">
        <f aca="false">IF(AND(E733=1,OR(C733=4,C733=5)),25*12.1/24/D733*1000,0)</f>
        <v>0</v>
      </c>
      <c r="J733" s="5" t="n">
        <f aca="false">VA_base_426_data!C733</f>
        <v>1000</v>
      </c>
      <c r="K733" s="5" t="n">
        <f aca="false">H733+I733-J733</f>
        <v>12394.440787873</v>
      </c>
      <c r="L733" s="5" t="n">
        <f aca="false">MIN($W$7,J733+K733)</f>
        <v>2000</v>
      </c>
      <c r="M733" s="5" t="n">
        <f aca="false">VA_base_426_data!D733</f>
        <v>800</v>
      </c>
      <c r="N733" s="5" t="n">
        <f aca="false">IF(AND(C733=10,E733=1),$W$6,N732-P732)</f>
        <v>0</v>
      </c>
      <c r="O733" s="5" t="n">
        <f aca="false">IF(ABS(M733-L733)&gt;1,MIN(N733/((L733-M733)*24/12.1/1000),D733),D733)</f>
        <v>0</v>
      </c>
      <c r="P733" s="5" t="n">
        <f aca="false">MIN(IF(AND(G733,E733),(L733-M733)*24/12.1*O733/1000,0),N733)</f>
        <v>0</v>
      </c>
      <c r="Q733" s="5" t="n">
        <f aca="false">IF(P733&gt;0,P733/O733*12.1/24*1000+M733,0)</f>
        <v>0</v>
      </c>
      <c r="R733" s="0" t="n">
        <f aca="false">IF(Q733&gt;0,TRUNC(O733),0)</f>
        <v>0</v>
      </c>
      <c r="S733" s="5" t="n">
        <f aca="false">(M733*(D733-R733)+(Q733*R733))/D733</f>
        <v>800</v>
      </c>
      <c r="T733" s="6" t="n">
        <f aca="false">(Q733-M733)*R733*24/12.1/1000</f>
        <v>-0</v>
      </c>
    </row>
    <row r="734" customFormat="false" ht="14.35" hidden="false" customHeight="false" outlineLevel="0" collapsed="false">
      <c r="A734" s="4" t="n">
        <v>30071</v>
      </c>
      <c r="B734" s="15" t="n">
        <f aca="false">IF(C734&lt;=9,YEAR(A734),YEAR(A734)+1)</f>
        <v>1982</v>
      </c>
      <c r="C734" s="15" t="n">
        <f aca="false">MONTH(A734)</f>
        <v>4</v>
      </c>
      <c r="D734" s="15" t="n">
        <f aca="false">DAY(A734)</f>
        <v>30</v>
      </c>
      <c r="E734" s="15" t="n">
        <f aca="false">VLOOKUP(B734,WYT!$A$2:$L$97,12)</f>
        <v>0</v>
      </c>
      <c r="F734" s="15" t="n">
        <f aca="false">IF(C734=$W$5,1,0)</f>
        <v>0</v>
      </c>
      <c r="G734" s="15" t="n">
        <f aca="false">IF(C734=10,0,IF(F734=1,1,G733))</f>
        <v>1</v>
      </c>
      <c r="H734" s="5" t="n">
        <f aca="false">VA_base_426_data!B734</f>
        <v>18990.8409014977</v>
      </c>
      <c r="I734" s="5" t="n">
        <f aca="false">IF(AND(E734=1,OR(C734=4,C734=5)),25*12.1/24/D734*1000,0)</f>
        <v>0</v>
      </c>
      <c r="J734" s="5" t="n">
        <f aca="false">VA_base_426_data!C734</f>
        <v>1000</v>
      </c>
      <c r="K734" s="5" t="n">
        <f aca="false">H734+I734-J734</f>
        <v>17990.8409014977</v>
      </c>
      <c r="L734" s="5" t="n">
        <f aca="false">MIN($W$7,J734+K734)</f>
        <v>2000</v>
      </c>
      <c r="M734" s="5" t="n">
        <f aca="false">VA_base_426_data!D734</f>
        <v>700</v>
      </c>
      <c r="N734" s="5" t="n">
        <f aca="false">IF(AND(C734=10,E734=1),$W$6,N733-P733)</f>
        <v>0</v>
      </c>
      <c r="O734" s="5" t="n">
        <f aca="false">IF(ABS(M734-L734)&gt;1,MIN(N734/((L734-M734)*24/12.1/1000),D734),D734)</f>
        <v>0</v>
      </c>
      <c r="P734" s="5" t="n">
        <f aca="false">MIN(IF(AND(G734,E734),(L734-M734)*24/12.1*O734/1000,0),N734)</f>
        <v>0</v>
      </c>
      <c r="Q734" s="5" t="n">
        <f aca="false">IF(P734&gt;0,P734/O734*12.1/24*1000+M734,0)</f>
        <v>0</v>
      </c>
      <c r="R734" s="0" t="n">
        <f aca="false">IF(Q734&gt;0,TRUNC(O734),0)</f>
        <v>0</v>
      </c>
      <c r="S734" s="5" t="n">
        <f aca="false">(M734*(D734-R734)+(Q734*R734))/D734</f>
        <v>700</v>
      </c>
      <c r="T734" s="6" t="n">
        <f aca="false">(Q734-M734)*R734*24/12.1/1000</f>
        <v>-0</v>
      </c>
    </row>
    <row r="735" customFormat="false" ht="14.35" hidden="false" customHeight="false" outlineLevel="0" collapsed="false">
      <c r="A735" s="4" t="n">
        <v>30102</v>
      </c>
      <c r="B735" s="15" t="n">
        <f aca="false">IF(C735&lt;=9,YEAR(A735),YEAR(A735)+1)</f>
        <v>1982</v>
      </c>
      <c r="C735" s="15" t="n">
        <f aca="false">MONTH(A735)</f>
        <v>5</v>
      </c>
      <c r="D735" s="15" t="n">
        <f aca="false">DAY(A735)</f>
        <v>31</v>
      </c>
      <c r="E735" s="15" t="n">
        <f aca="false">VLOOKUP(B735,WYT!$A$2:$L$97,12)</f>
        <v>0</v>
      </c>
      <c r="F735" s="15" t="n">
        <f aca="false">IF(C735=$W$5,1,0)</f>
        <v>0</v>
      </c>
      <c r="G735" s="15" t="n">
        <f aca="false">IF(C735=10,0,IF(F735=1,1,G734))</f>
        <v>1</v>
      </c>
      <c r="H735" s="5" t="n">
        <f aca="false">VA_base_426_data!B735</f>
        <v>8015.05337152372</v>
      </c>
      <c r="I735" s="5" t="n">
        <f aca="false">IF(AND(E735=1,OR(C735=4,C735=5)),25*12.1/24/D735*1000,0)</f>
        <v>0</v>
      </c>
      <c r="J735" s="5" t="n">
        <f aca="false">VA_base_426_data!C735</f>
        <v>1000</v>
      </c>
      <c r="K735" s="5" t="n">
        <f aca="false">H735+I735-J735</f>
        <v>7015.05337152371</v>
      </c>
      <c r="L735" s="5" t="n">
        <f aca="false">MIN($W$7,J735+K735)</f>
        <v>2000</v>
      </c>
      <c r="M735" s="5" t="n">
        <f aca="false">VA_base_426_data!D735</f>
        <v>700</v>
      </c>
      <c r="N735" s="5" t="n">
        <f aca="false">IF(AND(C735=10,E735=1),$W$6,N734-P734)</f>
        <v>0</v>
      </c>
      <c r="O735" s="5" t="n">
        <f aca="false">IF(ABS(M735-L735)&gt;1,MIN(N735/((L735-M735)*24/12.1/1000),D735),D735)</f>
        <v>0</v>
      </c>
      <c r="P735" s="5" t="n">
        <f aca="false">MIN(IF(AND(G735,E735),(L735-M735)*24/12.1*O735/1000,0),N735)</f>
        <v>0</v>
      </c>
      <c r="Q735" s="5" t="n">
        <f aca="false">IF(P735&gt;0,P735/O735*12.1/24*1000+M735,0)</f>
        <v>0</v>
      </c>
      <c r="R735" s="0" t="n">
        <f aca="false">IF(Q735&gt;0,TRUNC(O735),0)</f>
        <v>0</v>
      </c>
      <c r="S735" s="5" t="n">
        <f aca="false">(M735*(D735-R735)+(Q735*R735))/D735</f>
        <v>700</v>
      </c>
      <c r="T735" s="6" t="n">
        <f aca="false">(Q735-M735)*R735*24/12.1/1000</f>
        <v>-0</v>
      </c>
    </row>
    <row r="736" customFormat="false" ht="14.35" hidden="false" customHeight="false" outlineLevel="0" collapsed="false">
      <c r="A736" s="4" t="n">
        <v>30132</v>
      </c>
      <c r="B736" s="15" t="n">
        <f aca="false">IF(C736&lt;=9,YEAR(A736),YEAR(A736)+1)</f>
        <v>1982</v>
      </c>
      <c r="C736" s="15" t="n">
        <f aca="false">MONTH(A736)</f>
        <v>6</v>
      </c>
      <c r="D736" s="15" t="n">
        <f aca="false">DAY(A736)</f>
        <v>30</v>
      </c>
      <c r="E736" s="15" t="n">
        <f aca="false">VLOOKUP(B736,WYT!$A$2:$L$97,12)</f>
        <v>0</v>
      </c>
      <c r="F736" s="15" t="n">
        <f aca="false">IF(C736=$W$5,1,0)</f>
        <v>0</v>
      </c>
      <c r="G736" s="15" t="n">
        <f aca="false">IF(C736=10,0,IF(F736=1,1,G735))</f>
        <v>1</v>
      </c>
      <c r="H736" s="5" t="n">
        <f aca="false">VA_base_426_data!B736</f>
        <v>3732.96722420608</v>
      </c>
      <c r="I736" s="5" t="n">
        <f aca="false">IF(AND(E736=1,OR(C736=4,C736=5)),25*12.1/24/D736*1000,0)</f>
        <v>0</v>
      </c>
      <c r="J736" s="5" t="n">
        <f aca="false">VA_base_426_data!C736</f>
        <v>1000</v>
      </c>
      <c r="K736" s="5" t="n">
        <f aca="false">H736+I736-J736</f>
        <v>2732.96722420608</v>
      </c>
      <c r="L736" s="5" t="n">
        <f aca="false">MIN($W$7,J736+K736)</f>
        <v>2000</v>
      </c>
      <c r="M736" s="5" t="n">
        <f aca="false">VA_base_426_data!D736</f>
        <v>700</v>
      </c>
      <c r="N736" s="5" t="n">
        <f aca="false">IF(AND(C736=10,E736=1),$W$6,N735-P735)</f>
        <v>0</v>
      </c>
      <c r="O736" s="5" t="n">
        <f aca="false">IF(ABS(M736-L736)&gt;1,MIN(N736/((L736-M736)*24/12.1/1000),D736),D736)</f>
        <v>0</v>
      </c>
      <c r="P736" s="5" t="n">
        <f aca="false">MIN(IF(AND(G736,E736),(L736-M736)*24/12.1*O736/1000,0),N736)</f>
        <v>0</v>
      </c>
      <c r="Q736" s="5" t="n">
        <f aca="false">IF(P736&gt;0,P736/O736*12.1/24*1000+M736,0)</f>
        <v>0</v>
      </c>
      <c r="R736" s="0" t="n">
        <f aca="false">IF(Q736&gt;0,TRUNC(O736),0)</f>
        <v>0</v>
      </c>
      <c r="S736" s="5" t="n">
        <f aca="false">(M736*(D736-R736)+(Q736*R736))/D736</f>
        <v>700</v>
      </c>
      <c r="T736" s="6" t="n">
        <f aca="false">(Q736-M736)*R736*24/12.1/1000</f>
        <v>-0</v>
      </c>
    </row>
    <row r="737" customFormat="false" ht="14.35" hidden="false" customHeight="false" outlineLevel="0" collapsed="false">
      <c r="A737" s="4" t="n">
        <v>30163</v>
      </c>
      <c r="B737" s="15" t="n">
        <f aca="false">IF(C737&lt;=9,YEAR(A737),YEAR(A737)+1)</f>
        <v>1982</v>
      </c>
      <c r="C737" s="15" t="n">
        <f aca="false">MONTH(A737)</f>
        <v>7</v>
      </c>
      <c r="D737" s="15" t="n">
        <f aca="false">DAY(A737)</f>
        <v>31</v>
      </c>
      <c r="E737" s="15" t="n">
        <f aca="false">VLOOKUP(B737,WYT!$A$2:$L$97,12)</f>
        <v>0</v>
      </c>
      <c r="F737" s="15" t="n">
        <f aca="false">IF(C737=$W$5,1,0)</f>
        <v>0</v>
      </c>
      <c r="G737" s="15" t="n">
        <f aca="false">IF(C737=10,0,IF(F737=1,1,G736))</f>
        <v>1</v>
      </c>
      <c r="H737" s="5" t="n">
        <f aca="false">VA_base_426_data!B737</f>
        <v>4126.93857638748</v>
      </c>
      <c r="I737" s="5" t="n">
        <f aca="false">IF(AND(E737=1,OR(C737=4,C737=5)),25*12.1/24/D737*1000,0)</f>
        <v>0</v>
      </c>
      <c r="J737" s="5" t="n">
        <f aca="false">VA_base_426_data!C737</f>
        <v>1000</v>
      </c>
      <c r="K737" s="5" t="n">
        <f aca="false">H737+I737-J737</f>
        <v>3126.93857638748</v>
      </c>
      <c r="L737" s="5" t="n">
        <f aca="false">MIN($W$7,J737+K737)</f>
        <v>2000</v>
      </c>
      <c r="M737" s="5" t="n">
        <f aca="false">VA_base_426_data!D737</f>
        <v>700</v>
      </c>
      <c r="N737" s="5" t="n">
        <f aca="false">IF(AND(C737=10,E737=1),$W$6,N736-P736)</f>
        <v>0</v>
      </c>
      <c r="O737" s="5" t="n">
        <f aca="false">IF(ABS(M737-L737)&gt;1,MIN(N737/((L737-M737)*24/12.1/1000),D737),D737)</f>
        <v>0</v>
      </c>
      <c r="P737" s="5" t="n">
        <f aca="false">MIN(IF(AND(G737,E737),(L737-M737)*24/12.1*O737/1000,0),N737)</f>
        <v>0</v>
      </c>
      <c r="Q737" s="5" t="n">
        <f aca="false">IF(P737&gt;0,P737/O737*12.1/24*1000+M737,0)</f>
        <v>0</v>
      </c>
      <c r="R737" s="0" t="n">
        <f aca="false">IF(Q737&gt;0,TRUNC(O737),0)</f>
        <v>0</v>
      </c>
      <c r="S737" s="5" t="n">
        <f aca="false">(M737*(D737-R737)+(Q737*R737))/D737</f>
        <v>700</v>
      </c>
      <c r="T737" s="6" t="n">
        <f aca="false">(Q737-M737)*R737*24/12.1/1000</f>
        <v>-0</v>
      </c>
    </row>
    <row r="738" customFormat="false" ht="14.35" hidden="false" customHeight="false" outlineLevel="0" collapsed="false">
      <c r="A738" s="4" t="n">
        <v>30194</v>
      </c>
      <c r="B738" s="15" t="n">
        <f aca="false">IF(C738&lt;=9,YEAR(A738),YEAR(A738)+1)</f>
        <v>1982</v>
      </c>
      <c r="C738" s="15" t="n">
        <f aca="false">MONTH(A738)</f>
        <v>8</v>
      </c>
      <c r="D738" s="15" t="n">
        <f aca="false">DAY(A738)</f>
        <v>31</v>
      </c>
      <c r="E738" s="15" t="n">
        <f aca="false">VLOOKUP(B738,WYT!$A$2:$L$97,12)</f>
        <v>0</v>
      </c>
      <c r="F738" s="15" t="n">
        <f aca="false">IF(C738=$W$5,1,0)</f>
        <v>0</v>
      </c>
      <c r="G738" s="15" t="n">
        <f aca="false">IF(C738=10,0,IF(F738=1,1,G737))</f>
        <v>1</v>
      </c>
      <c r="H738" s="5" t="n">
        <f aca="false">VA_base_426_data!B738</f>
        <v>1000</v>
      </c>
      <c r="I738" s="5" t="n">
        <f aca="false">IF(AND(E738=1,OR(C738=4,C738=5)),25*12.1/24/D738*1000,0)</f>
        <v>0</v>
      </c>
      <c r="J738" s="5" t="n">
        <f aca="false">VA_base_426_data!C738</f>
        <v>1000</v>
      </c>
      <c r="K738" s="5" t="n">
        <f aca="false">H738+I738-J738</f>
        <v>0</v>
      </c>
      <c r="L738" s="5" t="n">
        <f aca="false">MIN($W$7,J738+K738)</f>
        <v>1000</v>
      </c>
      <c r="M738" s="5" t="n">
        <f aca="false">VA_base_426_data!D738</f>
        <v>700</v>
      </c>
      <c r="N738" s="5" t="n">
        <f aca="false">IF(AND(C738=10,E738=1),$W$6,N737-P737)</f>
        <v>0</v>
      </c>
      <c r="O738" s="5" t="n">
        <f aca="false">IF(ABS(M738-L738)&gt;1,MIN(N738/((L738-M738)*24/12.1/1000),D738),D738)</f>
        <v>0</v>
      </c>
      <c r="P738" s="5" t="n">
        <f aca="false">MIN(IF(AND(G738,E738),(L738-M738)*24/12.1*O738/1000,0),N738)</f>
        <v>0</v>
      </c>
      <c r="Q738" s="5" t="n">
        <f aca="false">IF(P738&gt;0,P738/O738*12.1/24*1000+M738,0)</f>
        <v>0</v>
      </c>
      <c r="R738" s="0" t="n">
        <f aca="false">IF(Q738&gt;0,TRUNC(O738),0)</f>
        <v>0</v>
      </c>
      <c r="S738" s="5" t="n">
        <f aca="false">(M738*(D738-R738)+(Q738*R738))/D738</f>
        <v>700</v>
      </c>
      <c r="T738" s="6" t="n">
        <f aca="false">(Q738-M738)*R738*24/12.1/1000</f>
        <v>-0</v>
      </c>
    </row>
    <row r="739" customFormat="false" ht="14.35" hidden="false" customHeight="false" outlineLevel="0" collapsed="false">
      <c r="A739" s="4" t="n">
        <v>30224</v>
      </c>
      <c r="B739" s="15" t="n">
        <f aca="false">IF(C739&lt;=9,YEAR(A739),YEAR(A739)+1)</f>
        <v>1982</v>
      </c>
      <c r="C739" s="15" t="n">
        <f aca="false">MONTH(A739)</f>
        <v>9</v>
      </c>
      <c r="D739" s="15" t="n">
        <f aca="false">DAY(A739)</f>
        <v>30</v>
      </c>
      <c r="E739" s="15" t="n">
        <f aca="false">VLOOKUP(B739,WYT!$A$2:$L$97,12)</f>
        <v>0</v>
      </c>
      <c r="F739" s="15" t="n">
        <f aca="false">IF(C739=$W$5,1,0)</f>
        <v>0</v>
      </c>
      <c r="G739" s="15" t="n">
        <f aca="false">IF(C739=10,0,IF(F739=1,1,G738))</f>
        <v>1</v>
      </c>
      <c r="H739" s="5" t="n">
        <f aca="false">VA_base_426_data!B739</f>
        <v>5331.54040655778</v>
      </c>
      <c r="I739" s="5" t="n">
        <f aca="false">IF(AND(E739=1,OR(C739=4,C739=5)),25*12.1/24/D739*1000,0)</f>
        <v>0</v>
      </c>
      <c r="J739" s="5" t="n">
        <f aca="false">VA_base_426_data!C739</f>
        <v>1000</v>
      </c>
      <c r="K739" s="5" t="n">
        <f aca="false">H739+I739-J739</f>
        <v>4331.54040655778</v>
      </c>
      <c r="L739" s="5" t="n">
        <f aca="false">MIN($W$7,J739+K739)</f>
        <v>2000</v>
      </c>
      <c r="M739" s="5" t="n">
        <f aca="false">VA_base_426_data!D739</f>
        <v>773.3333333</v>
      </c>
      <c r="N739" s="5" t="n">
        <f aca="false">IF(AND(C739=10,E739=1),$W$6,N738-P738)</f>
        <v>0</v>
      </c>
      <c r="O739" s="5" t="n">
        <f aca="false">IF(ABS(M739-L739)&gt;1,MIN(N739/((L739-M739)*24/12.1/1000),D739),D739)</f>
        <v>0</v>
      </c>
      <c r="P739" s="5" t="n">
        <f aca="false">MIN(IF(AND(G739,E739),(L739-M739)*24/12.1*O739/1000,0),N739)</f>
        <v>0</v>
      </c>
      <c r="Q739" s="5" t="n">
        <f aca="false">IF(P739&gt;0,P739/O739*12.1/24*1000+M739,0)</f>
        <v>0</v>
      </c>
      <c r="R739" s="0" t="n">
        <f aca="false">IF(Q739&gt;0,TRUNC(O739),0)</f>
        <v>0</v>
      </c>
      <c r="S739" s="5" t="n">
        <f aca="false">(M739*(D739-R739)+(Q739*R739))/D739</f>
        <v>773.3333333</v>
      </c>
      <c r="T739" s="6" t="n">
        <f aca="false">(Q739-M739)*R739*24/12.1/1000</f>
        <v>-0</v>
      </c>
    </row>
    <row r="740" customFormat="false" ht="14.35" hidden="false" customHeight="false" outlineLevel="0" collapsed="false">
      <c r="A740" s="4" t="n">
        <v>30255</v>
      </c>
      <c r="B740" s="15" t="n">
        <f aca="false">IF(C740&lt;=9,YEAR(A740),YEAR(A740)+1)</f>
        <v>1983</v>
      </c>
      <c r="C740" s="15" t="n">
        <f aca="false">MONTH(A740)</f>
        <v>10</v>
      </c>
      <c r="D740" s="15" t="n">
        <f aca="false">DAY(A740)</f>
        <v>31</v>
      </c>
      <c r="E740" s="15" t="n">
        <f aca="false">VLOOKUP(B740,WYT!$A$2:$L$97,12)</f>
        <v>0</v>
      </c>
      <c r="F740" s="15" t="n">
        <f aca="false">IF(C740=$W$5,1,0)</f>
        <v>0</v>
      </c>
      <c r="G740" s="15" t="n">
        <f aca="false">IF(C740=10,0,IF(F740=1,1,G739))</f>
        <v>0</v>
      </c>
      <c r="H740" s="5" t="n">
        <f aca="false">VA_base_426_data!B740</f>
        <v>1700</v>
      </c>
      <c r="I740" s="5" t="n">
        <f aca="false">IF(AND(E740=1,OR(C740=4,C740=5)),25*12.1/24/D740*1000,0)</f>
        <v>0</v>
      </c>
      <c r="J740" s="5" t="n">
        <f aca="false">VA_base_426_data!C740</f>
        <v>1700</v>
      </c>
      <c r="K740" s="5" t="n">
        <f aca="false">H740+I740-J740</f>
        <v>0</v>
      </c>
      <c r="L740" s="5" t="n">
        <f aca="false">MIN($W$7,J740+K740)</f>
        <v>1700</v>
      </c>
      <c r="M740" s="5" t="n">
        <f aca="false">VA_base_426_data!D740</f>
        <v>800</v>
      </c>
      <c r="N740" s="5" t="n">
        <f aca="false">IF(AND(C740=10,E740=1),$W$6,N739-P739)</f>
        <v>0</v>
      </c>
      <c r="O740" s="5" t="n">
        <f aca="false">IF(ABS(M740-L740)&gt;1,MIN(N740/((L740-M740)*24/12.1/1000),D740),D740)</f>
        <v>0</v>
      </c>
      <c r="P740" s="5" t="n">
        <f aca="false">MIN(IF(AND(G740,E740),(L740-M740)*24/12.1*O740/1000,0),N740)</f>
        <v>0</v>
      </c>
      <c r="Q740" s="5" t="n">
        <f aca="false">IF(P740&gt;0,P740/O740*12.1/24*1000+M740,0)</f>
        <v>0</v>
      </c>
      <c r="R740" s="0" t="n">
        <f aca="false">IF(Q740&gt;0,TRUNC(O740),0)</f>
        <v>0</v>
      </c>
      <c r="S740" s="5" t="n">
        <f aca="false">(M740*(D740-R740)+(Q740*R740))/D740</f>
        <v>800</v>
      </c>
      <c r="T740" s="6" t="n">
        <f aca="false">(Q740-M740)*R740*24/12.1/1000</f>
        <v>-0</v>
      </c>
    </row>
    <row r="741" customFormat="false" ht="14.35" hidden="false" customHeight="false" outlineLevel="0" collapsed="false">
      <c r="A741" s="4" t="n">
        <v>30285</v>
      </c>
      <c r="B741" s="15" t="n">
        <f aca="false">IF(C741&lt;=9,YEAR(A741),YEAR(A741)+1)</f>
        <v>1983</v>
      </c>
      <c r="C741" s="15" t="n">
        <f aca="false">MONTH(A741)</f>
        <v>11</v>
      </c>
      <c r="D741" s="15" t="n">
        <f aca="false">DAY(A741)</f>
        <v>30</v>
      </c>
      <c r="E741" s="15" t="n">
        <f aca="false">VLOOKUP(B741,WYT!$A$2:$L$97,12)</f>
        <v>0</v>
      </c>
      <c r="F741" s="15" t="n">
        <f aca="false">IF(C741=$W$5,1,0)</f>
        <v>0</v>
      </c>
      <c r="G741" s="15" t="n">
        <f aca="false">IF(C741=10,0,IF(F741=1,1,G740))</f>
        <v>0</v>
      </c>
      <c r="H741" s="5" t="n">
        <f aca="false">VA_base_426_data!B741</f>
        <v>6969.51352854932</v>
      </c>
      <c r="I741" s="5" t="n">
        <f aca="false">IF(AND(E741=1,OR(C741=4,C741=5)),25*12.1/24/D741*1000,0)</f>
        <v>0</v>
      </c>
      <c r="J741" s="5" t="n">
        <f aca="false">VA_base_426_data!C741</f>
        <v>1700</v>
      </c>
      <c r="K741" s="5" t="n">
        <f aca="false">H741+I741-J741</f>
        <v>5269.51352854932</v>
      </c>
      <c r="L741" s="5" t="n">
        <f aca="false">MIN($W$7,J741+K741)</f>
        <v>2000</v>
      </c>
      <c r="M741" s="5" t="n">
        <f aca="false">VA_base_426_data!D741</f>
        <v>800</v>
      </c>
      <c r="N741" s="5" t="n">
        <f aca="false">IF(AND(C741=10,E741=1),$W$6,N740-P740)</f>
        <v>0</v>
      </c>
      <c r="O741" s="5" t="n">
        <f aca="false">IF(ABS(M741-L741)&gt;1,MIN(N741/((L741-M741)*24/12.1/1000),D741),D741)</f>
        <v>0</v>
      </c>
      <c r="P741" s="5" t="n">
        <f aca="false">MIN(IF(AND(G741,E741),(L741-M741)*24/12.1*O741/1000,0),N741)</f>
        <v>0</v>
      </c>
      <c r="Q741" s="5" t="n">
        <f aca="false">IF(P741&gt;0,P741/O741*12.1/24*1000+M741,0)</f>
        <v>0</v>
      </c>
      <c r="R741" s="0" t="n">
        <f aca="false">IF(Q741&gt;0,TRUNC(O741),0)</f>
        <v>0</v>
      </c>
      <c r="S741" s="5" t="n">
        <f aca="false">(M741*(D741-R741)+(Q741*R741))/D741</f>
        <v>800</v>
      </c>
      <c r="T741" s="6" t="n">
        <f aca="false">(Q741-M741)*R741*24/12.1/1000</f>
        <v>-0</v>
      </c>
    </row>
    <row r="742" customFormat="false" ht="14.35" hidden="false" customHeight="false" outlineLevel="0" collapsed="false">
      <c r="A742" s="4" t="n">
        <v>30316</v>
      </c>
      <c r="B742" s="15" t="n">
        <f aca="false">IF(C742&lt;=9,YEAR(A742),YEAR(A742)+1)</f>
        <v>1983</v>
      </c>
      <c r="C742" s="15" t="n">
        <f aca="false">MONTH(A742)</f>
        <v>12</v>
      </c>
      <c r="D742" s="15" t="n">
        <f aca="false">DAY(A742)</f>
        <v>31</v>
      </c>
      <c r="E742" s="15" t="n">
        <f aca="false">VLOOKUP(B742,WYT!$A$2:$L$97,12)</f>
        <v>0</v>
      </c>
      <c r="F742" s="15" t="n">
        <f aca="false">IF(C742=$W$5,1,0)</f>
        <v>0</v>
      </c>
      <c r="G742" s="15" t="n">
        <f aca="false">IF(C742=10,0,IF(F742=1,1,G741))</f>
        <v>0</v>
      </c>
      <c r="H742" s="5" t="n">
        <f aca="false">VA_base_426_data!B742</f>
        <v>9719.04835874137</v>
      </c>
      <c r="I742" s="5" t="n">
        <f aca="false">IF(AND(E742=1,OR(C742=4,C742=5)),25*12.1/24/D742*1000,0)</f>
        <v>0</v>
      </c>
      <c r="J742" s="5" t="n">
        <f aca="false">VA_base_426_data!C742</f>
        <v>1700</v>
      </c>
      <c r="K742" s="5" t="n">
        <f aca="false">H742+I742-J742</f>
        <v>8019.04835874137</v>
      </c>
      <c r="L742" s="5" t="n">
        <f aca="false">MIN($W$7,J742+K742)</f>
        <v>2000</v>
      </c>
      <c r="M742" s="5" t="n">
        <f aca="false">VA_base_426_data!D742</f>
        <v>800</v>
      </c>
      <c r="N742" s="5" t="n">
        <f aca="false">IF(AND(C742=10,E742=1),$W$6,N741-P741)</f>
        <v>0</v>
      </c>
      <c r="O742" s="5" t="n">
        <f aca="false">IF(ABS(M742-L742)&gt;1,MIN(N742/((L742-M742)*24/12.1/1000),D742),D742)</f>
        <v>0</v>
      </c>
      <c r="P742" s="5" t="n">
        <f aca="false">MIN(IF(AND(G742,E742),(L742-M742)*24/12.1*O742/1000,0),N742)</f>
        <v>0</v>
      </c>
      <c r="Q742" s="5" t="n">
        <f aca="false">IF(P742&gt;0,P742/O742*12.1/24*1000+M742,0)</f>
        <v>0</v>
      </c>
      <c r="R742" s="0" t="n">
        <f aca="false">IF(Q742&gt;0,TRUNC(O742),0)</f>
        <v>0</v>
      </c>
      <c r="S742" s="5" t="n">
        <f aca="false">(M742*(D742-R742)+(Q742*R742))/D742</f>
        <v>800</v>
      </c>
      <c r="T742" s="6" t="n">
        <f aca="false">(Q742-M742)*R742*24/12.1/1000</f>
        <v>-0</v>
      </c>
    </row>
    <row r="743" customFormat="false" ht="14.35" hidden="false" customHeight="false" outlineLevel="0" collapsed="false">
      <c r="A743" s="4" t="n">
        <v>30347</v>
      </c>
      <c r="B743" s="15" t="n">
        <f aca="false">IF(C743&lt;=9,YEAR(A743),YEAR(A743)+1)</f>
        <v>1983</v>
      </c>
      <c r="C743" s="15" t="n">
        <f aca="false">MONTH(A743)</f>
        <v>1</v>
      </c>
      <c r="D743" s="15" t="n">
        <f aca="false">DAY(A743)</f>
        <v>31</v>
      </c>
      <c r="E743" s="15" t="n">
        <f aca="false">VLOOKUP(B743,WYT!$A$2:$L$97,12)</f>
        <v>0</v>
      </c>
      <c r="F743" s="15" t="n">
        <f aca="false">IF(C743=$W$5,1,0)</f>
        <v>0</v>
      </c>
      <c r="G743" s="15" t="n">
        <f aca="false">IF(C743=10,0,IF(F743=1,1,G742))</f>
        <v>0</v>
      </c>
      <c r="H743" s="5" t="n">
        <f aca="false">VA_base_426_data!B743</f>
        <v>12500.5550875491</v>
      </c>
      <c r="I743" s="5" t="n">
        <f aca="false">IF(AND(E743=1,OR(C743=4,C743=5)),25*12.1/24/D743*1000,0)</f>
        <v>0</v>
      </c>
      <c r="J743" s="5" t="n">
        <f aca="false">VA_base_426_data!C743</f>
        <v>1700</v>
      </c>
      <c r="K743" s="5" t="n">
        <f aca="false">H743+I743-J743</f>
        <v>10800.5550875491</v>
      </c>
      <c r="L743" s="5" t="n">
        <f aca="false">MIN($W$7,J743+K743)</f>
        <v>2000</v>
      </c>
      <c r="M743" s="5" t="n">
        <f aca="false">VA_base_426_data!D743</f>
        <v>800</v>
      </c>
      <c r="N743" s="5" t="n">
        <f aca="false">IF(AND(C743=10,E743=1),$W$6,N742-P742)</f>
        <v>0</v>
      </c>
      <c r="O743" s="5" t="n">
        <f aca="false">IF(ABS(M743-L743)&gt;1,MIN(N743/((L743-M743)*24/12.1/1000),D743),D743)</f>
        <v>0</v>
      </c>
      <c r="P743" s="5" t="n">
        <f aca="false">MIN(IF(AND(G743,E743),(L743-M743)*24/12.1*O743/1000,0),N743)</f>
        <v>0</v>
      </c>
      <c r="Q743" s="5" t="n">
        <f aca="false">IF(P743&gt;0,P743/O743*12.1/24*1000+M743,0)</f>
        <v>0</v>
      </c>
      <c r="R743" s="0" t="n">
        <f aca="false">IF(Q743&gt;0,TRUNC(O743),0)</f>
        <v>0</v>
      </c>
      <c r="S743" s="5" t="n">
        <f aca="false">(M743*(D743-R743)+(Q743*R743))/D743</f>
        <v>800</v>
      </c>
      <c r="T743" s="6" t="n">
        <f aca="false">(Q743-M743)*R743*24/12.1/1000</f>
        <v>-0</v>
      </c>
    </row>
    <row r="744" customFormat="false" ht="14.35" hidden="false" customHeight="false" outlineLevel="0" collapsed="false">
      <c r="A744" s="4" t="n">
        <v>30375</v>
      </c>
      <c r="B744" s="15" t="n">
        <f aca="false">IF(C744&lt;=9,YEAR(A744),YEAR(A744)+1)</f>
        <v>1983</v>
      </c>
      <c r="C744" s="15" t="n">
        <f aca="false">MONTH(A744)</f>
        <v>2</v>
      </c>
      <c r="D744" s="15" t="n">
        <f aca="false">DAY(A744)</f>
        <v>28</v>
      </c>
      <c r="E744" s="15" t="n">
        <f aca="false">VLOOKUP(B744,WYT!$A$2:$L$97,12)</f>
        <v>0</v>
      </c>
      <c r="F744" s="15" t="n">
        <f aca="false">IF(C744=$W$5,1,0)</f>
        <v>1</v>
      </c>
      <c r="G744" s="15" t="n">
        <f aca="false">IF(C744=10,0,IF(F744=1,1,G743))</f>
        <v>1</v>
      </c>
      <c r="H744" s="5" t="n">
        <f aca="false">VA_base_426_data!B744</f>
        <v>21721.9502015946</v>
      </c>
      <c r="I744" s="5" t="n">
        <f aca="false">IF(AND(E744=1,OR(C744=4,C744=5)),25*12.1/24/D744*1000,0)</f>
        <v>0</v>
      </c>
      <c r="J744" s="5" t="n">
        <f aca="false">VA_base_426_data!C744</f>
        <v>1700</v>
      </c>
      <c r="K744" s="5" t="n">
        <f aca="false">H744+I744-J744</f>
        <v>20021.9502015946</v>
      </c>
      <c r="L744" s="5" t="n">
        <f aca="false">MIN($W$7,J744+K744)</f>
        <v>2000</v>
      </c>
      <c r="M744" s="5" t="n">
        <f aca="false">VA_base_426_data!D744</f>
        <v>800</v>
      </c>
      <c r="N744" s="5" t="n">
        <f aca="false">IF(AND(C744=10,E744=1),$W$6,N743-P743)</f>
        <v>0</v>
      </c>
      <c r="O744" s="5" t="n">
        <f aca="false">IF(ABS(M744-L744)&gt;1,MIN(N744/((L744-M744)*24/12.1/1000),D744),D744)</f>
        <v>0</v>
      </c>
      <c r="P744" s="5" t="n">
        <f aca="false">MIN(IF(AND(G744,E744),(L744-M744)*24/12.1*O744/1000,0),N744)</f>
        <v>0</v>
      </c>
      <c r="Q744" s="5" t="n">
        <f aca="false">IF(P744&gt;0,P744/O744*12.1/24*1000+M744,0)</f>
        <v>0</v>
      </c>
      <c r="R744" s="0" t="n">
        <f aca="false">IF(Q744&gt;0,TRUNC(O744),0)</f>
        <v>0</v>
      </c>
      <c r="S744" s="5" t="n">
        <f aca="false">(M744*(D744-R744)+(Q744*R744))/D744</f>
        <v>800</v>
      </c>
      <c r="T744" s="6" t="n">
        <f aca="false">(Q744-M744)*R744*24/12.1/1000</f>
        <v>-0</v>
      </c>
    </row>
    <row r="745" customFormat="false" ht="14.35" hidden="false" customHeight="false" outlineLevel="0" collapsed="false">
      <c r="A745" s="4" t="n">
        <v>30406</v>
      </c>
      <c r="B745" s="15" t="n">
        <f aca="false">IF(C745&lt;=9,YEAR(A745),YEAR(A745)+1)</f>
        <v>1983</v>
      </c>
      <c r="C745" s="15" t="n">
        <f aca="false">MONTH(A745)</f>
        <v>3</v>
      </c>
      <c r="D745" s="15" t="n">
        <f aca="false">DAY(A745)</f>
        <v>31</v>
      </c>
      <c r="E745" s="15" t="n">
        <f aca="false">VLOOKUP(B745,WYT!$A$2:$L$97,12)</f>
        <v>0</v>
      </c>
      <c r="F745" s="15" t="n">
        <f aca="false">IF(C745=$W$5,1,0)</f>
        <v>0</v>
      </c>
      <c r="G745" s="15" t="n">
        <f aca="false">IF(C745=10,0,IF(F745=1,1,G744))</f>
        <v>1</v>
      </c>
      <c r="H745" s="5" t="n">
        <f aca="false">VA_base_426_data!B745</f>
        <v>31802.5429033528</v>
      </c>
      <c r="I745" s="5" t="n">
        <f aca="false">IF(AND(E745=1,OR(C745=4,C745=5)),25*12.1/24/D745*1000,0)</f>
        <v>0</v>
      </c>
      <c r="J745" s="5" t="n">
        <f aca="false">VA_base_426_data!C745</f>
        <v>1700</v>
      </c>
      <c r="K745" s="5" t="n">
        <f aca="false">H745+I745-J745</f>
        <v>30102.5429033528</v>
      </c>
      <c r="L745" s="5" t="n">
        <f aca="false">MIN($W$7,J745+K745)</f>
        <v>2000</v>
      </c>
      <c r="M745" s="5" t="n">
        <f aca="false">VA_base_426_data!D745</f>
        <v>800</v>
      </c>
      <c r="N745" s="5" t="n">
        <f aca="false">IF(AND(C745=10,E745=1),$W$6,N744-P744)</f>
        <v>0</v>
      </c>
      <c r="O745" s="5" t="n">
        <f aca="false">IF(ABS(M745-L745)&gt;1,MIN(N745/((L745-M745)*24/12.1/1000),D745),D745)</f>
        <v>0</v>
      </c>
      <c r="P745" s="5" t="n">
        <f aca="false">MIN(IF(AND(G745,E745),(L745-M745)*24/12.1*O745/1000,0),N745)</f>
        <v>0</v>
      </c>
      <c r="Q745" s="5" t="n">
        <f aca="false">IF(P745&gt;0,P745/O745*12.1/24*1000+M745,0)</f>
        <v>0</v>
      </c>
      <c r="R745" s="0" t="n">
        <f aca="false">IF(Q745&gt;0,TRUNC(O745),0)</f>
        <v>0</v>
      </c>
      <c r="S745" s="5" t="n">
        <f aca="false">(M745*(D745-R745)+(Q745*R745))/D745</f>
        <v>800</v>
      </c>
      <c r="T745" s="6" t="n">
        <f aca="false">(Q745-M745)*R745*24/12.1/1000</f>
        <v>-0</v>
      </c>
    </row>
    <row r="746" customFormat="false" ht="14.35" hidden="false" customHeight="false" outlineLevel="0" collapsed="false">
      <c r="A746" s="4" t="n">
        <v>30436</v>
      </c>
      <c r="B746" s="15" t="n">
        <f aca="false">IF(C746&lt;=9,YEAR(A746),YEAR(A746)+1)</f>
        <v>1983</v>
      </c>
      <c r="C746" s="15" t="n">
        <f aca="false">MONTH(A746)</f>
        <v>4</v>
      </c>
      <c r="D746" s="15" t="n">
        <f aca="false">DAY(A746)</f>
        <v>30</v>
      </c>
      <c r="E746" s="15" t="n">
        <f aca="false">VLOOKUP(B746,WYT!$A$2:$L$97,12)</f>
        <v>0</v>
      </c>
      <c r="F746" s="15" t="n">
        <f aca="false">IF(C746=$W$5,1,0)</f>
        <v>0</v>
      </c>
      <c r="G746" s="15" t="n">
        <f aca="false">IF(C746=10,0,IF(F746=1,1,G745))</f>
        <v>1</v>
      </c>
      <c r="H746" s="5" t="n">
        <f aca="false">VA_base_426_data!B746</f>
        <v>8770.90130426694</v>
      </c>
      <c r="I746" s="5" t="n">
        <f aca="false">IF(AND(E746=1,OR(C746=4,C746=5)),25*12.1/24/D746*1000,0)</f>
        <v>0</v>
      </c>
      <c r="J746" s="5" t="n">
        <f aca="false">VA_base_426_data!C746</f>
        <v>1000</v>
      </c>
      <c r="K746" s="5" t="n">
        <f aca="false">H746+I746-J746</f>
        <v>7770.90130426694</v>
      </c>
      <c r="L746" s="5" t="n">
        <f aca="false">MIN($W$7,J746+K746)</f>
        <v>2000</v>
      </c>
      <c r="M746" s="5" t="n">
        <f aca="false">VA_base_426_data!D746</f>
        <v>700</v>
      </c>
      <c r="N746" s="5" t="n">
        <f aca="false">IF(AND(C746=10,E746=1),$W$6,N745-P745)</f>
        <v>0</v>
      </c>
      <c r="O746" s="5" t="n">
        <f aca="false">IF(ABS(M746-L746)&gt;1,MIN(N746/((L746-M746)*24/12.1/1000),D746),D746)</f>
        <v>0</v>
      </c>
      <c r="P746" s="5" t="n">
        <f aca="false">MIN(IF(AND(G746,E746),(L746-M746)*24/12.1*O746/1000,0),N746)</f>
        <v>0</v>
      </c>
      <c r="Q746" s="5" t="n">
        <f aca="false">IF(P746&gt;0,P746/O746*12.1/24*1000+M746,0)</f>
        <v>0</v>
      </c>
      <c r="R746" s="0" t="n">
        <f aca="false">IF(Q746&gt;0,TRUNC(O746),0)</f>
        <v>0</v>
      </c>
      <c r="S746" s="5" t="n">
        <f aca="false">(M746*(D746-R746)+(Q746*R746))/D746</f>
        <v>700</v>
      </c>
      <c r="T746" s="6" t="n">
        <f aca="false">(Q746-M746)*R746*24/12.1/1000</f>
        <v>-0</v>
      </c>
    </row>
    <row r="747" customFormat="false" ht="14.35" hidden="false" customHeight="false" outlineLevel="0" collapsed="false">
      <c r="A747" s="4" t="n">
        <v>30467</v>
      </c>
      <c r="B747" s="15" t="n">
        <f aca="false">IF(C747&lt;=9,YEAR(A747),YEAR(A747)+1)</f>
        <v>1983</v>
      </c>
      <c r="C747" s="15" t="n">
        <f aca="false">MONTH(A747)</f>
        <v>5</v>
      </c>
      <c r="D747" s="15" t="n">
        <f aca="false">DAY(A747)</f>
        <v>31</v>
      </c>
      <c r="E747" s="15" t="n">
        <f aca="false">VLOOKUP(B747,WYT!$A$2:$L$97,12)</f>
        <v>0</v>
      </c>
      <c r="F747" s="15" t="n">
        <f aca="false">IF(C747=$W$5,1,0)</f>
        <v>0</v>
      </c>
      <c r="G747" s="15" t="n">
        <f aca="false">IF(C747=10,0,IF(F747=1,1,G746))</f>
        <v>1</v>
      </c>
      <c r="H747" s="5" t="n">
        <f aca="false">VA_base_426_data!B747</f>
        <v>11889.1501902224</v>
      </c>
      <c r="I747" s="5" t="n">
        <f aca="false">IF(AND(E747=1,OR(C747=4,C747=5)),25*12.1/24/D747*1000,0)</f>
        <v>0</v>
      </c>
      <c r="J747" s="5" t="n">
        <f aca="false">VA_base_426_data!C747</f>
        <v>1000</v>
      </c>
      <c r="K747" s="5" t="n">
        <f aca="false">H747+I747-J747</f>
        <v>10889.1501902224</v>
      </c>
      <c r="L747" s="5" t="n">
        <f aca="false">MIN($W$7,J747+K747)</f>
        <v>2000</v>
      </c>
      <c r="M747" s="5" t="n">
        <f aca="false">VA_base_426_data!D747</f>
        <v>700</v>
      </c>
      <c r="N747" s="5" t="n">
        <f aca="false">IF(AND(C747=10,E747=1),$W$6,N746-P746)</f>
        <v>0</v>
      </c>
      <c r="O747" s="5" t="n">
        <f aca="false">IF(ABS(M747-L747)&gt;1,MIN(N747/((L747-M747)*24/12.1/1000),D747),D747)</f>
        <v>0</v>
      </c>
      <c r="P747" s="5" t="n">
        <f aca="false">MIN(IF(AND(G747,E747),(L747-M747)*24/12.1*O747/1000,0),N747)</f>
        <v>0</v>
      </c>
      <c r="Q747" s="5" t="n">
        <f aca="false">IF(P747&gt;0,P747/O747*12.1/24*1000+M747,0)</f>
        <v>0</v>
      </c>
      <c r="R747" s="0" t="n">
        <f aca="false">IF(Q747&gt;0,TRUNC(O747),0)</f>
        <v>0</v>
      </c>
      <c r="S747" s="5" t="n">
        <f aca="false">(M747*(D747-R747)+(Q747*R747))/D747</f>
        <v>700</v>
      </c>
      <c r="T747" s="6" t="n">
        <f aca="false">(Q747-M747)*R747*24/12.1/1000</f>
        <v>-0</v>
      </c>
    </row>
    <row r="748" customFormat="false" ht="14.35" hidden="false" customHeight="false" outlineLevel="0" collapsed="false">
      <c r="A748" s="4" t="n">
        <v>30497</v>
      </c>
      <c r="B748" s="15" t="n">
        <f aca="false">IF(C748&lt;=9,YEAR(A748),YEAR(A748)+1)</f>
        <v>1983</v>
      </c>
      <c r="C748" s="15" t="n">
        <f aca="false">MONTH(A748)</f>
        <v>6</v>
      </c>
      <c r="D748" s="15" t="n">
        <f aca="false">DAY(A748)</f>
        <v>30</v>
      </c>
      <c r="E748" s="15" t="n">
        <f aca="false">VLOOKUP(B748,WYT!$A$2:$L$97,12)</f>
        <v>0</v>
      </c>
      <c r="F748" s="15" t="n">
        <f aca="false">IF(C748=$W$5,1,0)</f>
        <v>0</v>
      </c>
      <c r="G748" s="15" t="n">
        <f aca="false">IF(C748=10,0,IF(F748=1,1,G747))</f>
        <v>1</v>
      </c>
      <c r="H748" s="5" t="n">
        <f aca="false">VA_base_426_data!B748</f>
        <v>11717.6722459041</v>
      </c>
      <c r="I748" s="5" t="n">
        <f aca="false">IF(AND(E748=1,OR(C748=4,C748=5)),25*12.1/24/D748*1000,0)</f>
        <v>0</v>
      </c>
      <c r="J748" s="5" t="n">
        <f aca="false">VA_base_426_data!C748</f>
        <v>1000</v>
      </c>
      <c r="K748" s="5" t="n">
        <f aca="false">H748+I748-J748</f>
        <v>10717.6722459041</v>
      </c>
      <c r="L748" s="5" t="n">
        <f aca="false">MIN($W$7,J748+K748)</f>
        <v>2000</v>
      </c>
      <c r="M748" s="5" t="n">
        <f aca="false">VA_base_426_data!D748</f>
        <v>700</v>
      </c>
      <c r="N748" s="5" t="n">
        <f aca="false">IF(AND(C748=10,E748=1),$W$6,N747-P747)</f>
        <v>0</v>
      </c>
      <c r="O748" s="5" t="n">
        <f aca="false">IF(ABS(M748-L748)&gt;1,MIN(N748/((L748-M748)*24/12.1/1000),D748),D748)</f>
        <v>0</v>
      </c>
      <c r="P748" s="5" t="n">
        <f aca="false">MIN(IF(AND(G748,E748),(L748-M748)*24/12.1*O748/1000,0),N748)</f>
        <v>0</v>
      </c>
      <c r="Q748" s="5" t="n">
        <f aca="false">IF(P748&gt;0,P748/O748*12.1/24*1000+M748,0)</f>
        <v>0</v>
      </c>
      <c r="R748" s="0" t="n">
        <f aca="false">IF(Q748&gt;0,TRUNC(O748),0)</f>
        <v>0</v>
      </c>
      <c r="S748" s="5" t="n">
        <f aca="false">(M748*(D748-R748)+(Q748*R748))/D748</f>
        <v>700</v>
      </c>
      <c r="T748" s="6" t="n">
        <f aca="false">(Q748-M748)*R748*24/12.1/1000</f>
        <v>-0</v>
      </c>
    </row>
    <row r="749" customFormat="false" ht="14.35" hidden="false" customHeight="false" outlineLevel="0" collapsed="false">
      <c r="A749" s="4" t="n">
        <v>30528</v>
      </c>
      <c r="B749" s="15" t="n">
        <f aca="false">IF(C749&lt;=9,YEAR(A749),YEAR(A749)+1)</f>
        <v>1983</v>
      </c>
      <c r="C749" s="15" t="n">
        <f aca="false">MONTH(A749)</f>
        <v>7</v>
      </c>
      <c r="D749" s="15" t="n">
        <f aca="false">DAY(A749)</f>
        <v>31</v>
      </c>
      <c r="E749" s="15" t="n">
        <f aca="false">VLOOKUP(B749,WYT!$A$2:$L$97,12)</f>
        <v>0</v>
      </c>
      <c r="F749" s="15" t="n">
        <f aca="false">IF(C749=$W$5,1,0)</f>
        <v>0</v>
      </c>
      <c r="G749" s="15" t="n">
        <f aca="false">IF(C749=10,0,IF(F749=1,1,G748))</f>
        <v>1</v>
      </c>
      <c r="H749" s="5" t="n">
        <f aca="false">VA_base_426_data!B749</f>
        <v>2876.72591614348</v>
      </c>
      <c r="I749" s="5" t="n">
        <f aca="false">IF(AND(E749=1,OR(C749=4,C749=5)),25*12.1/24/D749*1000,0)</f>
        <v>0</v>
      </c>
      <c r="J749" s="5" t="n">
        <f aca="false">VA_base_426_data!C749</f>
        <v>1000</v>
      </c>
      <c r="K749" s="5" t="n">
        <f aca="false">H749+I749-J749</f>
        <v>1876.72591614348</v>
      </c>
      <c r="L749" s="5" t="n">
        <f aca="false">MIN($W$7,J749+K749)</f>
        <v>2000</v>
      </c>
      <c r="M749" s="5" t="n">
        <f aca="false">VA_base_426_data!D749</f>
        <v>700</v>
      </c>
      <c r="N749" s="5" t="n">
        <f aca="false">IF(AND(C749=10,E749=1),$W$6,N748-P748)</f>
        <v>0</v>
      </c>
      <c r="O749" s="5" t="n">
        <f aca="false">IF(ABS(M749-L749)&gt;1,MIN(N749/((L749-M749)*24/12.1/1000),D749),D749)</f>
        <v>0</v>
      </c>
      <c r="P749" s="5" t="n">
        <f aca="false">MIN(IF(AND(G749,E749),(L749-M749)*24/12.1*O749/1000,0),N749)</f>
        <v>0</v>
      </c>
      <c r="Q749" s="5" t="n">
        <f aca="false">IF(P749&gt;0,P749/O749*12.1/24*1000+M749,0)</f>
        <v>0</v>
      </c>
      <c r="R749" s="0" t="n">
        <f aca="false">IF(Q749&gt;0,TRUNC(O749),0)</f>
        <v>0</v>
      </c>
      <c r="S749" s="5" t="n">
        <f aca="false">(M749*(D749-R749)+(Q749*R749))/D749</f>
        <v>700</v>
      </c>
      <c r="T749" s="6" t="n">
        <f aca="false">(Q749-M749)*R749*24/12.1/1000</f>
        <v>-0</v>
      </c>
    </row>
    <row r="750" customFormat="false" ht="14.35" hidden="false" customHeight="false" outlineLevel="0" collapsed="false">
      <c r="A750" s="4" t="n">
        <v>30559</v>
      </c>
      <c r="B750" s="15" t="n">
        <f aca="false">IF(C750&lt;=9,YEAR(A750),YEAR(A750)+1)</f>
        <v>1983</v>
      </c>
      <c r="C750" s="15" t="n">
        <f aca="false">MONTH(A750)</f>
        <v>8</v>
      </c>
      <c r="D750" s="15" t="n">
        <f aca="false">DAY(A750)</f>
        <v>31</v>
      </c>
      <c r="E750" s="15" t="n">
        <f aca="false">VLOOKUP(B750,WYT!$A$2:$L$97,12)</f>
        <v>0</v>
      </c>
      <c r="F750" s="15" t="n">
        <f aca="false">IF(C750=$W$5,1,0)</f>
        <v>0</v>
      </c>
      <c r="G750" s="15" t="n">
        <f aca="false">IF(C750=10,0,IF(F750=1,1,G749))</f>
        <v>1</v>
      </c>
      <c r="H750" s="5" t="n">
        <f aca="false">VA_base_426_data!B750</f>
        <v>1463.4423237628</v>
      </c>
      <c r="I750" s="5" t="n">
        <f aca="false">IF(AND(E750=1,OR(C750=4,C750=5)),25*12.1/24/D750*1000,0)</f>
        <v>0</v>
      </c>
      <c r="J750" s="5" t="n">
        <f aca="false">VA_base_426_data!C750</f>
        <v>1000</v>
      </c>
      <c r="K750" s="5" t="n">
        <f aca="false">H750+I750-J750</f>
        <v>463.442323762805</v>
      </c>
      <c r="L750" s="5" t="n">
        <f aca="false">MIN($W$7,J750+K750)</f>
        <v>1463.4423237628</v>
      </c>
      <c r="M750" s="5" t="n">
        <f aca="false">VA_base_426_data!D750</f>
        <v>700</v>
      </c>
      <c r="N750" s="5" t="n">
        <f aca="false">IF(AND(C750=10,E750=1),$W$6,N749-P749)</f>
        <v>0</v>
      </c>
      <c r="O750" s="5" t="n">
        <f aca="false">IF(ABS(M750-L750)&gt;1,MIN(N750/((L750-M750)*24/12.1/1000),D750),D750)</f>
        <v>0</v>
      </c>
      <c r="P750" s="5" t="n">
        <f aca="false">MIN(IF(AND(G750,E750),(L750-M750)*24/12.1*O750/1000,0),N750)</f>
        <v>0</v>
      </c>
      <c r="Q750" s="5" t="n">
        <f aca="false">IF(P750&gt;0,P750/O750*12.1/24*1000+M750,0)</f>
        <v>0</v>
      </c>
      <c r="R750" s="0" t="n">
        <f aca="false">IF(Q750&gt;0,TRUNC(O750),0)</f>
        <v>0</v>
      </c>
      <c r="S750" s="5" t="n">
        <f aca="false">(M750*(D750-R750)+(Q750*R750))/D750</f>
        <v>700</v>
      </c>
      <c r="T750" s="6" t="n">
        <f aca="false">(Q750-M750)*R750*24/12.1/1000</f>
        <v>-0</v>
      </c>
    </row>
    <row r="751" customFormat="false" ht="14.35" hidden="false" customHeight="false" outlineLevel="0" collapsed="false">
      <c r="A751" s="4" t="n">
        <v>30589</v>
      </c>
      <c r="B751" s="15" t="n">
        <f aca="false">IF(C751&lt;=9,YEAR(A751),YEAR(A751)+1)</f>
        <v>1983</v>
      </c>
      <c r="C751" s="15" t="n">
        <f aca="false">MONTH(A751)</f>
        <v>9</v>
      </c>
      <c r="D751" s="15" t="n">
        <f aca="false">DAY(A751)</f>
        <v>30</v>
      </c>
      <c r="E751" s="15" t="n">
        <f aca="false">VLOOKUP(B751,WYT!$A$2:$L$97,12)</f>
        <v>0</v>
      </c>
      <c r="F751" s="15" t="n">
        <f aca="false">IF(C751=$W$5,1,0)</f>
        <v>0</v>
      </c>
      <c r="G751" s="15" t="n">
        <f aca="false">IF(C751=10,0,IF(F751=1,1,G750))</f>
        <v>1</v>
      </c>
      <c r="H751" s="5" t="n">
        <f aca="false">VA_base_426_data!B751</f>
        <v>5047.22406485996</v>
      </c>
      <c r="I751" s="5" t="n">
        <f aca="false">IF(AND(E751=1,OR(C751=4,C751=5)),25*12.1/24/D751*1000,0)</f>
        <v>0</v>
      </c>
      <c r="J751" s="5" t="n">
        <f aca="false">VA_base_426_data!C751</f>
        <v>1000</v>
      </c>
      <c r="K751" s="5" t="n">
        <f aca="false">H751+I751-J751</f>
        <v>4047.22406485996</v>
      </c>
      <c r="L751" s="5" t="n">
        <f aca="false">MIN($W$7,J751+K751)</f>
        <v>2000</v>
      </c>
      <c r="M751" s="5" t="n">
        <f aca="false">VA_base_426_data!D751</f>
        <v>773.3333333</v>
      </c>
      <c r="N751" s="5" t="n">
        <f aca="false">IF(AND(C751=10,E751=1),$W$6,N750-P750)</f>
        <v>0</v>
      </c>
      <c r="O751" s="5" t="n">
        <f aca="false">IF(ABS(M751-L751)&gt;1,MIN(N751/((L751-M751)*24/12.1/1000),D751),D751)</f>
        <v>0</v>
      </c>
      <c r="P751" s="5" t="n">
        <f aca="false">MIN(IF(AND(G751,E751),(L751-M751)*24/12.1*O751/1000,0),N751)</f>
        <v>0</v>
      </c>
      <c r="Q751" s="5" t="n">
        <f aca="false">IF(P751&gt;0,P751/O751*12.1/24*1000+M751,0)</f>
        <v>0</v>
      </c>
      <c r="R751" s="0" t="n">
        <f aca="false">IF(Q751&gt;0,TRUNC(O751),0)</f>
        <v>0</v>
      </c>
      <c r="S751" s="5" t="n">
        <f aca="false">(M751*(D751-R751)+(Q751*R751))/D751</f>
        <v>773.3333333</v>
      </c>
      <c r="T751" s="6" t="n">
        <f aca="false">(Q751-M751)*R751*24/12.1/1000</f>
        <v>-0</v>
      </c>
    </row>
    <row r="752" customFormat="false" ht="14.35" hidden="false" customHeight="false" outlineLevel="0" collapsed="false">
      <c r="A752" s="4" t="n">
        <v>30620</v>
      </c>
      <c r="B752" s="15" t="n">
        <f aca="false">IF(C752&lt;=9,YEAR(A752),YEAR(A752)+1)</f>
        <v>1984</v>
      </c>
      <c r="C752" s="15" t="n">
        <f aca="false">MONTH(A752)</f>
        <v>10</v>
      </c>
      <c r="D752" s="15" t="n">
        <f aca="false">DAY(A752)</f>
        <v>31</v>
      </c>
      <c r="E752" s="15" t="n">
        <f aca="false">VLOOKUP(B752,WYT!$A$2:$L$97,12)</f>
        <v>0</v>
      </c>
      <c r="F752" s="15" t="n">
        <f aca="false">IF(C752=$W$5,1,0)</f>
        <v>0</v>
      </c>
      <c r="G752" s="15" t="n">
        <f aca="false">IF(C752=10,0,IF(F752=1,1,G751))</f>
        <v>0</v>
      </c>
      <c r="H752" s="5" t="n">
        <f aca="false">VA_base_426_data!B752</f>
        <v>3785.58819223038</v>
      </c>
      <c r="I752" s="5" t="n">
        <f aca="false">IF(AND(E752=1,OR(C752=4,C752=5)),25*12.1/24/D752*1000,0)</f>
        <v>0</v>
      </c>
      <c r="J752" s="5" t="n">
        <f aca="false">VA_base_426_data!C752</f>
        <v>1700</v>
      </c>
      <c r="K752" s="5" t="n">
        <f aca="false">H752+I752-J752</f>
        <v>2085.58819223038</v>
      </c>
      <c r="L752" s="5" t="n">
        <f aca="false">MIN($W$7,J752+K752)</f>
        <v>2000</v>
      </c>
      <c r="M752" s="5" t="n">
        <f aca="false">VA_base_426_data!D752</f>
        <v>800</v>
      </c>
      <c r="N752" s="5" t="n">
        <f aca="false">IF(AND(C752=10,E752=1),$W$6,N751-P751)</f>
        <v>0</v>
      </c>
      <c r="O752" s="5" t="n">
        <f aca="false">IF(ABS(M752-L752)&gt;1,MIN(N752/((L752-M752)*24/12.1/1000),D752),D752)</f>
        <v>0</v>
      </c>
      <c r="P752" s="5" t="n">
        <f aca="false">MIN(IF(AND(G752,E752),(L752-M752)*24/12.1*O752/1000,0),N752)</f>
        <v>0</v>
      </c>
      <c r="Q752" s="5" t="n">
        <f aca="false">IF(P752&gt;0,P752/O752*12.1/24*1000+M752,0)</f>
        <v>0</v>
      </c>
      <c r="R752" s="0" t="n">
        <f aca="false">IF(Q752&gt;0,TRUNC(O752),0)</f>
        <v>0</v>
      </c>
      <c r="S752" s="5" t="n">
        <f aca="false">(M752*(D752-R752)+(Q752*R752))/D752</f>
        <v>800</v>
      </c>
      <c r="T752" s="6" t="n">
        <f aca="false">(Q752-M752)*R752*24/12.1/1000</f>
        <v>-0</v>
      </c>
    </row>
    <row r="753" customFormat="false" ht="14.35" hidden="false" customHeight="false" outlineLevel="0" collapsed="false">
      <c r="A753" s="4" t="n">
        <v>30650</v>
      </c>
      <c r="B753" s="15" t="n">
        <f aca="false">IF(C753&lt;=9,YEAR(A753),YEAR(A753)+1)</f>
        <v>1984</v>
      </c>
      <c r="C753" s="15" t="n">
        <f aca="false">MONTH(A753)</f>
        <v>11</v>
      </c>
      <c r="D753" s="15" t="n">
        <f aca="false">DAY(A753)</f>
        <v>30</v>
      </c>
      <c r="E753" s="15" t="n">
        <f aca="false">VLOOKUP(B753,WYT!$A$2:$L$97,12)</f>
        <v>0</v>
      </c>
      <c r="F753" s="15" t="n">
        <f aca="false">IF(C753=$W$5,1,0)</f>
        <v>0</v>
      </c>
      <c r="G753" s="15" t="n">
        <f aca="false">IF(C753=10,0,IF(F753=1,1,G752))</f>
        <v>0</v>
      </c>
      <c r="H753" s="5" t="n">
        <f aca="false">VA_base_426_data!B753</f>
        <v>13178.3945889625</v>
      </c>
      <c r="I753" s="5" t="n">
        <f aca="false">IF(AND(E753=1,OR(C753=4,C753=5)),25*12.1/24/D753*1000,0)</f>
        <v>0</v>
      </c>
      <c r="J753" s="5" t="n">
        <f aca="false">VA_base_426_data!C753</f>
        <v>1700</v>
      </c>
      <c r="K753" s="5" t="n">
        <f aca="false">H753+I753-J753</f>
        <v>11478.3945889625</v>
      </c>
      <c r="L753" s="5" t="n">
        <f aca="false">MIN($W$7,J753+K753)</f>
        <v>2000</v>
      </c>
      <c r="M753" s="5" t="n">
        <f aca="false">VA_base_426_data!D753</f>
        <v>800</v>
      </c>
      <c r="N753" s="5" t="n">
        <f aca="false">IF(AND(C753=10,E753=1),$W$6,N752-P752)</f>
        <v>0</v>
      </c>
      <c r="O753" s="5" t="n">
        <f aca="false">IF(ABS(M753-L753)&gt;1,MIN(N753/((L753-M753)*24/12.1/1000),D753),D753)</f>
        <v>0</v>
      </c>
      <c r="P753" s="5" t="n">
        <f aca="false">MIN(IF(AND(G753,E753),(L753-M753)*24/12.1*O753/1000,0),N753)</f>
        <v>0</v>
      </c>
      <c r="Q753" s="5" t="n">
        <f aca="false">IF(P753&gt;0,P753/O753*12.1/24*1000+M753,0)</f>
        <v>0</v>
      </c>
      <c r="R753" s="0" t="n">
        <f aca="false">IF(Q753&gt;0,TRUNC(O753),0)</f>
        <v>0</v>
      </c>
      <c r="S753" s="5" t="n">
        <f aca="false">(M753*(D753-R753)+(Q753*R753))/D753</f>
        <v>800</v>
      </c>
      <c r="T753" s="6" t="n">
        <f aca="false">(Q753-M753)*R753*24/12.1/1000</f>
        <v>-0</v>
      </c>
    </row>
    <row r="754" customFormat="false" ht="14.35" hidden="false" customHeight="false" outlineLevel="0" collapsed="false">
      <c r="A754" s="4" t="n">
        <v>30681</v>
      </c>
      <c r="B754" s="15" t="n">
        <f aca="false">IF(C754&lt;=9,YEAR(A754),YEAR(A754)+1)</f>
        <v>1984</v>
      </c>
      <c r="C754" s="15" t="n">
        <f aca="false">MONTH(A754)</f>
        <v>12</v>
      </c>
      <c r="D754" s="15" t="n">
        <f aca="false">DAY(A754)</f>
        <v>31</v>
      </c>
      <c r="E754" s="15" t="n">
        <f aca="false">VLOOKUP(B754,WYT!$A$2:$L$97,12)</f>
        <v>0</v>
      </c>
      <c r="F754" s="15" t="n">
        <f aca="false">IF(C754=$W$5,1,0)</f>
        <v>0</v>
      </c>
      <c r="G754" s="15" t="n">
        <f aca="false">IF(C754=10,0,IF(F754=1,1,G753))</f>
        <v>0</v>
      </c>
      <c r="H754" s="5" t="n">
        <f aca="false">VA_base_426_data!B754</f>
        <v>23709.4151307641</v>
      </c>
      <c r="I754" s="5" t="n">
        <f aca="false">IF(AND(E754=1,OR(C754=4,C754=5)),25*12.1/24/D754*1000,0)</f>
        <v>0</v>
      </c>
      <c r="J754" s="5" t="n">
        <f aca="false">VA_base_426_data!C754</f>
        <v>1700</v>
      </c>
      <c r="K754" s="5" t="n">
        <f aca="false">H754+I754-J754</f>
        <v>22009.4151307641</v>
      </c>
      <c r="L754" s="5" t="n">
        <f aca="false">MIN($W$7,J754+K754)</f>
        <v>2000</v>
      </c>
      <c r="M754" s="5" t="n">
        <f aca="false">VA_base_426_data!D754</f>
        <v>800</v>
      </c>
      <c r="N754" s="5" t="n">
        <f aca="false">IF(AND(C754=10,E754=1),$W$6,N753-P753)</f>
        <v>0</v>
      </c>
      <c r="O754" s="5" t="n">
        <f aca="false">IF(ABS(M754-L754)&gt;1,MIN(N754/((L754-M754)*24/12.1/1000),D754),D754)</f>
        <v>0</v>
      </c>
      <c r="P754" s="5" t="n">
        <f aca="false">MIN(IF(AND(G754,E754),(L754-M754)*24/12.1*O754/1000,0),N754)</f>
        <v>0</v>
      </c>
      <c r="Q754" s="5" t="n">
        <f aca="false">IF(P754&gt;0,P754/O754*12.1/24*1000+M754,0)</f>
        <v>0</v>
      </c>
      <c r="R754" s="0" t="n">
        <f aca="false">IF(Q754&gt;0,TRUNC(O754),0)</f>
        <v>0</v>
      </c>
      <c r="S754" s="5" t="n">
        <f aca="false">(M754*(D754-R754)+(Q754*R754))/D754</f>
        <v>800</v>
      </c>
      <c r="T754" s="6" t="n">
        <f aca="false">(Q754-M754)*R754*24/12.1/1000</f>
        <v>-0</v>
      </c>
    </row>
    <row r="755" customFormat="false" ht="14.35" hidden="false" customHeight="false" outlineLevel="0" collapsed="false">
      <c r="A755" s="4" t="n">
        <v>30712</v>
      </c>
      <c r="B755" s="15" t="n">
        <f aca="false">IF(C755&lt;=9,YEAR(A755),YEAR(A755)+1)</f>
        <v>1984</v>
      </c>
      <c r="C755" s="15" t="n">
        <f aca="false">MONTH(A755)</f>
        <v>1</v>
      </c>
      <c r="D755" s="15" t="n">
        <f aca="false">DAY(A755)</f>
        <v>31</v>
      </c>
      <c r="E755" s="15" t="n">
        <f aca="false">VLOOKUP(B755,WYT!$A$2:$L$97,12)</f>
        <v>0</v>
      </c>
      <c r="F755" s="15" t="n">
        <f aca="false">IF(C755=$W$5,1,0)</f>
        <v>0</v>
      </c>
      <c r="G755" s="15" t="n">
        <f aca="false">IF(C755=10,0,IF(F755=1,1,G754))</f>
        <v>0</v>
      </c>
      <c r="H755" s="5" t="n">
        <f aca="false">VA_base_426_data!B755</f>
        <v>4877.69298791035</v>
      </c>
      <c r="I755" s="5" t="n">
        <f aca="false">IF(AND(E755=1,OR(C755=4,C755=5)),25*12.1/24/D755*1000,0)</f>
        <v>0</v>
      </c>
      <c r="J755" s="5" t="n">
        <f aca="false">VA_base_426_data!C755</f>
        <v>1700</v>
      </c>
      <c r="K755" s="5" t="n">
        <f aca="false">H755+I755-J755</f>
        <v>3177.69298791035</v>
      </c>
      <c r="L755" s="5" t="n">
        <f aca="false">MIN($W$7,J755+K755)</f>
        <v>2000</v>
      </c>
      <c r="M755" s="5" t="n">
        <f aca="false">VA_base_426_data!D755</f>
        <v>800</v>
      </c>
      <c r="N755" s="5" t="n">
        <f aca="false">IF(AND(C755=10,E755=1),$W$6,N754-P754)</f>
        <v>0</v>
      </c>
      <c r="O755" s="5" t="n">
        <f aca="false">IF(ABS(M755-L755)&gt;1,MIN(N755/((L755-M755)*24/12.1/1000),D755),D755)</f>
        <v>0</v>
      </c>
      <c r="P755" s="5" t="n">
        <f aca="false">MIN(IF(AND(G755,E755),(L755-M755)*24/12.1*O755/1000,0),N755)</f>
        <v>0</v>
      </c>
      <c r="Q755" s="5" t="n">
        <f aca="false">IF(P755&gt;0,P755/O755*12.1/24*1000+M755,0)</f>
        <v>0</v>
      </c>
      <c r="R755" s="0" t="n">
        <f aca="false">IF(Q755&gt;0,TRUNC(O755),0)</f>
        <v>0</v>
      </c>
      <c r="S755" s="5" t="n">
        <f aca="false">(M755*(D755-R755)+(Q755*R755))/D755</f>
        <v>800</v>
      </c>
      <c r="T755" s="6" t="n">
        <f aca="false">(Q755-M755)*R755*24/12.1/1000</f>
        <v>-0</v>
      </c>
    </row>
    <row r="756" customFormat="false" ht="14.35" hidden="false" customHeight="false" outlineLevel="0" collapsed="false">
      <c r="A756" s="4" t="n">
        <v>30741</v>
      </c>
      <c r="B756" s="15" t="n">
        <f aca="false">IF(C756&lt;=9,YEAR(A756),YEAR(A756)+1)</f>
        <v>1984</v>
      </c>
      <c r="C756" s="15" t="n">
        <f aca="false">MONTH(A756)</f>
        <v>2</v>
      </c>
      <c r="D756" s="15" t="n">
        <f aca="false">DAY(A756)</f>
        <v>29</v>
      </c>
      <c r="E756" s="15" t="n">
        <f aca="false">VLOOKUP(B756,WYT!$A$2:$L$97,12)</f>
        <v>0</v>
      </c>
      <c r="F756" s="15" t="n">
        <f aca="false">IF(C756=$W$5,1,0)</f>
        <v>1</v>
      </c>
      <c r="G756" s="15" t="n">
        <f aca="false">IF(C756=10,0,IF(F756=1,1,G755))</f>
        <v>1</v>
      </c>
      <c r="H756" s="5" t="n">
        <f aca="false">VA_base_426_data!B756</f>
        <v>8595.16006310825</v>
      </c>
      <c r="I756" s="5" t="n">
        <f aca="false">IF(AND(E756=1,OR(C756=4,C756=5)),25*12.1/24/D756*1000,0)</f>
        <v>0</v>
      </c>
      <c r="J756" s="5" t="n">
        <f aca="false">VA_base_426_data!C756</f>
        <v>1700</v>
      </c>
      <c r="K756" s="5" t="n">
        <f aca="false">H756+I756-J756</f>
        <v>6895.16006310825</v>
      </c>
      <c r="L756" s="5" t="n">
        <f aca="false">MIN($W$7,J756+K756)</f>
        <v>2000</v>
      </c>
      <c r="M756" s="5" t="n">
        <f aca="false">VA_base_426_data!D756</f>
        <v>800</v>
      </c>
      <c r="N756" s="5" t="n">
        <f aca="false">IF(AND(C756=10,E756=1),$W$6,N755-P755)</f>
        <v>0</v>
      </c>
      <c r="O756" s="5" t="n">
        <f aca="false">IF(ABS(M756-L756)&gt;1,MIN(N756/((L756-M756)*24/12.1/1000),D756),D756)</f>
        <v>0</v>
      </c>
      <c r="P756" s="5" t="n">
        <f aca="false">MIN(IF(AND(G756,E756),(L756-M756)*24/12.1*O756/1000,0),N756)</f>
        <v>0</v>
      </c>
      <c r="Q756" s="5" t="n">
        <f aca="false">IF(P756&gt;0,P756/O756*12.1/24*1000+M756,0)</f>
        <v>0</v>
      </c>
      <c r="R756" s="0" t="n">
        <f aca="false">IF(Q756&gt;0,TRUNC(O756),0)</f>
        <v>0</v>
      </c>
      <c r="S756" s="5" t="n">
        <f aca="false">(M756*(D756-R756)+(Q756*R756))/D756</f>
        <v>800</v>
      </c>
      <c r="T756" s="6" t="n">
        <f aca="false">(Q756-M756)*R756*24/12.1/1000</f>
        <v>-0</v>
      </c>
    </row>
    <row r="757" customFormat="false" ht="14.35" hidden="false" customHeight="false" outlineLevel="0" collapsed="false">
      <c r="A757" s="4" t="n">
        <v>30772</v>
      </c>
      <c r="B757" s="15" t="n">
        <f aca="false">IF(C757&lt;=9,YEAR(A757),YEAR(A757)+1)</f>
        <v>1984</v>
      </c>
      <c r="C757" s="15" t="n">
        <f aca="false">MONTH(A757)</f>
        <v>3</v>
      </c>
      <c r="D757" s="15" t="n">
        <f aca="false">DAY(A757)</f>
        <v>31</v>
      </c>
      <c r="E757" s="15" t="n">
        <f aca="false">VLOOKUP(B757,WYT!$A$2:$L$97,12)</f>
        <v>0</v>
      </c>
      <c r="F757" s="15" t="n">
        <f aca="false">IF(C757=$W$5,1,0)</f>
        <v>0</v>
      </c>
      <c r="G757" s="15" t="n">
        <f aca="false">IF(C757=10,0,IF(F757=1,1,G756))</f>
        <v>1</v>
      </c>
      <c r="H757" s="5" t="n">
        <f aca="false">VA_base_426_data!B757</f>
        <v>9025.41744050267</v>
      </c>
      <c r="I757" s="5" t="n">
        <f aca="false">IF(AND(E757=1,OR(C757=4,C757=5)),25*12.1/24/D757*1000,0)</f>
        <v>0</v>
      </c>
      <c r="J757" s="5" t="n">
        <f aca="false">VA_base_426_data!C757</f>
        <v>1700</v>
      </c>
      <c r="K757" s="5" t="n">
        <f aca="false">H757+I757-J757</f>
        <v>7325.41744050267</v>
      </c>
      <c r="L757" s="5" t="n">
        <f aca="false">MIN($W$7,J757+K757)</f>
        <v>2000</v>
      </c>
      <c r="M757" s="5" t="n">
        <f aca="false">VA_base_426_data!D757</f>
        <v>800</v>
      </c>
      <c r="N757" s="5" t="n">
        <f aca="false">IF(AND(C757=10,E757=1),$W$6,N756-P756)</f>
        <v>0</v>
      </c>
      <c r="O757" s="5" t="n">
        <f aca="false">IF(ABS(M757-L757)&gt;1,MIN(N757/((L757-M757)*24/12.1/1000),D757),D757)</f>
        <v>0</v>
      </c>
      <c r="P757" s="5" t="n">
        <f aca="false">MIN(IF(AND(G757,E757),(L757-M757)*24/12.1*O757/1000,0),N757)</f>
        <v>0</v>
      </c>
      <c r="Q757" s="5" t="n">
        <f aca="false">IF(P757&gt;0,P757/O757*12.1/24*1000+M757,0)</f>
        <v>0</v>
      </c>
      <c r="R757" s="0" t="n">
        <f aca="false">IF(Q757&gt;0,TRUNC(O757),0)</f>
        <v>0</v>
      </c>
      <c r="S757" s="5" t="n">
        <f aca="false">(M757*(D757-R757)+(Q757*R757))/D757</f>
        <v>800</v>
      </c>
      <c r="T757" s="6" t="n">
        <f aca="false">(Q757-M757)*R757*24/12.1/1000</f>
        <v>-0</v>
      </c>
    </row>
    <row r="758" customFormat="false" ht="14.35" hidden="false" customHeight="false" outlineLevel="0" collapsed="false">
      <c r="A758" s="4" t="n">
        <v>30802</v>
      </c>
      <c r="B758" s="15" t="n">
        <f aca="false">IF(C758&lt;=9,YEAR(A758),YEAR(A758)+1)</f>
        <v>1984</v>
      </c>
      <c r="C758" s="15" t="n">
        <f aca="false">MONTH(A758)</f>
        <v>4</v>
      </c>
      <c r="D758" s="15" t="n">
        <f aca="false">DAY(A758)</f>
        <v>30</v>
      </c>
      <c r="E758" s="15" t="n">
        <f aca="false">VLOOKUP(B758,WYT!$A$2:$L$97,12)</f>
        <v>0</v>
      </c>
      <c r="F758" s="15" t="n">
        <f aca="false">IF(C758=$W$5,1,0)</f>
        <v>0</v>
      </c>
      <c r="G758" s="15" t="n">
        <f aca="false">IF(C758=10,0,IF(F758=1,1,G757))</f>
        <v>1</v>
      </c>
      <c r="H758" s="5" t="n">
        <f aca="false">VA_base_426_data!B758</f>
        <v>1000</v>
      </c>
      <c r="I758" s="5" t="n">
        <f aca="false">IF(AND(E758=1,OR(C758=4,C758=5)),25*12.1/24/D758*1000,0)</f>
        <v>0</v>
      </c>
      <c r="J758" s="5" t="n">
        <f aca="false">VA_base_426_data!C758</f>
        <v>1000</v>
      </c>
      <c r="K758" s="5" t="n">
        <f aca="false">H758+I758-J758</f>
        <v>0</v>
      </c>
      <c r="L758" s="5" t="n">
        <f aca="false">MIN($W$7,J758+K758)</f>
        <v>1000</v>
      </c>
      <c r="M758" s="5" t="n">
        <f aca="false">VA_base_426_data!D758</f>
        <v>700</v>
      </c>
      <c r="N758" s="5" t="n">
        <f aca="false">IF(AND(C758=10,E758=1),$W$6,N757-P757)</f>
        <v>0</v>
      </c>
      <c r="O758" s="5" t="n">
        <f aca="false">IF(ABS(M758-L758)&gt;1,MIN(N758/((L758-M758)*24/12.1/1000),D758),D758)</f>
        <v>0</v>
      </c>
      <c r="P758" s="5" t="n">
        <f aca="false">MIN(IF(AND(G758,E758),(L758-M758)*24/12.1*O758/1000,0),N758)</f>
        <v>0</v>
      </c>
      <c r="Q758" s="5" t="n">
        <f aca="false">IF(P758&gt;0,P758/O758*12.1/24*1000+M758,0)</f>
        <v>0</v>
      </c>
      <c r="R758" s="0" t="n">
        <f aca="false">IF(Q758&gt;0,TRUNC(O758),0)</f>
        <v>0</v>
      </c>
      <c r="S758" s="5" t="n">
        <f aca="false">(M758*(D758-R758)+(Q758*R758))/D758</f>
        <v>700</v>
      </c>
      <c r="T758" s="6" t="n">
        <f aca="false">(Q758-M758)*R758*24/12.1/1000</f>
        <v>-0</v>
      </c>
    </row>
    <row r="759" customFormat="false" ht="14.35" hidden="false" customHeight="false" outlineLevel="0" collapsed="false">
      <c r="A759" s="4" t="n">
        <v>30833</v>
      </c>
      <c r="B759" s="15" t="n">
        <f aca="false">IF(C759&lt;=9,YEAR(A759),YEAR(A759)+1)</f>
        <v>1984</v>
      </c>
      <c r="C759" s="15" t="n">
        <f aca="false">MONTH(A759)</f>
        <v>5</v>
      </c>
      <c r="D759" s="15" t="n">
        <f aca="false">DAY(A759)</f>
        <v>31</v>
      </c>
      <c r="E759" s="15" t="n">
        <f aca="false">VLOOKUP(B759,WYT!$A$2:$L$97,12)</f>
        <v>0</v>
      </c>
      <c r="F759" s="15" t="n">
        <f aca="false">IF(C759=$W$5,1,0)</f>
        <v>0</v>
      </c>
      <c r="G759" s="15" t="n">
        <f aca="false">IF(C759=10,0,IF(F759=1,1,G758))</f>
        <v>1</v>
      </c>
      <c r="H759" s="5" t="n">
        <f aca="false">VA_base_426_data!B759</f>
        <v>1000</v>
      </c>
      <c r="I759" s="5" t="n">
        <f aca="false">IF(AND(E759=1,OR(C759=4,C759=5)),25*12.1/24/D759*1000,0)</f>
        <v>0</v>
      </c>
      <c r="J759" s="5" t="n">
        <f aca="false">VA_base_426_data!C759</f>
        <v>1000</v>
      </c>
      <c r="K759" s="5" t="n">
        <f aca="false">H759+I759-J759</f>
        <v>0</v>
      </c>
      <c r="L759" s="5" t="n">
        <f aca="false">MIN($W$7,J759+K759)</f>
        <v>1000</v>
      </c>
      <c r="M759" s="5" t="n">
        <f aca="false">VA_base_426_data!D759</f>
        <v>700</v>
      </c>
      <c r="N759" s="5" t="n">
        <f aca="false">IF(AND(C759=10,E759=1),$W$6,N758-P758)</f>
        <v>0</v>
      </c>
      <c r="O759" s="5" t="n">
        <f aca="false">IF(ABS(M759-L759)&gt;1,MIN(N759/((L759-M759)*24/12.1/1000),D759),D759)</f>
        <v>0</v>
      </c>
      <c r="P759" s="5" t="n">
        <f aca="false">MIN(IF(AND(G759,E759),(L759-M759)*24/12.1*O759/1000,0),N759)</f>
        <v>0</v>
      </c>
      <c r="Q759" s="5" t="n">
        <f aca="false">IF(P759&gt;0,P759/O759*12.1/24*1000+M759,0)</f>
        <v>0</v>
      </c>
      <c r="R759" s="0" t="n">
        <f aca="false">IF(Q759&gt;0,TRUNC(O759),0)</f>
        <v>0</v>
      </c>
      <c r="S759" s="5" t="n">
        <f aca="false">(M759*(D759-R759)+(Q759*R759))/D759</f>
        <v>700</v>
      </c>
      <c r="T759" s="6" t="n">
        <f aca="false">(Q759-M759)*R759*24/12.1/1000</f>
        <v>-0</v>
      </c>
    </row>
    <row r="760" customFormat="false" ht="14.35" hidden="false" customHeight="false" outlineLevel="0" collapsed="false">
      <c r="A760" s="4" t="n">
        <v>30863</v>
      </c>
      <c r="B760" s="15" t="n">
        <f aca="false">IF(C760&lt;=9,YEAR(A760),YEAR(A760)+1)</f>
        <v>1984</v>
      </c>
      <c r="C760" s="15" t="n">
        <f aca="false">MONTH(A760)</f>
        <v>6</v>
      </c>
      <c r="D760" s="15" t="n">
        <f aca="false">DAY(A760)</f>
        <v>30</v>
      </c>
      <c r="E760" s="15" t="n">
        <f aca="false">VLOOKUP(B760,WYT!$A$2:$L$97,12)</f>
        <v>0</v>
      </c>
      <c r="F760" s="15" t="n">
        <f aca="false">IF(C760=$W$5,1,0)</f>
        <v>0</v>
      </c>
      <c r="G760" s="15" t="n">
        <f aca="false">IF(C760=10,0,IF(F760=1,1,G759))</f>
        <v>1</v>
      </c>
      <c r="H760" s="5" t="n">
        <f aca="false">VA_base_426_data!B760</f>
        <v>3430.15076798107</v>
      </c>
      <c r="I760" s="5" t="n">
        <f aca="false">IF(AND(E760=1,OR(C760=4,C760=5)),25*12.1/24/D760*1000,0)</f>
        <v>0</v>
      </c>
      <c r="J760" s="5" t="n">
        <f aca="false">VA_base_426_data!C760</f>
        <v>1000</v>
      </c>
      <c r="K760" s="5" t="n">
        <f aca="false">H760+I760-J760</f>
        <v>2430.15076798107</v>
      </c>
      <c r="L760" s="5" t="n">
        <f aca="false">MIN($W$7,J760+K760)</f>
        <v>2000</v>
      </c>
      <c r="M760" s="5" t="n">
        <f aca="false">VA_base_426_data!D760</f>
        <v>700</v>
      </c>
      <c r="N760" s="5" t="n">
        <f aca="false">IF(AND(C760=10,E760=1),$W$6,N759-P759)</f>
        <v>0</v>
      </c>
      <c r="O760" s="5" t="n">
        <f aca="false">IF(ABS(M760-L760)&gt;1,MIN(N760/((L760-M760)*24/12.1/1000),D760),D760)</f>
        <v>0</v>
      </c>
      <c r="P760" s="5" t="n">
        <f aca="false">MIN(IF(AND(G760,E760),(L760-M760)*24/12.1*O760/1000,0),N760)</f>
        <v>0</v>
      </c>
      <c r="Q760" s="5" t="n">
        <f aca="false">IF(P760&gt;0,P760/O760*12.1/24*1000+M760,0)</f>
        <v>0</v>
      </c>
      <c r="R760" s="0" t="n">
        <f aca="false">IF(Q760&gt;0,TRUNC(O760),0)</f>
        <v>0</v>
      </c>
      <c r="S760" s="5" t="n">
        <f aca="false">(M760*(D760-R760)+(Q760*R760))/D760</f>
        <v>700</v>
      </c>
      <c r="T760" s="6" t="n">
        <f aca="false">(Q760-M760)*R760*24/12.1/1000</f>
        <v>-0</v>
      </c>
    </row>
    <row r="761" customFormat="false" ht="14.35" hidden="false" customHeight="false" outlineLevel="0" collapsed="false">
      <c r="A761" s="4" t="n">
        <v>30894</v>
      </c>
      <c r="B761" s="15" t="n">
        <f aca="false">IF(C761&lt;=9,YEAR(A761),YEAR(A761)+1)</f>
        <v>1984</v>
      </c>
      <c r="C761" s="15" t="n">
        <f aca="false">MONTH(A761)</f>
        <v>7</v>
      </c>
      <c r="D761" s="15" t="n">
        <f aca="false">DAY(A761)</f>
        <v>31</v>
      </c>
      <c r="E761" s="15" t="n">
        <f aca="false">VLOOKUP(B761,WYT!$A$2:$L$97,12)</f>
        <v>0</v>
      </c>
      <c r="F761" s="15" t="n">
        <f aca="false">IF(C761=$W$5,1,0)</f>
        <v>0</v>
      </c>
      <c r="G761" s="15" t="n">
        <f aca="false">IF(C761=10,0,IF(F761=1,1,G760))</f>
        <v>1</v>
      </c>
      <c r="H761" s="5" t="n">
        <f aca="false">VA_base_426_data!B761</f>
        <v>9481.85632877321</v>
      </c>
      <c r="I761" s="5" t="n">
        <f aca="false">IF(AND(E761=1,OR(C761=4,C761=5)),25*12.1/24/D761*1000,0)</f>
        <v>0</v>
      </c>
      <c r="J761" s="5" t="n">
        <f aca="false">VA_base_426_data!C761</f>
        <v>1000</v>
      </c>
      <c r="K761" s="5" t="n">
        <f aca="false">H761+I761-J761</f>
        <v>8481.85632877321</v>
      </c>
      <c r="L761" s="5" t="n">
        <f aca="false">MIN($W$7,J761+K761)</f>
        <v>2000</v>
      </c>
      <c r="M761" s="5" t="n">
        <f aca="false">VA_base_426_data!D761</f>
        <v>700</v>
      </c>
      <c r="N761" s="5" t="n">
        <f aca="false">IF(AND(C761=10,E761=1),$W$6,N760-P760)</f>
        <v>0</v>
      </c>
      <c r="O761" s="5" t="n">
        <f aca="false">IF(ABS(M761-L761)&gt;1,MIN(N761/((L761-M761)*24/12.1/1000),D761),D761)</f>
        <v>0</v>
      </c>
      <c r="P761" s="5" t="n">
        <f aca="false">MIN(IF(AND(G761,E761),(L761-M761)*24/12.1*O761/1000,0),N761)</f>
        <v>0</v>
      </c>
      <c r="Q761" s="5" t="n">
        <f aca="false">IF(P761&gt;0,P761/O761*12.1/24*1000+M761,0)</f>
        <v>0</v>
      </c>
      <c r="R761" s="0" t="n">
        <f aca="false">IF(Q761&gt;0,TRUNC(O761),0)</f>
        <v>0</v>
      </c>
      <c r="S761" s="5" t="n">
        <f aca="false">(M761*(D761-R761)+(Q761*R761))/D761</f>
        <v>700</v>
      </c>
      <c r="T761" s="6" t="n">
        <f aca="false">(Q761-M761)*R761*24/12.1/1000</f>
        <v>-0</v>
      </c>
    </row>
    <row r="762" customFormat="false" ht="14.35" hidden="false" customHeight="false" outlineLevel="0" collapsed="false">
      <c r="A762" s="4" t="n">
        <v>30925</v>
      </c>
      <c r="B762" s="15" t="n">
        <f aca="false">IF(C762&lt;=9,YEAR(A762),YEAR(A762)+1)</f>
        <v>1984</v>
      </c>
      <c r="C762" s="15" t="n">
        <f aca="false">MONTH(A762)</f>
        <v>8</v>
      </c>
      <c r="D762" s="15" t="n">
        <f aca="false">DAY(A762)</f>
        <v>31</v>
      </c>
      <c r="E762" s="15" t="n">
        <f aca="false">VLOOKUP(B762,WYT!$A$2:$L$97,12)</f>
        <v>0</v>
      </c>
      <c r="F762" s="15" t="n">
        <f aca="false">IF(C762=$W$5,1,0)</f>
        <v>0</v>
      </c>
      <c r="G762" s="15" t="n">
        <f aca="false">IF(C762=10,0,IF(F762=1,1,G761))</f>
        <v>1</v>
      </c>
      <c r="H762" s="5" t="n">
        <f aca="false">VA_base_426_data!B762</f>
        <v>6663.70112452111</v>
      </c>
      <c r="I762" s="5" t="n">
        <f aca="false">IF(AND(E762=1,OR(C762=4,C762=5)),25*12.1/24/D762*1000,0)</f>
        <v>0</v>
      </c>
      <c r="J762" s="5" t="n">
        <f aca="false">VA_base_426_data!C762</f>
        <v>1000</v>
      </c>
      <c r="K762" s="5" t="n">
        <f aca="false">H762+I762-J762</f>
        <v>5663.70112452111</v>
      </c>
      <c r="L762" s="5" t="n">
        <f aca="false">MIN($W$7,J762+K762)</f>
        <v>2000</v>
      </c>
      <c r="M762" s="5" t="n">
        <f aca="false">VA_base_426_data!D762</f>
        <v>700</v>
      </c>
      <c r="N762" s="5" t="n">
        <f aca="false">IF(AND(C762=10,E762=1),$W$6,N761-P761)</f>
        <v>0</v>
      </c>
      <c r="O762" s="5" t="n">
        <f aca="false">IF(ABS(M762-L762)&gt;1,MIN(N762/((L762-M762)*24/12.1/1000),D762),D762)</f>
        <v>0</v>
      </c>
      <c r="P762" s="5" t="n">
        <f aca="false">MIN(IF(AND(G762,E762),(L762-M762)*24/12.1*O762/1000,0),N762)</f>
        <v>0</v>
      </c>
      <c r="Q762" s="5" t="n">
        <f aca="false">IF(P762&gt;0,P762/O762*12.1/24*1000+M762,0)</f>
        <v>0</v>
      </c>
      <c r="R762" s="0" t="n">
        <f aca="false">IF(Q762&gt;0,TRUNC(O762),0)</f>
        <v>0</v>
      </c>
      <c r="S762" s="5" t="n">
        <f aca="false">(M762*(D762-R762)+(Q762*R762))/D762</f>
        <v>700</v>
      </c>
      <c r="T762" s="6" t="n">
        <f aca="false">(Q762-M762)*R762*24/12.1/1000</f>
        <v>-0</v>
      </c>
    </row>
    <row r="763" customFormat="false" ht="14.35" hidden="false" customHeight="false" outlineLevel="0" collapsed="false">
      <c r="A763" s="4" t="n">
        <v>30955</v>
      </c>
      <c r="B763" s="15" t="n">
        <f aca="false">IF(C763&lt;=9,YEAR(A763),YEAR(A763)+1)</f>
        <v>1984</v>
      </c>
      <c r="C763" s="15" t="n">
        <f aca="false">MONTH(A763)</f>
        <v>9</v>
      </c>
      <c r="D763" s="15" t="n">
        <f aca="false">DAY(A763)</f>
        <v>30</v>
      </c>
      <c r="E763" s="15" t="n">
        <f aca="false">VLOOKUP(B763,WYT!$A$2:$L$97,12)</f>
        <v>0</v>
      </c>
      <c r="F763" s="15" t="n">
        <f aca="false">IF(C763=$W$5,1,0)</f>
        <v>0</v>
      </c>
      <c r="G763" s="15" t="n">
        <f aca="false">IF(C763=10,0,IF(F763=1,1,G762))</f>
        <v>1</v>
      </c>
      <c r="H763" s="5" t="n">
        <f aca="false">VA_base_426_data!B763</f>
        <v>8954.27974258437</v>
      </c>
      <c r="I763" s="5" t="n">
        <f aca="false">IF(AND(E763=1,OR(C763=4,C763=5)),25*12.1/24/D763*1000,0)</f>
        <v>0</v>
      </c>
      <c r="J763" s="5" t="n">
        <f aca="false">VA_base_426_data!C763</f>
        <v>1000</v>
      </c>
      <c r="K763" s="5" t="n">
        <f aca="false">H763+I763-J763</f>
        <v>7954.27974258437</v>
      </c>
      <c r="L763" s="5" t="n">
        <f aca="false">MIN($W$7,J763+K763)</f>
        <v>2000</v>
      </c>
      <c r="M763" s="5" t="n">
        <f aca="false">VA_base_426_data!D763</f>
        <v>773.3333333</v>
      </c>
      <c r="N763" s="5" t="n">
        <f aca="false">IF(AND(C763=10,E763=1),$W$6,N762-P762)</f>
        <v>0</v>
      </c>
      <c r="O763" s="5" t="n">
        <f aca="false">IF(ABS(M763-L763)&gt;1,MIN(N763/((L763-M763)*24/12.1/1000),D763),D763)</f>
        <v>0</v>
      </c>
      <c r="P763" s="5" t="n">
        <f aca="false">MIN(IF(AND(G763,E763),(L763-M763)*24/12.1*O763/1000,0),N763)</f>
        <v>0</v>
      </c>
      <c r="Q763" s="5" t="n">
        <f aca="false">IF(P763&gt;0,P763/O763*12.1/24*1000+M763,0)</f>
        <v>0</v>
      </c>
      <c r="R763" s="0" t="n">
        <f aca="false">IF(Q763&gt;0,TRUNC(O763),0)</f>
        <v>0</v>
      </c>
      <c r="S763" s="5" t="n">
        <f aca="false">(M763*(D763-R763)+(Q763*R763))/D763</f>
        <v>773.3333333</v>
      </c>
      <c r="T763" s="6" t="n">
        <f aca="false">(Q763-M763)*R763*24/12.1/1000</f>
        <v>-0</v>
      </c>
    </row>
    <row r="764" customFormat="false" ht="14.35" hidden="false" customHeight="false" outlineLevel="0" collapsed="false">
      <c r="A764" s="4" t="n">
        <v>30986</v>
      </c>
      <c r="B764" s="15" t="n">
        <f aca="false">IF(C764&lt;=9,YEAR(A764),YEAR(A764)+1)</f>
        <v>1985</v>
      </c>
      <c r="C764" s="15" t="n">
        <f aca="false">MONTH(A764)</f>
        <v>10</v>
      </c>
      <c r="D764" s="15" t="n">
        <f aca="false">DAY(A764)</f>
        <v>31</v>
      </c>
      <c r="E764" s="15" t="n">
        <f aca="false">VLOOKUP(B764,WYT!$A$2:$L$97,12)</f>
        <v>1</v>
      </c>
      <c r="F764" s="15" t="n">
        <f aca="false">IF(C764=$W$5,1,0)</f>
        <v>0</v>
      </c>
      <c r="G764" s="15" t="n">
        <f aca="false">IF(C764=10,0,IF(F764=1,1,G763))</f>
        <v>0</v>
      </c>
      <c r="H764" s="5" t="n">
        <f aca="false">VA_base_426_data!B764</f>
        <v>4000</v>
      </c>
      <c r="I764" s="5" t="n">
        <f aca="false">IF(AND(E764=1,OR(C764=4,C764=5)),25*12.1/24/D764*1000,0)</f>
        <v>0</v>
      </c>
      <c r="J764" s="5" t="n">
        <f aca="false">VA_base_426_data!C764</f>
        <v>1700</v>
      </c>
      <c r="K764" s="5" t="n">
        <f aca="false">H764+I764-J764</f>
        <v>2300</v>
      </c>
      <c r="L764" s="5" t="n">
        <f aca="false">MIN($W$7,J764+K764)</f>
        <v>2000</v>
      </c>
      <c r="M764" s="5" t="n">
        <f aca="false">VA_base_426_data!D764</f>
        <v>800</v>
      </c>
      <c r="N764" s="5" t="n">
        <f aca="false">IF(AND(C764=10,E764=1),$W$6,N763-P763)</f>
        <v>43</v>
      </c>
      <c r="O764" s="5" t="n">
        <f aca="false">IF(ABS(M764-L764)&gt;1,MIN(N764/((L764-M764)*24/12.1/1000),D764),D764)</f>
        <v>18.0659722222222</v>
      </c>
      <c r="P764" s="5" t="n">
        <f aca="false">MIN(IF(AND(G764,E764),(L764-M764)*24/12.1*O764/1000,0),N764)</f>
        <v>0</v>
      </c>
      <c r="Q764" s="5" t="n">
        <f aca="false">IF(P764&gt;0,P764/O764*12.1/24*1000+M764,0)</f>
        <v>0</v>
      </c>
      <c r="R764" s="0" t="n">
        <f aca="false">IF(Q764&gt;0,TRUNC(O764),0)</f>
        <v>0</v>
      </c>
      <c r="S764" s="5" t="n">
        <f aca="false">(M764*(D764-R764)+(Q764*R764))/D764</f>
        <v>800</v>
      </c>
      <c r="T764" s="6" t="n">
        <f aca="false">(Q764-M764)*R764*24/12.1/1000</f>
        <v>-0</v>
      </c>
    </row>
    <row r="765" customFormat="false" ht="14.35" hidden="false" customHeight="false" outlineLevel="0" collapsed="false">
      <c r="A765" s="4" t="n">
        <v>31016</v>
      </c>
      <c r="B765" s="15" t="n">
        <f aca="false">IF(C765&lt;=9,YEAR(A765),YEAR(A765)+1)</f>
        <v>1985</v>
      </c>
      <c r="C765" s="15" t="n">
        <f aca="false">MONTH(A765)</f>
        <v>11</v>
      </c>
      <c r="D765" s="15" t="n">
        <f aca="false">DAY(A765)</f>
        <v>30</v>
      </c>
      <c r="E765" s="15" t="n">
        <f aca="false">VLOOKUP(B765,WYT!$A$2:$L$97,12)</f>
        <v>1</v>
      </c>
      <c r="F765" s="15" t="n">
        <f aca="false">IF(C765=$W$5,1,0)</f>
        <v>0</v>
      </c>
      <c r="G765" s="15" t="n">
        <f aca="false">IF(C765=10,0,IF(F765=1,1,G764))</f>
        <v>0</v>
      </c>
      <c r="H765" s="5" t="n">
        <f aca="false">VA_base_426_data!B765</f>
        <v>1700</v>
      </c>
      <c r="I765" s="5" t="n">
        <f aca="false">IF(AND(E765=1,OR(C765=4,C765=5)),25*12.1/24/D765*1000,0)</f>
        <v>0</v>
      </c>
      <c r="J765" s="5" t="n">
        <f aca="false">VA_base_426_data!C765</f>
        <v>1700</v>
      </c>
      <c r="K765" s="5" t="n">
        <f aca="false">H765+I765-J765</f>
        <v>0</v>
      </c>
      <c r="L765" s="5" t="n">
        <f aca="false">MIN($W$7,J765+K765)</f>
        <v>1700</v>
      </c>
      <c r="M765" s="5" t="n">
        <f aca="false">VA_base_426_data!D765</f>
        <v>800</v>
      </c>
      <c r="N765" s="5" t="n">
        <f aca="false">IF(AND(C765=10,E765=1),$W$6,N764-P764)</f>
        <v>43</v>
      </c>
      <c r="O765" s="5" t="n">
        <f aca="false">IF(ABS(M765-L765)&gt;1,MIN(N765/((L765-M765)*24/12.1/1000),D765),D765)</f>
        <v>24.087962962963</v>
      </c>
      <c r="P765" s="5" t="n">
        <f aca="false">MIN(IF(AND(G765,E765),(L765-M765)*24/12.1*O765/1000,0),N765)</f>
        <v>0</v>
      </c>
      <c r="Q765" s="5" t="n">
        <f aca="false">IF(P765&gt;0,P765/O765*12.1/24*1000+M765,0)</f>
        <v>0</v>
      </c>
      <c r="R765" s="0" t="n">
        <f aca="false">IF(Q765&gt;0,TRUNC(O765),0)</f>
        <v>0</v>
      </c>
      <c r="S765" s="5" t="n">
        <f aca="false">(M765*(D765-R765)+(Q765*R765))/D765</f>
        <v>800</v>
      </c>
      <c r="T765" s="6" t="n">
        <f aca="false">(Q765-M765)*R765*24/12.1/1000</f>
        <v>-0</v>
      </c>
    </row>
    <row r="766" customFormat="false" ht="14.35" hidden="false" customHeight="false" outlineLevel="0" collapsed="false">
      <c r="A766" s="4" t="n">
        <v>31047</v>
      </c>
      <c r="B766" s="15" t="n">
        <f aca="false">IF(C766&lt;=9,YEAR(A766),YEAR(A766)+1)</f>
        <v>1985</v>
      </c>
      <c r="C766" s="15" t="n">
        <f aca="false">MONTH(A766)</f>
        <v>12</v>
      </c>
      <c r="D766" s="15" t="n">
        <f aca="false">DAY(A766)</f>
        <v>31</v>
      </c>
      <c r="E766" s="15" t="n">
        <f aca="false">VLOOKUP(B766,WYT!$A$2:$L$97,12)</f>
        <v>1</v>
      </c>
      <c r="F766" s="15" t="n">
        <f aca="false">IF(C766=$W$5,1,0)</f>
        <v>0</v>
      </c>
      <c r="G766" s="15" t="n">
        <f aca="false">IF(C766=10,0,IF(F766=1,1,G765))</f>
        <v>0</v>
      </c>
      <c r="H766" s="5" t="n">
        <f aca="false">VA_base_426_data!B766</f>
        <v>1700</v>
      </c>
      <c r="I766" s="5" t="n">
        <f aca="false">IF(AND(E766=1,OR(C766=4,C766=5)),25*12.1/24/D766*1000,0)</f>
        <v>0</v>
      </c>
      <c r="J766" s="5" t="n">
        <f aca="false">VA_base_426_data!C766</f>
        <v>1700</v>
      </c>
      <c r="K766" s="5" t="n">
        <f aca="false">H766+I766-J766</f>
        <v>0</v>
      </c>
      <c r="L766" s="5" t="n">
        <f aca="false">MIN($W$7,J766+K766)</f>
        <v>1700</v>
      </c>
      <c r="M766" s="5" t="n">
        <f aca="false">VA_base_426_data!D766</f>
        <v>800</v>
      </c>
      <c r="N766" s="5" t="n">
        <f aca="false">IF(AND(C766=10,E766=1),$W$6,N765-P765)</f>
        <v>43</v>
      </c>
      <c r="O766" s="5" t="n">
        <f aca="false">IF(ABS(M766-L766)&gt;1,MIN(N766/((L766-M766)*24/12.1/1000),D766),D766)</f>
        <v>24.087962962963</v>
      </c>
      <c r="P766" s="5" t="n">
        <f aca="false">MIN(IF(AND(G766,E766),(L766-M766)*24/12.1*O766/1000,0),N766)</f>
        <v>0</v>
      </c>
      <c r="Q766" s="5" t="n">
        <f aca="false">IF(P766&gt;0,P766/O766*12.1/24*1000+M766,0)</f>
        <v>0</v>
      </c>
      <c r="R766" s="0" t="n">
        <f aca="false">IF(Q766&gt;0,TRUNC(O766),0)</f>
        <v>0</v>
      </c>
      <c r="S766" s="5" t="n">
        <f aca="false">(M766*(D766-R766)+(Q766*R766))/D766</f>
        <v>800</v>
      </c>
      <c r="T766" s="6" t="n">
        <f aca="false">(Q766-M766)*R766*24/12.1/1000</f>
        <v>-0</v>
      </c>
    </row>
    <row r="767" customFormat="false" ht="14.35" hidden="false" customHeight="false" outlineLevel="0" collapsed="false">
      <c r="A767" s="4" t="n">
        <v>31078</v>
      </c>
      <c r="B767" s="15" t="n">
        <f aca="false">IF(C767&lt;=9,YEAR(A767),YEAR(A767)+1)</f>
        <v>1985</v>
      </c>
      <c r="C767" s="15" t="n">
        <f aca="false">MONTH(A767)</f>
        <v>1</v>
      </c>
      <c r="D767" s="15" t="n">
        <f aca="false">DAY(A767)</f>
        <v>31</v>
      </c>
      <c r="E767" s="15" t="n">
        <f aca="false">VLOOKUP(B767,WYT!$A$2:$L$97,12)</f>
        <v>1</v>
      </c>
      <c r="F767" s="15" t="n">
        <f aca="false">IF(C767=$W$5,1,0)</f>
        <v>0</v>
      </c>
      <c r="G767" s="15" t="n">
        <f aca="false">IF(C767=10,0,IF(F767=1,1,G766))</f>
        <v>0</v>
      </c>
      <c r="H767" s="5" t="n">
        <f aca="false">VA_base_426_data!B767</f>
        <v>1700</v>
      </c>
      <c r="I767" s="5" t="n">
        <f aca="false">IF(AND(E767=1,OR(C767=4,C767=5)),25*12.1/24/D767*1000,0)</f>
        <v>0</v>
      </c>
      <c r="J767" s="5" t="n">
        <f aca="false">VA_base_426_data!C767</f>
        <v>1700</v>
      </c>
      <c r="K767" s="5" t="n">
        <f aca="false">H767+I767-J767</f>
        <v>0</v>
      </c>
      <c r="L767" s="5" t="n">
        <f aca="false">MIN($W$7,J767+K767)</f>
        <v>1700</v>
      </c>
      <c r="M767" s="5" t="n">
        <f aca="false">VA_base_426_data!D767</f>
        <v>800</v>
      </c>
      <c r="N767" s="5" t="n">
        <f aca="false">IF(AND(C767=10,E767=1),$W$6,N766-P766)</f>
        <v>43</v>
      </c>
      <c r="O767" s="5" t="n">
        <f aca="false">IF(ABS(M767-L767)&gt;1,MIN(N767/((L767-M767)*24/12.1/1000),D767),D767)</f>
        <v>24.087962962963</v>
      </c>
      <c r="P767" s="5" t="n">
        <f aca="false">MIN(IF(AND(G767,E767),(L767-M767)*24/12.1*O767/1000,0),N767)</f>
        <v>0</v>
      </c>
      <c r="Q767" s="5" t="n">
        <f aca="false">IF(P767&gt;0,P767/O767*12.1/24*1000+M767,0)</f>
        <v>0</v>
      </c>
      <c r="R767" s="0" t="n">
        <f aca="false">IF(Q767&gt;0,TRUNC(O767),0)</f>
        <v>0</v>
      </c>
      <c r="S767" s="5" t="n">
        <f aca="false">(M767*(D767-R767)+(Q767*R767))/D767</f>
        <v>800</v>
      </c>
      <c r="T767" s="6" t="n">
        <f aca="false">(Q767-M767)*R767*24/12.1/1000</f>
        <v>-0</v>
      </c>
    </row>
    <row r="768" customFormat="false" ht="14.35" hidden="false" customHeight="false" outlineLevel="0" collapsed="false">
      <c r="A768" s="4" t="n">
        <v>31106</v>
      </c>
      <c r="B768" s="15" t="n">
        <f aca="false">IF(C768&lt;=9,YEAR(A768),YEAR(A768)+1)</f>
        <v>1985</v>
      </c>
      <c r="C768" s="15" t="n">
        <f aca="false">MONTH(A768)</f>
        <v>2</v>
      </c>
      <c r="D768" s="15" t="n">
        <f aca="false">DAY(A768)</f>
        <v>28</v>
      </c>
      <c r="E768" s="15" t="n">
        <f aca="false">VLOOKUP(B768,WYT!$A$2:$L$97,12)</f>
        <v>1</v>
      </c>
      <c r="F768" s="15" t="n">
        <f aca="false">IF(C768=$W$5,1,0)</f>
        <v>1</v>
      </c>
      <c r="G768" s="15" t="n">
        <f aca="false">IF(C768=10,0,IF(F768=1,1,G767))</f>
        <v>1</v>
      </c>
      <c r="H768" s="5" t="n">
        <f aca="false">VA_base_426_data!B768</f>
        <v>1700</v>
      </c>
      <c r="I768" s="5" t="n">
        <f aca="false">IF(AND(E768=1,OR(C768=4,C768=5)),25*12.1/24/D768*1000,0)</f>
        <v>0</v>
      </c>
      <c r="J768" s="5" t="n">
        <f aca="false">VA_base_426_data!C768</f>
        <v>1700</v>
      </c>
      <c r="K768" s="5" t="n">
        <f aca="false">H768+I768-J768</f>
        <v>0</v>
      </c>
      <c r="L768" s="5" t="n">
        <f aca="false">MIN($W$7,J768+K768)</f>
        <v>1700</v>
      </c>
      <c r="M768" s="5" t="n">
        <f aca="false">VA_base_426_data!D768</f>
        <v>800</v>
      </c>
      <c r="N768" s="5" t="n">
        <f aca="false">IF(AND(C768=10,E768=1),$W$6,N767-P767)</f>
        <v>43</v>
      </c>
      <c r="O768" s="5" t="n">
        <f aca="false">IF(ABS(M768-L768)&gt;1,MIN(N768/((L768-M768)*24/12.1/1000),D768),D768)</f>
        <v>24.087962962963</v>
      </c>
      <c r="P768" s="5" t="n">
        <f aca="false">MIN(IF(AND(G768,E768),(L768-M768)*24/12.1*O768/1000,0),N768)</f>
        <v>43</v>
      </c>
      <c r="Q768" s="5" t="n">
        <f aca="false">IF(P768&gt;0,P768/O768*12.1/24*1000+M768,0)</f>
        <v>1700</v>
      </c>
      <c r="R768" s="0" t="n">
        <f aca="false">IF(Q768&gt;0,TRUNC(O768),0)</f>
        <v>24</v>
      </c>
      <c r="S768" s="5" t="n">
        <f aca="false">(M768*(D768-R768)+(Q768*R768))/D768</f>
        <v>1571.42857142857</v>
      </c>
      <c r="T768" s="6" t="n">
        <f aca="false">(Q768-M768)*R768*24/12.1/1000</f>
        <v>42.8429752066116</v>
      </c>
    </row>
    <row r="769" customFormat="false" ht="14.35" hidden="false" customHeight="false" outlineLevel="0" collapsed="false">
      <c r="A769" s="4" t="n">
        <v>31137</v>
      </c>
      <c r="B769" s="15" t="n">
        <f aca="false">IF(C769&lt;=9,YEAR(A769),YEAR(A769)+1)</f>
        <v>1985</v>
      </c>
      <c r="C769" s="15" t="n">
        <f aca="false">MONTH(A769)</f>
        <v>3</v>
      </c>
      <c r="D769" s="15" t="n">
        <f aca="false">DAY(A769)</f>
        <v>31</v>
      </c>
      <c r="E769" s="15" t="n">
        <f aca="false">VLOOKUP(B769,WYT!$A$2:$L$97,12)</f>
        <v>1</v>
      </c>
      <c r="F769" s="15" t="n">
        <f aca="false">IF(C769=$W$5,1,0)</f>
        <v>0</v>
      </c>
      <c r="G769" s="15" t="n">
        <f aca="false">IF(C769=10,0,IF(F769=1,1,G768))</f>
        <v>1</v>
      </c>
      <c r="H769" s="5" t="n">
        <f aca="false">VA_base_426_data!B769</f>
        <v>1700</v>
      </c>
      <c r="I769" s="5" t="n">
        <f aca="false">IF(AND(E769=1,OR(C769=4,C769=5)),25*12.1/24/D769*1000,0)</f>
        <v>0</v>
      </c>
      <c r="J769" s="5" t="n">
        <f aca="false">VA_base_426_data!C769</f>
        <v>1700</v>
      </c>
      <c r="K769" s="5" t="n">
        <f aca="false">H769+I769-J769</f>
        <v>0</v>
      </c>
      <c r="L769" s="5" t="n">
        <f aca="false">MIN($W$7,J769+K769)</f>
        <v>1700</v>
      </c>
      <c r="M769" s="5" t="n">
        <f aca="false">VA_base_426_data!D769</f>
        <v>800</v>
      </c>
      <c r="N769" s="5" t="n">
        <f aca="false">IF(AND(C769=10,E769=1),$W$6,N768-P768)</f>
        <v>0</v>
      </c>
      <c r="O769" s="5" t="n">
        <f aca="false">IF(ABS(M769-L769)&gt;1,MIN(N769/((L769-M769)*24/12.1/1000),D769),D769)</f>
        <v>0</v>
      </c>
      <c r="P769" s="5" t="n">
        <f aca="false">MIN(IF(AND(G769,E769),(L769-M769)*24/12.1*O769/1000,0),N769)</f>
        <v>0</v>
      </c>
      <c r="Q769" s="5" t="n">
        <f aca="false">IF(P769&gt;0,P769/O769*12.1/24*1000+M769,0)</f>
        <v>0</v>
      </c>
      <c r="R769" s="0" t="n">
        <f aca="false">IF(Q769&gt;0,TRUNC(O769),0)</f>
        <v>0</v>
      </c>
      <c r="S769" s="5" t="n">
        <f aca="false">(M769*(D769-R769)+(Q769*R769))/D769</f>
        <v>800</v>
      </c>
      <c r="T769" s="6" t="n">
        <f aca="false">(Q769-M769)*R769*24/12.1/1000</f>
        <v>-0</v>
      </c>
    </row>
    <row r="770" customFormat="false" ht="14.35" hidden="false" customHeight="false" outlineLevel="0" collapsed="false">
      <c r="A770" s="4" t="n">
        <v>31167</v>
      </c>
      <c r="B770" s="15" t="n">
        <f aca="false">IF(C770&lt;=9,YEAR(A770),YEAR(A770)+1)</f>
        <v>1985</v>
      </c>
      <c r="C770" s="15" t="n">
        <f aca="false">MONTH(A770)</f>
        <v>4</v>
      </c>
      <c r="D770" s="15" t="n">
        <f aca="false">DAY(A770)</f>
        <v>30</v>
      </c>
      <c r="E770" s="15" t="n">
        <f aca="false">VLOOKUP(B770,WYT!$A$2:$L$97,12)</f>
        <v>1</v>
      </c>
      <c r="F770" s="15" t="n">
        <f aca="false">IF(C770=$W$5,1,0)</f>
        <v>0</v>
      </c>
      <c r="G770" s="15" t="n">
        <f aca="false">IF(C770=10,0,IF(F770=1,1,G769))</f>
        <v>1</v>
      </c>
      <c r="H770" s="5" t="n">
        <f aca="false">VA_base_426_data!B770</f>
        <v>1000</v>
      </c>
      <c r="I770" s="5" t="n">
        <f aca="false">IF(AND(E770=1,OR(C770=4,C770=5)),25*12.1/24/D770*1000,0)</f>
        <v>420.138888888889</v>
      </c>
      <c r="J770" s="5" t="n">
        <f aca="false">VA_base_426_data!C770</f>
        <v>1000</v>
      </c>
      <c r="K770" s="5" t="n">
        <f aca="false">H770+I770-J770</f>
        <v>420.138888888889</v>
      </c>
      <c r="L770" s="5" t="n">
        <f aca="false">MIN($W$7,J770+K770)</f>
        <v>1420.13888888889</v>
      </c>
      <c r="M770" s="5" t="n">
        <f aca="false">VA_base_426_data!D770</f>
        <v>700</v>
      </c>
      <c r="N770" s="5" t="n">
        <f aca="false">IF(AND(C770=10,E770=1),$W$6,N769-P769)</f>
        <v>0</v>
      </c>
      <c r="O770" s="5" t="n">
        <f aca="false">IF(ABS(M770-L770)&gt;1,MIN(N770/((L770-M770)*24/12.1/1000),D770),D770)</f>
        <v>0</v>
      </c>
      <c r="P770" s="5" t="n">
        <f aca="false">MIN(IF(AND(G770,E770),(L770-M770)*24/12.1*O770/1000,0),N770)</f>
        <v>0</v>
      </c>
      <c r="Q770" s="5" t="n">
        <f aca="false">IF(P770&gt;0,P770/O770*12.1/24*1000+M770,0)</f>
        <v>0</v>
      </c>
      <c r="R770" s="0" t="n">
        <f aca="false">IF(Q770&gt;0,TRUNC(O770),0)</f>
        <v>0</v>
      </c>
      <c r="S770" s="5" t="n">
        <f aca="false">(M770*(D770-R770)+(Q770*R770))/D770</f>
        <v>700</v>
      </c>
      <c r="T770" s="6" t="n">
        <f aca="false">(Q770-M770)*R770*24/12.1/1000</f>
        <v>-0</v>
      </c>
    </row>
    <row r="771" customFormat="false" ht="14.35" hidden="false" customHeight="false" outlineLevel="0" collapsed="false">
      <c r="A771" s="4" t="n">
        <v>31198</v>
      </c>
      <c r="B771" s="15" t="n">
        <f aca="false">IF(C771&lt;=9,YEAR(A771),YEAR(A771)+1)</f>
        <v>1985</v>
      </c>
      <c r="C771" s="15" t="n">
        <f aca="false">MONTH(A771)</f>
        <v>5</v>
      </c>
      <c r="D771" s="15" t="n">
        <f aca="false">DAY(A771)</f>
        <v>31</v>
      </c>
      <c r="E771" s="15" t="n">
        <f aca="false">VLOOKUP(B771,WYT!$A$2:$L$97,12)</f>
        <v>1</v>
      </c>
      <c r="F771" s="15" t="n">
        <f aca="false">IF(C771=$W$5,1,0)</f>
        <v>0</v>
      </c>
      <c r="G771" s="15" t="n">
        <f aca="false">IF(C771=10,0,IF(F771=1,1,G770))</f>
        <v>1</v>
      </c>
      <c r="H771" s="5" t="n">
        <f aca="false">VA_base_426_data!B771</f>
        <v>2831.96097299527</v>
      </c>
      <c r="I771" s="5" t="n">
        <f aca="false">IF(AND(E771=1,OR(C771=4,C771=5)),25*12.1/24/D771*1000,0)</f>
        <v>406.586021505376</v>
      </c>
      <c r="J771" s="5" t="n">
        <f aca="false">VA_base_426_data!C771</f>
        <v>1000</v>
      </c>
      <c r="K771" s="5" t="n">
        <f aca="false">H771+I771-J771</f>
        <v>2238.54699450065</v>
      </c>
      <c r="L771" s="5" t="n">
        <f aca="false">MIN($W$7,J771+K771)</f>
        <v>2000</v>
      </c>
      <c r="M771" s="5" t="n">
        <f aca="false">VA_base_426_data!D771</f>
        <v>700</v>
      </c>
      <c r="N771" s="5" t="n">
        <f aca="false">IF(AND(C771=10,E771=1),$W$6,N770-P770)</f>
        <v>0</v>
      </c>
      <c r="O771" s="5" t="n">
        <f aca="false">IF(ABS(M771-L771)&gt;1,MIN(N771/((L771-M771)*24/12.1/1000),D771),D771)</f>
        <v>0</v>
      </c>
      <c r="P771" s="5" t="n">
        <f aca="false">MIN(IF(AND(G771,E771),(L771-M771)*24/12.1*O771/1000,0),N771)</f>
        <v>0</v>
      </c>
      <c r="Q771" s="5" t="n">
        <f aca="false">IF(P771&gt;0,P771/O771*12.1/24*1000+M771,0)</f>
        <v>0</v>
      </c>
      <c r="R771" s="0" t="n">
        <f aca="false">IF(Q771&gt;0,TRUNC(O771),0)</f>
        <v>0</v>
      </c>
      <c r="S771" s="5" t="n">
        <f aca="false">(M771*(D771-R771)+(Q771*R771))/D771</f>
        <v>700</v>
      </c>
      <c r="T771" s="6" t="n">
        <f aca="false">(Q771-M771)*R771*24/12.1/1000</f>
        <v>-0</v>
      </c>
    </row>
    <row r="772" customFormat="false" ht="14.35" hidden="false" customHeight="false" outlineLevel="0" collapsed="false">
      <c r="A772" s="4" t="n">
        <v>31228</v>
      </c>
      <c r="B772" s="15" t="n">
        <f aca="false">IF(C772&lt;=9,YEAR(A772),YEAR(A772)+1)</f>
        <v>1985</v>
      </c>
      <c r="C772" s="15" t="n">
        <f aca="false">MONTH(A772)</f>
        <v>6</v>
      </c>
      <c r="D772" s="15" t="n">
        <f aca="false">DAY(A772)</f>
        <v>30</v>
      </c>
      <c r="E772" s="15" t="n">
        <f aca="false">VLOOKUP(B772,WYT!$A$2:$L$97,12)</f>
        <v>1</v>
      </c>
      <c r="F772" s="15" t="n">
        <f aca="false">IF(C772=$W$5,1,0)</f>
        <v>0</v>
      </c>
      <c r="G772" s="15" t="n">
        <f aca="false">IF(C772=10,0,IF(F772=1,1,G771))</f>
        <v>1</v>
      </c>
      <c r="H772" s="5" t="n">
        <f aca="false">VA_base_426_data!B772</f>
        <v>4804.4273916485</v>
      </c>
      <c r="I772" s="5" t="n">
        <f aca="false">IF(AND(E772=1,OR(C772=4,C772=5)),25*12.1/24/D772*1000,0)</f>
        <v>0</v>
      </c>
      <c r="J772" s="5" t="n">
        <f aca="false">VA_base_426_data!C772</f>
        <v>1000</v>
      </c>
      <c r="K772" s="5" t="n">
        <f aca="false">H772+I772-J772</f>
        <v>3804.4273916485</v>
      </c>
      <c r="L772" s="5" t="n">
        <f aca="false">MIN($W$7,J772+K772)</f>
        <v>2000</v>
      </c>
      <c r="M772" s="5" t="n">
        <f aca="false">VA_base_426_data!D772</f>
        <v>700</v>
      </c>
      <c r="N772" s="5" t="n">
        <f aca="false">IF(AND(C772=10,E772=1),$W$6,N771-P771)</f>
        <v>0</v>
      </c>
      <c r="O772" s="5" t="n">
        <f aca="false">IF(ABS(M772-L772)&gt;1,MIN(N772/((L772-M772)*24/12.1/1000),D772),D772)</f>
        <v>0</v>
      </c>
      <c r="P772" s="5" t="n">
        <f aca="false">MIN(IF(AND(G772,E772),(L772-M772)*24/12.1*O772/1000,0),N772)</f>
        <v>0</v>
      </c>
      <c r="Q772" s="5" t="n">
        <f aca="false">IF(P772&gt;0,P772/O772*12.1/24*1000+M772,0)</f>
        <v>0</v>
      </c>
      <c r="R772" s="0" t="n">
        <f aca="false">IF(Q772&gt;0,TRUNC(O772),0)</f>
        <v>0</v>
      </c>
      <c r="S772" s="5" t="n">
        <f aca="false">(M772*(D772-R772)+(Q772*R772))/D772</f>
        <v>700</v>
      </c>
      <c r="T772" s="6" t="n">
        <f aca="false">(Q772-M772)*R772*24/12.1/1000</f>
        <v>-0</v>
      </c>
    </row>
    <row r="773" customFormat="false" ht="14.35" hidden="false" customHeight="false" outlineLevel="0" collapsed="false">
      <c r="A773" s="4" t="n">
        <v>31259</v>
      </c>
      <c r="B773" s="15" t="n">
        <f aca="false">IF(C773&lt;=9,YEAR(A773),YEAR(A773)+1)</f>
        <v>1985</v>
      </c>
      <c r="C773" s="15" t="n">
        <f aca="false">MONTH(A773)</f>
        <v>7</v>
      </c>
      <c r="D773" s="15" t="n">
        <f aca="false">DAY(A773)</f>
        <v>31</v>
      </c>
      <c r="E773" s="15" t="n">
        <f aca="false">VLOOKUP(B773,WYT!$A$2:$L$97,12)</f>
        <v>1</v>
      </c>
      <c r="F773" s="15" t="n">
        <f aca="false">IF(C773=$W$5,1,0)</f>
        <v>0</v>
      </c>
      <c r="G773" s="15" t="n">
        <f aca="false">IF(C773=10,0,IF(F773=1,1,G772))</f>
        <v>1</v>
      </c>
      <c r="H773" s="5" t="n">
        <f aca="false">VA_base_426_data!B773</f>
        <v>9863.00281473059</v>
      </c>
      <c r="I773" s="5" t="n">
        <f aca="false">IF(AND(E773=1,OR(C773=4,C773=5)),25*12.1/24/D773*1000,0)</f>
        <v>0</v>
      </c>
      <c r="J773" s="5" t="n">
        <f aca="false">VA_base_426_data!C773</f>
        <v>1000</v>
      </c>
      <c r="K773" s="5" t="n">
        <f aca="false">H773+I773-J773</f>
        <v>8863.00281473059</v>
      </c>
      <c r="L773" s="5" t="n">
        <f aca="false">MIN($W$7,J773+K773)</f>
        <v>2000</v>
      </c>
      <c r="M773" s="5" t="n">
        <f aca="false">VA_base_426_data!D773</f>
        <v>700</v>
      </c>
      <c r="N773" s="5" t="n">
        <f aca="false">IF(AND(C773=10,E773=1),$W$6,N772-P772)</f>
        <v>0</v>
      </c>
      <c r="O773" s="5" t="n">
        <f aca="false">IF(ABS(M773-L773)&gt;1,MIN(N773/((L773-M773)*24/12.1/1000),D773),D773)</f>
        <v>0</v>
      </c>
      <c r="P773" s="5" t="n">
        <f aca="false">MIN(IF(AND(G773,E773),(L773-M773)*24/12.1*O773/1000,0),N773)</f>
        <v>0</v>
      </c>
      <c r="Q773" s="5" t="n">
        <f aca="false">IF(P773&gt;0,P773/O773*12.1/24*1000+M773,0)</f>
        <v>0</v>
      </c>
      <c r="R773" s="0" t="n">
        <f aca="false">IF(Q773&gt;0,TRUNC(O773),0)</f>
        <v>0</v>
      </c>
      <c r="S773" s="5" t="n">
        <f aca="false">(M773*(D773-R773)+(Q773*R773))/D773</f>
        <v>700</v>
      </c>
      <c r="T773" s="6" t="n">
        <f aca="false">(Q773-M773)*R773*24/12.1/1000</f>
        <v>-0</v>
      </c>
    </row>
    <row r="774" customFormat="false" ht="14.35" hidden="false" customHeight="false" outlineLevel="0" collapsed="false">
      <c r="A774" s="4" t="n">
        <v>31290</v>
      </c>
      <c r="B774" s="15" t="n">
        <f aca="false">IF(C774&lt;=9,YEAR(A774),YEAR(A774)+1)</f>
        <v>1985</v>
      </c>
      <c r="C774" s="15" t="n">
        <f aca="false">MONTH(A774)</f>
        <v>8</v>
      </c>
      <c r="D774" s="15" t="n">
        <f aca="false">DAY(A774)</f>
        <v>31</v>
      </c>
      <c r="E774" s="15" t="n">
        <f aca="false">VLOOKUP(B774,WYT!$A$2:$L$97,12)</f>
        <v>1</v>
      </c>
      <c r="F774" s="15" t="n">
        <f aca="false">IF(C774=$W$5,1,0)</f>
        <v>0</v>
      </c>
      <c r="G774" s="15" t="n">
        <f aca="false">IF(C774=10,0,IF(F774=1,1,G773))</f>
        <v>1</v>
      </c>
      <c r="H774" s="5" t="n">
        <f aca="false">VA_base_426_data!B774</f>
        <v>1087.89767670174</v>
      </c>
      <c r="I774" s="5" t="n">
        <f aca="false">IF(AND(E774=1,OR(C774=4,C774=5)),25*12.1/24/D774*1000,0)</f>
        <v>0</v>
      </c>
      <c r="J774" s="5" t="n">
        <f aca="false">VA_base_426_data!C774</f>
        <v>1000</v>
      </c>
      <c r="K774" s="5" t="n">
        <f aca="false">H774+I774-J774</f>
        <v>87.8976767017366</v>
      </c>
      <c r="L774" s="5" t="n">
        <f aca="false">MIN($W$7,J774+K774)</f>
        <v>1087.89767670174</v>
      </c>
      <c r="M774" s="5" t="n">
        <f aca="false">VA_base_426_data!D774</f>
        <v>700</v>
      </c>
      <c r="N774" s="5" t="n">
        <f aca="false">IF(AND(C774=10,E774=1),$W$6,N773-P773)</f>
        <v>0</v>
      </c>
      <c r="O774" s="5" t="n">
        <f aca="false">IF(ABS(M774-L774)&gt;1,MIN(N774/((L774-M774)*24/12.1/1000),D774),D774)</f>
        <v>0</v>
      </c>
      <c r="P774" s="5" t="n">
        <f aca="false">MIN(IF(AND(G774,E774),(L774-M774)*24/12.1*O774/1000,0),N774)</f>
        <v>0</v>
      </c>
      <c r="Q774" s="5" t="n">
        <f aca="false">IF(P774&gt;0,P774/O774*12.1/24*1000+M774,0)</f>
        <v>0</v>
      </c>
      <c r="R774" s="0" t="n">
        <f aca="false">IF(Q774&gt;0,TRUNC(O774),0)</f>
        <v>0</v>
      </c>
      <c r="S774" s="5" t="n">
        <f aca="false">(M774*(D774-R774)+(Q774*R774))/D774</f>
        <v>700</v>
      </c>
      <c r="T774" s="6" t="n">
        <f aca="false">(Q774-M774)*R774*24/12.1/1000</f>
        <v>-0</v>
      </c>
    </row>
    <row r="775" customFormat="false" ht="14.35" hidden="false" customHeight="false" outlineLevel="0" collapsed="false">
      <c r="A775" s="4" t="n">
        <v>31320</v>
      </c>
      <c r="B775" s="15" t="n">
        <f aca="false">IF(C775&lt;=9,YEAR(A775),YEAR(A775)+1)</f>
        <v>1985</v>
      </c>
      <c r="C775" s="15" t="n">
        <f aca="false">MONTH(A775)</f>
        <v>9</v>
      </c>
      <c r="D775" s="15" t="n">
        <f aca="false">DAY(A775)</f>
        <v>30</v>
      </c>
      <c r="E775" s="15" t="n">
        <f aca="false">VLOOKUP(B775,WYT!$A$2:$L$97,12)</f>
        <v>1</v>
      </c>
      <c r="F775" s="15" t="n">
        <f aca="false">IF(C775=$W$5,1,0)</f>
        <v>0</v>
      </c>
      <c r="G775" s="15" t="n">
        <f aca="false">IF(C775=10,0,IF(F775=1,1,G774))</f>
        <v>1</v>
      </c>
      <c r="H775" s="5" t="n">
        <f aca="false">VA_base_426_data!B775</f>
        <v>1000</v>
      </c>
      <c r="I775" s="5" t="n">
        <f aca="false">IF(AND(E775=1,OR(C775=4,C775=5)),25*12.1/24/D775*1000,0)</f>
        <v>0</v>
      </c>
      <c r="J775" s="5" t="n">
        <f aca="false">VA_base_426_data!C775</f>
        <v>1000</v>
      </c>
      <c r="K775" s="5" t="n">
        <f aca="false">H775+I775-J775</f>
        <v>0</v>
      </c>
      <c r="L775" s="5" t="n">
        <f aca="false">MIN($W$7,J775+K775)</f>
        <v>1000</v>
      </c>
      <c r="M775" s="5" t="n">
        <f aca="false">VA_base_426_data!D775</f>
        <v>773.3333333</v>
      </c>
      <c r="N775" s="5" t="n">
        <f aca="false">IF(AND(C775=10,E775=1),$W$6,N774-P774)</f>
        <v>0</v>
      </c>
      <c r="O775" s="5" t="n">
        <f aca="false">IF(ABS(M775-L775)&gt;1,MIN(N775/((L775-M775)*24/12.1/1000),D775),D775)</f>
        <v>0</v>
      </c>
      <c r="P775" s="5" t="n">
        <f aca="false">MIN(IF(AND(G775,E775),(L775-M775)*24/12.1*O775/1000,0),N775)</f>
        <v>0</v>
      </c>
      <c r="Q775" s="5" t="n">
        <f aca="false">IF(P775&gt;0,P775/O775*12.1/24*1000+M775,0)</f>
        <v>0</v>
      </c>
      <c r="R775" s="0" t="n">
        <f aca="false">IF(Q775&gt;0,TRUNC(O775),0)</f>
        <v>0</v>
      </c>
      <c r="S775" s="5" t="n">
        <f aca="false">(M775*(D775-R775)+(Q775*R775))/D775</f>
        <v>773.3333333</v>
      </c>
      <c r="T775" s="6" t="n">
        <f aca="false">(Q775-M775)*R775*24/12.1/1000</f>
        <v>-0</v>
      </c>
    </row>
    <row r="776" customFormat="false" ht="14.35" hidden="false" customHeight="false" outlineLevel="0" collapsed="false">
      <c r="A776" s="4" t="n">
        <v>31351</v>
      </c>
      <c r="B776" s="15" t="n">
        <f aca="false">IF(C776&lt;=9,YEAR(A776),YEAR(A776)+1)</f>
        <v>1986</v>
      </c>
      <c r="C776" s="15" t="n">
        <f aca="false">MONTH(A776)</f>
        <v>10</v>
      </c>
      <c r="D776" s="15" t="n">
        <f aca="false">DAY(A776)</f>
        <v>31</v>
      </c>
      <c r="E776" s="15" t="n">
        <f aca="false">VLOOKUP(B776,WYT!$A$2:$L$97,12)</f>
        <v>0</v>
      </c>
      <c r="F776" s="15" t="n">
        <f aca="false">IF(C776=$W$5,1,0)</f>
        <v>0</v>
      </c>
      <c r="G776" s="15" t="n">
        <f aca="false">IF(C776=10,0,IF(F776=1,1,G775))</f>
        <v>0</v>
      </c>
      <c r="H776" s="5" t="n">
        <f aca="false">VA_base_426_data!B776</f>
        <v>1700</v>
      </c>
      <c r="I776" s="5" t="n">
        <f aca="false">IF(AND(E776=1,OR(C776=4,C776=5)),25*12.1/24/D776*1000,0)</f>
        <v>0</v>
      </c>
      <c r="J776" s="5" t="n">
        <f aca="false">VA_base_426_data!C776</f>
        <v>1700</v>
      </c>
      <c r="K776" s="5" t="n">
        <f aca="false">H776+I776-J776</f>
        <v>0</v>
      </c>
      <c r="L776" s="5" t="n">
        <f aca="false">MIN($W$7,J776+K776)</f>
        <v>1700</v>
      </c>
      <c r="M776" s="5" t="n">
        <f aca="false">VA_base_426_data!D776</f>
        <v>800</v>
      </c>
      <c r="N776" s="5" t="n">
        <f aca="false">IF(AND(C776=10,E776=1),$W$6,N775-P775)</f>
        <v>0</v>
      </c>
      <c r="O776" s="5" t="n">
        <f aca="false">IF(ABS(M776-L776)&gt;1,MIN(N776/((L776-M776)*24/12.1/1000),D776),D776)</f>
        <v>0</v>
      </c>
      <c r="P776" s="5" t="n">
        <f aca="false">MIN(IF(AND(G776,E776),(L776-M776)*24/12.1*O776/1000,0),N776)</f>
        <v>0</v>
      </c>
      <c r="Q776" s="5" t="n">
        <f aca="false">IF(P776&gt;0,P776/O776*12.1/24*1000+M776,0)</f>
        <v>0</v>
      </c>
      <c r="R776" s="0" t="n">
        <f aca="false">IF(Q776&gt;0,TRUNC(O776),0)</f>
        <v>0</v>
      </c>
      <c r="S776" s="5" t="n">
        <f aca="false">(M776*(D776-R776)+(Q776*R776))/D776</f>
        <v>800</v>
      </c>
      <c r="T776" s="6" t="n">
        <f aca="false">(Q776-M776)*R776*24/12.1/1000</f>
        <v>-0</v>
      </c>
    </row>
    <row r="777" customFormat="false" ht="14.35" hidden="false" customHeight="false" outlineLevel="0" collapsed="false">
      <c r="A777" s="4" t="n">
        <v>31381</v>
      </c>
      <c r="B777" s="15" t="n">
        <f aca="false">IF(C777&lt;=9,YEAR(A777),YEAR(A777)+1)</f>
        <v>1986</v>
      </c>
      <c r="C777" s="15" t="n">
        <f aca="false">MONTH(A777)</f>
        <v>11</v>
      </c>
      <c r="D777" s="15" t="n">
        <f aca="false">DAY(A777)</f>
        <v>30</v>
      </c>
      <c r="E777" s="15" t="n">
        <f aca="false">VLOOKUP(B777,WYT!$A$2:$L$97,12)</f>
        <v>0</v>
      </c>
      <c r="F777" s="15" t="n">
        <f aca="false">IF(C777=$W$5,1,0)</f>
        <v>0</v>
      </c>
      <c r="G777" s="15" t="n">
        <f aca="false">IF(C777=10,0,IF(F777=1,1,G776))</f>
        <v>0</v>
      </c>
      <c r="H777" s="5" t="n">
        <f aca="false">VA_base_426_data!B777</f>
        <v>1700</v>
      </c>
      <c r="I777" s="5" t="n">
        <f aca="false">IF(AND(E777=1,OR(C777=4,C777=5)),25*12.1/24/D777*1000,0)</f>
        <v>0</v>
      </c>
      <c r="J777" s="5" t="n">
        <f aca="false">VA_base_426_data!C777</f>
        <v>1700</v>
      </c>
      <c r="K777" s="5" t="n">
        <f aca="false">H777+I777-J777</f>
        <v>0</v>
      </c>
      <c r="L777" s="5" t="n">
        <f aca="false">MIN($W$7,J777+K777)</f>
        <v>1700</v>
      </c>
      <c r="M777" s="5" t="n">
        <f aca="false">VA_base_426_data!D777</f>
        <v>800</v>
      </c>
      <c r="N777" s="5" t="n">
        <f aca="false">IF(AND(C777=10,E777=1),$W$6,N776-P776)</f>
        <v>0</v>
      </c>
      <c r="O777" s="5" t="n">
        <f aca="false">IF(ABS(M777-L777)&gt;1,MIN(N777/((L777-M777)*24/12.1/1000),D777),D777)</f>
        <v>0</v>
      </c>
      <c r="P777" s="5" t="n">
        <f aca="false">MIN(IF(AND(G777,E777),(L777-M777)*24/12.1*O777/1000,0),N777)</f>
        <v>0</v>
      </c>
      <c r="Q777" s="5" t="n">
        <f aca="false">IF(P777&gt;0,P777/O777*12.1/24*1000+M777,0)</f>
        <v>0</v>
      </c>
      <c r="R777" s="0" t="n">
        <f aca="false">IF(Q777&gt;0,TRUNC(O777),0)</f>
        <v>0</v>
      </c>
      <c r="S777" s="5" t="n">
        <f aca="false">(M777*(D777-R777)+(Q777*R777))/D777</f>
        <v>800</v>
      </c>
      <c r="T777" s="6" t="n">
        <f aca="false">(Q777-M777)*R777*24/12.1/1000</f>
        <v>-0</v>
      </c>
    </row>
    <row r="778" customFormat="false" ht="14.35" hidden="false" customHeight="false" outlineLevel="0" collapsed="false">
      <c r="A778" s="4" t="n">
        <v>31412</v>
      </c>
      <c r="B778" s="15" t="n">
        <f aca="false">IF(C778&lt;=9,YEAR(A778),YEAR(A778)+1)</f>
        <v>1986</v>
      </c>
      <c r="C778" s="15" t="n">
        <f aca="false">MONTH(A778)</f>
        <v>12</v>
      </c>
      <c r="D778" s="15" t="n">
        <f aca="false">DAY(A778)</f>
        <v>31</v>
      </c>
      <c r="E778" s="15" t="n">
        <f aca="false">VLOOKUP(B778,WYT!$A$2:$L$97,12)</f>
        <v>0</v>
      </c>
      <c r="F778" s="15" t="n">
        <f aca="false">IF(C778=$W$5,1,0)</f>
        <v>0</v>
      </c>
      <c r="G778" s="15" t="n">
        <f aca="false">IF(C778=10,0,IF(F778=1,1,G777))</f>
        <v>0</v>
      </c>
      <c r="H778" s="5" t="n">
        <f aca="false">VA_base_426_data!B778</f>
        <v>1700</v>
      </c>
      <c r="I778" s="5" t="n">
        <f aca="false">IF(AND(E778=1,OR(C778=4,C778=5)),25*12.1/24/D778*1000,0)</f>
        <v>0</v>
      </c>
      <c r="J778" s="5" t="n">
        <f aca="false">VA_base_426_data!C778</f>
        <v>1700</v>
      </c>
      <c r="K778" s="5" t="n">
        <f aca="false">H778+I778-J778</f>
        <v>0</v>
      </c>
      <c r="L778" s="5" t="n">
        <f aca="false">MIN($W$7,J778+K778)</f>
        <v>1700</v>
      </c>
      <c r="M778" s="5" t="n">
        <f aca="false">VA_base_426_data!D778</f>
        <v>800</v>
      </c>
      <c r="N778" s="5" t="n">
        <f aca="false">IF(AND(C778=10,E778=1),$W$6,N777-P777)</f>
        <v>0</v>
      </c>
      <c r="O778" s="5" t="n">
        <f aca="false">IF(ABS(M778-L778)&gt;1,MIN(N778/((L778-M778)*24/12.1/1000),D778),D778)</f>
        <v>0</v>
      </c>
      <c r="P778" s="5" t="n">
        <f aca="false">MIN(IF(AND(G778,E778),(L778-M778)*24/12.1*O778/1000,0),N778)</f>
        <v>0</v>
      </c>
      <c r="Q778" s="5" t="n">
        <f aca="false">IF(P778&gt;0,P778/O778*12.1/24*1000+M778,0)</f>
        <v>0</v>
      </c>
      <c r="R778" s="0" t="n">
        <f aca="false">IF(Q778&gt;0,TRUNC(O778),0)</f>
        <v>0</v>
      </c>
      <c r="S778" s="5" t="n">
        <f aca="false">(M778*(D778-R778)+(Q778*R778))/D778</f>
        <v>800</v>
      </c>
      <c r="T778" s="6" t="n">
        <f aca="false">(Q778-M778)*R778*24/12.1/1000</f>
        <v>-0</v>
      </c>
    </row>
    <row r="779" customFormat="false" ht="14.35" hidden="false" customHeight="false" outlineLevel="0" collapsed="false">
      <c r="A779" s="4" t="n">
        <v>31443</v>
      </c>
      <c r="B779" s="15" t="n">
        <f aca="false">IF(C779&lt;=9,YEAR(A779),YEAR(A779)+1)</f>
        <v>1986</v>
      </c>
      <c r="C779" s="15" t="n">
        <f aca="false">MONTH(A779)</f>
        <v>1</v>
      </c>
      <c r="D779" s="15" t="n">
        <f aca="false">DAY(A779)</f>
        <v>31</v>
      </c>
      <c r="E779" s="15" t="n">
        <f aca="false">VLOOKUP(B779,WYT!$A$2:$L$97,12)</f>
        <v>0</v>
      </c>
      <c r="F779" s="15" t="n">
        <f aca="false">IF(C779=$W$5,1,0)</f>
        <v>0</v>
      </c>
      <c r="G779" s="15" t="n">
        <f aca="false">IF(C779=10,0,IF(F779=1,1,G778))</f>
        <v>0</v>
      </c>
      <c r="H779" s="5" t="n">
        <f aca="false">VA_base_426_data!B779</f>
        <v>1700</v>
      </c>
      <c r="I779" s="5" t="n">
        <f aca="false">IF(AND(E779=1,OR(C779=4,C779=5)),25*12.1/24/D779*1000,0)</f>
        <v>0</v>
      </c>
      <c r="J779" s="5" t="n">
        <f aca="false">VA_base_426_data!C779</f>
        <v>1700</v>
      </c>
      <c r="K779" s="5" t="n">
        <f aca="false">H779+I779-J779</f>
        <v>0</v>
      </c>
      <c r="L779" s="5" t="n">
        <f aca="false">MIN($W$7,J779+K779)</f>
        <v>1700</v>
      </c>
      <c r="M779" s="5" t="n">
        <f aca="false">VA_base_426_data!D779</f>
        <v>800</v>
      </c>
      <c r="N779" s="5" t="n">
        <f aca="false">IF(AND(C779=10,E779=1),$W$6,N778-P778)</f>
        <v>0</v>
      </c>
      <c r="O779" s="5" t="n">
        <f aca="false">IF(ABS(M779-L779)&gt;1,MIN(N779/((L779-M779)*24/12.1/1000),D779),D779)</f>
        <v>0</v>
      </c>
      <c r="P779" s="5" t="n">
        <f aca="false">MIN(IF(AND(G779,E779),(L779-M779)*24/12.1*O779/1000,0),N779)</f>
        <v>0</v>
      </c>
      <c r="Q779" s="5" t="n">
        <f aca="false">IF(P779&gt;0,P779/O779*12.1/24*1000+M779,0)</f>
        <v>0</v>
      </c>
      <c r="R779" s="0" t="n">
        <f aca="false">IF(Q779&gt;0,TRUNC(O779),0)</f>
        <v>0</v>
      </c>
      <c r="S779" s="5" t="n">
        <f aca="false">(M779*(D779-R779)+(Q779*R779))/D779</f>
        <v>800</v>
      </c>
      <c r="T779" s="6" t="n">
        <f aca="false">(Q779-M779)*R779*24/12.1/1000</f>
        <v>-0</v>
      </c>
    </row>
    <row r="780" customFormat="false" ht="14.35" hidden="false" customHeight="false" outlineLevel="0" collapsed="false">
      <c r="A780" s="4" t="n">
        <v>31471</v>
      </c>
      <c r="B780" s="15" t="n">
        <f aca="false">IF(C780&lt;=9,YEAR(A780),YEAR(A780)+1)</f>
        <v>1986</v>
      </c>
      <c r="C780" s="15" t="n">
        <f aca="false">MONTH(A780)</f>
        <v>2</v>
      </c>
      <c r="D780" s="15" t="n">
        <f aca="false">DAY(A780)</f>
        <v>28</v>
      </c>
      <c r="E780" s="15" t="n">
        <f aca="false">VLOOKUP(B780,WYT!$A$2:$L$97,12)</f>
        <v>0</v>
      </c>
      <c r="F780" s="15" t="n">
        <f aca="false">IF(C780=$W$5,1,0)</f>
        <v>1</v>
      </c>
      <c r="G780" s="15" t="n">
        <f aca="false">IF(C780=10,0,IF(F780=1,1,G779))</f>
        <v>1</v>
      </c>
      <c r="H780" s="5" t="n">
        <f aca="false">VA_base_426_data!B780</f>
        <v>18705.957146343</v>
      </c>
      <c r="I780" s="5" t="n">
        <f aca="false">IF(AND(E780=1,OR(C780=4,C780=5)),25*12.1/24/D780*1000,0)</f>
        <v>0</v>
      </c>
      <c r="J780" s="5" t="n">
        <f aca="false">VA_base_426_data!C780</f>
        <v>1700</v>
      </c>
      <c r="K780" s="5" t="n">
        <f aca="false">H780+I780-J780</f>
        <v>17005.957146343</v>
      </c>
      <c r="L780" s="5" t="n">
        <f aca="false">MIN($W$7,J780+K780)</f>
        <v>2000</v>
      </c>
      <c r="M780" s="5" t="n">
        <f aca="false">VA_base_426_data!D780</f>
        <v>800</v>
      </c>
      <c r="N780" s="5" t="n">
        <f aca="false">IF(AND(C780=10,E780=1),$W$6,N779-P779)</f>
        <v>0</v>
      </c>
      <c r="O780" s="5" t="n">
        <f aca="false">IF(ABS(M780-L780)&gt;1,MIN(N780/((L780-M780)*24/12.1/1000),D780),D780)</f>
        <v>0</v>
      </c>
      <c r="P780" s="5" t="n">
        <f aca="false">MIN(IF(AND(G780,E780),(L780-M780)*24/12.1*O780/1000,0),N780)</f>
        <v>0</v>
      </c>
      <c r="Q780" s="5" t="n">
        <f aca="false">IF(P780&gt;0,P780/O780*12.1/24*1000+M780,0)</f>
        <v>0</v>
      </c>
      <c r="R780" s="0" t="n">
        <f aca="false">IF(Q780&gt;0,TRUNC(O780),0)</f>
        <v>0</v>
      </c>
      <c r="S780" s="5" t="n">
        <f aca="false">(M780*(D780-R780)+(Q780*R780))/D780</f>
        <v>800</v>
      </c>
      <c r="T780" s="6" t="n">
        <f aca="false">(Q780-M780)*R780*24/12.1/1000</f>
        <v>-0</v>
      </c>
    </row>
    <row r="781" customFormat="false" ht="14.35" hidden="false" customHeight="false" outlineLevel="0" collapsed="false">
      <c r="A781" s="4" t="n">
        <v>31502</v>
      </c>
      <c r="B781" s="15" t="n">
        <f aca="false">IF(C781&lt;=9,YEAR(A781),YEAR(A781)+1)</f>
        <v>1986</v>
      </c>
      <c r="C781" s="15" t="n">
        <f aca="false">MONTH(A781)</f>
        <v>3</v>
      </c>
      <c r="D781" s="15" t="n">
        <f aca="false">DAY(A781)</f>
        <v>31</v>
      </c>
      <c r="E781" s="15" t="n">
        <f aca="false">VLOOKUP(B781,WYT!$A$2:$L$97,12)</f>
        <v>0</v>
      </c>
      <c r="F781" s="15" t="n">
        <f aca="false">IF(C781=$W$5,1,0)</f>
        <v>0</v>
      </c>
      <c r="G781" s="15" t="n">
        <f aca="false">IF(C781=10,0,IF(F781=1,1,G780))</f>
        <v>1</v>
      </c>
      <c r="H781" s="5" t="n">
        <f aca="false">VA_base_426_data!B781</f>
        <v>21845.3441148425</v>
      </c>
      <c r="I781" s="5" t="n">
        <f aca="false">IF(AND(E781=1,OR(C781=4,C781=5)),25*12.1/24/D781*1000,0)</f>
        <v>0</v>
      </c>
      <c r="J781" s="5" t="n">
        <f aca="false">VA_base_426_data!C781</f>
        <v>1700</v>
      </c>
      <c r="K781" s="5" t="n">
        <f aca="false">H781+I781-J781</f>
        <v>20145.3441148425</v>
      </c>
      <c r="L781" s="5" t="n">
        <f aca="false">MIN($W$7,J781+K781)</f>
        <v>2000</v>
      </c>
      <c r="M781" s="5" t="n">
        <f aca="false">VA_base_426_data!D781</f>
        <v>800</v>
      </c>
      <c r="N781" s="5" t="n">
        <f aca="false">IF(AND(C781=10,E781=1),$W$6,N780-P780)</f>
        <v>0</v>
      </c>
      <c r="O781" s="5" t="n">
        <f aca="false">IF(ABS(M781-L781)&gt;1,MIN(N781/((L781-M781)*24/12.1/1000),D781),D781)</f>
        <v>0</v>
      </c>
      <c r="P781" s="5" t="n">
        <f aca="false">MIN(IF(AND(G781,E781),(L781-M781)*24/12.1*O781/1000,0),N781)</f>
        <v>0</v>
      </c>
      <c r="Q781" s="5" t="n">
        <f aca="false">IF(P781&gt;0,P781/O781*12.1/24*1000+M781,0)</f>
        <v>0</v>
      </c>
      <c r="R781" s="0" t="n">
        <f aca="false">IF(Q781&gt;0,TRUNC(O781),0)</f>
        <v>0</v>
      </c>
      <c r="S781" s="5" t="n">
        <f aca="false">(M781*(D781-R781)+(Q781*R781))/D781</f>
        <v>800</v>
      </c>
      <c r="T781" s="6" t="n">
        <f aca="false">(Q781-M781)*R781*24/12.1/1000</f>
        <v>-0</v>
      </c>
    </row>
    <row r="782" customFormat="false" ht="14.35" hidden="false" customHeight="false" outlineLevel="0" collapsed="false">
      <c r="A782" s="4" t="n">
        <v>31532</v>
      </c>
      <c r="B782" s="15" t="n">
        <f aca="false">IF(C782&lt;=9,YEAR(A782),YEAR(A782)+1)</f>
        <v>1986</v>
      </c>
      <c r="C782" s="15" t="n">
        <f aca="false">MONTH(A782)</f>
        <v>4</v>
      </c>
      <c r="D782" s="15" t="n">
        <f aca="false">DAY(A782)</f>
        <v>30</v>
      </c>
      <c r="E782" s="15" t="n">
        <f aca="false">VLOOKUP(B782,WYT!$A$2:$L$97,12)</f>
        <v>0</v>
      </c>
      <c r="F782" s="15" t="n">
        <f aca="false">IF(C782=$W$5,1,0)</f>
        <v>0</v>
      </c>
      <c r="G782" s="15" t="n">
        <f aca="false">IF(C782=10,0,IF(F782=1,1,G781))</f>
        <v>1</v>
      </c>
      <c r="H782" s="5" t="n">
        <f aca="false">VA_base_426_data!B782</f>
        <v>1000</v>
      </c>
      <c r="I782" s="5" t="n">
        <f aca="false">IF(AND(E782=1,OR(C782=4,C782=5)),25*12.1/24/D782*1000,0)</f>
        <v>0</v>
      </c>
      <c r="J782" s="5" t="n">
        <f aca="false">VA_base_426_data!C782</f>
        <v>1000</v>
      </c>
      <c r="K782" s="5" t="n">
        <f aca="false">H782+I782-J782</f>
        <v>0</v>
      </c>
      <c r="L782" s="5" t="n">
        <f aca="false">MIN($W$7,J782+K782)</f>
        <v>1000</v>
      </c>
      <c r="M782" s="5" t="n">
        <f aca="false">VA_base_426_data!D782</f>
        <v>700</v>
      </c>
      <c r="N782" s="5" t="n">
        <f aca="false">IF(AND(C782=10,E782=1),$W$6,N781-P781)</f>
        <v>0</v>
      </c>
      <c r="O782" s="5" t="n">
        <f aca="false">IF(ABS(M782-L782)&gt;1,MIN(N782/((L782-M782)*24/12.1/1000),D782),D782)</f>
        <v>0</v>
      </c>
      <c r="P782" s="5" t="n">
        <f aca="false">MIN(IF(AND(G782,E782),(L782-M782)*24/12.1*O782/1000,0),N782)</f>
        <v>0</v>
      </c>
      <c r="Q782" s="5" t="n">
        <f aca="false">IF(P782&gt;0,P782/O782*12.1/24*1000+M782,0)</f>
        <v>0</v>
      </c>
      <c r="R782" s="0" t="n">
        <f aca="false">IF(Q782&gt;0,TRUNC(O782),0)</f>
        <v>0</v>
      </c>
      <c r="S782" s="5" t="n">
        <f aca="false">(M782*(D782-R782)+(Q782*R782))/D782</f>
        <v>700</v>
      </c>
      <c r="T782" s="6" t="n">
        <f aca="false">(Q782-M782)*R782*24/12.1/1000</f>
        <v>-0</v>
      </c>
    </row>
    <row r="783" customFormat="false" ht="14.35" hidden="false" customHeight="false" outlineLevel="0" collapsed="false">
      <c r="A783" s="4" t="n">
        <v>31563</v>
      </c>
      <c r="B783" s="15" t="n">
        <f aca="false">IF(C783&lt;=9,YEAR(A783),YEAR(A783)+1)</f>
        <v>1986</v>
      </c>
      <c r="C783" s="15" t="n">
        <f aca="false">MONTH(A783)</f>
        <v>5</v>
      </c>
      <c r="D783" s="15" t="n">
        <f aca="false">DAY(A783)</f>
        <v>31</v>
      </c>
      <c r="E783" s="15" t="n">
        <f aca="false">VLOOKUP(B783,WYT!$A$2:$L$97,12)</f>
        <v>0</v>
      </c>
      <c r="F783" s="15" t="n">
        <f aca="false">IF(C783=$W$5,1,0)</f>
        <v>0</v>
      </c>
      <c r="G783" s="15" t="n">
        <f aca="false">IF(C783=10,0,IF(F783=1,1,G782))</f>
        <v>1</v>
      </c>
      <c r="H783" s="5" t="n">
        <f aca="false">VA_base_426_data!B783</f>
        <v>1000.00000000003</v>
      </c>
      <c r="I783" s="5" t="n">
        <f aca="false">IF(AND(E783=1,OR(C783=4,C783=5)),25*12.1/24/D783*1000,0)</f>
        <v>0</v>
      </c>
      <c r="J783" s="5" t="n">
        <f aca="false">VA_base_426_data!C783</f>
        <v>1000</v>
      </c>
      <c r="K783" s="5" t="n">
        <f aca="false">H783+I783-J783</f>
        <v>2.88764567812905E-011</v>
      </c>
      <c r="L783" s="5" t="n">
        <f aca="false">MIN($W$7,J783+K783)</f>
        <v>1000.00000000003</v>
      </c>
      <c r="M783" s="5" t="n">
        <f aca="false">VA_base_426_data!D783</f>
        <v>700</v>
      </c>
      <c r="N783" s="5" t="n">
        <f aca="false">IF(AND(C783=10,E783=1),$W$6,N782-P782)</f>
        <v>0</v>
      </c>
      <c r="O783" s="5" t="n">
        <f aca="false">IF(ABS(M783-L783)&gt;1,MIN(N783/((L783-M783)*24/12.1/1000),D783),D783)</f>
        <v>0</v>
      </c>
      <c r="P783" s="5" t="n">
        <f aca="false">MIN(IF(AND(G783,E783),(L783-M783)*24/12.1*O783/1000,0),N783)</f>
        <v>0</v>
      </c>
      <c r="Q783" s="5" t="n">
        <f aca="false">IF(P783&gt;0,P783/O783*12.1/24*1000+M783,0)</f>
        <v>0</v>
      </c>
      <c r="R783" s="0" t="n">
        <f aca="false">IF(Q783&gt;0,TRUNC(O783),0)</f>
        <v>0</v>
      </c>
      <c r="S783" s="5" t="n">
        <f aca="false">(M783*(D783-R783)+(Q783*R783))/D783</f>
        <v>700</v>
      </c>
      <c r="T783" s="6" t="n">
        <f aca="false">(Q783-M783)*R783*24/12.1/1000</f>
        <v>-0</v>
      </c>
    </row>
    <row r="784" customFormat="false" ht="14.35" hidden="false" customHeight="false" outlineLevel="0" collapsed="false">
      <c r="A784" s="4" t="n">
        <v>31593</v>
      </c>
      <c r="B784" s="15" t="n">
        <f aca="false">IF(C784&lt;=9,YEAR(A784),YEAR(A784)+1)</f>
        <v>1986</v>
      </c>
      <c r="C784" s="15" t="n">
        <f aca="false">MONTH(A784)</f>
        <v>6</v>
      </c>
      <c r="D784" s="15" t="n">
        <f aca="false">DAY(A784)</f>
        <v>30</v>
      </c>
      <c r="E784" s="15" t="n">
        <f aca="false">VLOOKUP(B784,WYT!$A$2:$L$97,12)</f>
        <v>0</v>
      </c>
      <c r="F784" s="15" t="n">
        <f aca="false">IF(C784=$W$5,1,0)</f>
        <v>0</v>
      </c>
      <c r="G784" s="15" t="n">
        <f aca="false">IF(C784=10,0,IF(F784=1,1,G783))</f>
        <v>1</v>
      </c>
      <c r="H784" s="5" t="n">
        <f aca="false">VA_base_426_data!B784</f>
        <v>1122.16326529055</v>
      </c>
      <c r="I784" s="5" t="n">
        <f aca="false">IF(AND(E784=1,OR(C784=4,C784=5)),25*12.1/24/D784*1000,0)</f>
        <v>0</v>
      </c>
      <c r="J784" s="5" t="n">
        <f aca="false">VA_base_426_data!C784</f>
        <v>1000</v>
      </c>
      <c r="K784" s="5" t="n">
        <f aca="false">H784+I784-J784</f>
        <v>122.163265290553</v>
      </c>
      <c r="L784" s="5" t="n">
        <f aca="false">MIN($W$7,J784+K784)</f>
        <v>1122.16326529055</v>
      </c>
      <c r="M784" s="5" t="n">
        <f aca="false">VA_base_426_data!D784</f>
        <v>700</v>
      </c>
      <c r="N784" s="5" t="n">
        <f aca="false">IF(AND(C784=10,E784=1),$W$6,N783-P783)</f>
        <v>0</v>
      </c>
      <c r="O784" s="5" t="n">
        <f aca="false">IF(ABS(M784-L784)&gt;1,MIN(N784/((L784-M784)*24/12.1/1000),D784),D784)</f>
        <v>0</v>
      </c>
      <c r="P784" s="5" t="n">
        <f aca="false">MIN(IF(AND(G784,E784),(L784-M784)*24/12.1*O784/1000,0),N784)</f>
        <v>0</v>
      </c>
      <c r="Q784" s="5" t="n">
        <f aca="false">IF(P784&gt;0,P784/O784*12.1/24*1000+M784,0)</f>
        <v>0</v>
      </c>
      <c r="R784" s="0" t="n">
        <f aca="false">IF(Q784&gt;0,TRUNC(O784),0)</f>
        <v>0</v>
      </c>
      <c r="S784" s="5" t="n">
        <f aca="false">(M784*(D784-R784)+(Q784*R784))/D784</f>
        <v>700</v>
      </c>
      <c r="T784" s="6" t="n">
        <f aca="false">(Q784-M784)*R784*24/12.1/1000</f>
        <v>-0</v>
      </c>
    </row>
    <row r="785" customFormat="false" ht="14.35" hidden="false" customHeight="false" outlineLevel="0" collapsed="false">
      <c r="A785" s="4" t="n">
        <v>31624</v>
      </c>
      <c r="B785" s="15" t="n">
        <f aca="false">IF(C785&lt;=9,YEAR(A785),YEAR(A785)+1)</f>
        <v>1986</v>
      </c>
      <c r="C785" s="15" t="n">
        <f aca="false">MONTH(A785)</f>
        <v>7</v>
      </c>
      <c r="D785" s="15" t="n">
        <f aca="false">DAY(A785)</f>
        <v>31</v>
      </c>
      <c r="E785" s="15" t="n">
        <f aca="false">VLOOKUP(B785,WYT!$A$2:$L$97,12)</f>
        <v>0</v>
      </c>
      <c r="F785" s="15" t="n">
        <f aca="false">IF(C785=$W$5,1,0)</f>
        <v>0</v>
      </c>
      <c r="G785" s="15" t="n">
        <f aca="false">IF(C785=10,0,IF(F785=1,1,G784))</f>
        <v>1</v>
      </c>
      <c r="H785" s="5" t="n">
        <f aca="false">VA_base_426_data!B785</f>
        <v>8471.81559376521</v>
      </c>
      <c r="I785" s="5" t="n">
        <f aca="false">IF(AND(E785=1,OR(C785=4,C785=5)),25*12.1/24/D785*1000,0)</f>
        <v>0</v>
      </c>
      <c r="J785" s="5" t="n">
        <f aca="false">VA_base_426_data!C785</f>
        <v>1000</v>
      </c>
      <c r="K785" s="5" t="n">
        <f aca="false">H785+I785-J785</f>
        <v>7471.81559376521</v>
      </c>
      <c r="L785" s="5" t="n">
        <f aca="false">MIN($W$7,J785+K785)</f>
        <v>2000</v>
      </c>
      <c r="M785" s="5" t="n">
        <f aca="false">VA_base_426_data!D785</f>
        <v>700</v>
      </c>
      <c r="N785" s="5" t="n">
        <f aca="false">IF(AND(C785=10,E785=1),$W$6,N784-P784)</f>
        <v>0</v>
      </c>
      <c r="O785" s="5" t="n">
        <f aca="false">IF(ABS(M785-L785)&gt;1,MIN(N785/((L785-M785)*24/12.1/1000),D785),D785)</f>
        <v>0</v>
      </c>
      <c r="P785" s="5" t="n">
        <f aca="false">MIN(IF(AND(G785,E785),(L785-M785)*24/12.1*O785/1000,0),N785)</f>
        <v>0</v>
      </c>
      <c r="Q785" s="5" t="n">
        <f aca="false">IF(P785&gt;0,P785/O785*12.1/24*1000+M785,0)</f>
        <v>0</v>
      </c>
      <c r="R785" s="0" t="n">
        <f aca="false">IF(Q785&gt;0,TRUNC(O785),0)</f>
        <v>0</v>
      </c>
      <c r="S785" s="5" t="n">
        <f aca="false">(M785*(D785-R785)+(Q785*R785))/D785</f>
        <v>700</v>
      </c>
      <c r="T785" s="6" t="n">
        <f aca="false">(Q785-M785)*R785*24/12.1/1000</f>
        <v>-0</v>
      </c>
    </row>
    <row r="786" customFormat="false" ht="14.35" hidden="false" customHeight="false" outlineLevel="0" collapsed="false">
      <c r="A786" s="4" t="n">
        <v>31655</v>
      </c>
      <c r="B786" s="15" t="n">
        <f aca="false">IF(C786&lt;=9,YEAR(A786),YEAR(A786)+1)</f>
        <v>1986</v>
      </c>
      <c r="C786" s="15" t="n">
        <f aca="false">MONTH(A786)</f>
        <v>8</v>
      </c>
      <c r="D786" s="15" t="n">
        <f aca="false">DAY(A786)</f>
        <v>31</v>
      </c>
      <c r="E786" s="15" t="n">
        <f aca="false">VLOOKUP(B786,WYT!$A$2:$L$97,12)</f>
        <v>0</v>
      </c>
      <c r="F786" s="15" t="n">
        <f aca="false">IF(C786=$W$5,1,0)</f>
        <v>0</v>
      </c>
      <c r="G786" s="15" t="n">
        <f aca="false">IF(C786=10,0,IF(F786=1,1,G785))</f>
        <v>1</v>
      </c>
      <c r="H786" s="5" t="n">
        <f aca="false">VA_base_426_data!B786</f>
        <v>6929.7733419762</v>
      </c>
      <c r="I786" s="5" t="n">
        <f aca="false">IF(AND(E786=1,OR(C786=4,C786=5)),25*12.1/24/D786*1000,0)</f>
        <v>0</v>
      </c>
      <c r="J786" s="5" t="n">
        <f aca="false">VA_base_426_data!C786</f>
        <v>1000</v>
      </c>
      <c r="K786" s="5" t="n">
        <f aca="false">H786+I786-J786</f>
        <v>5929.7733419762</v>
      </c>
      <c r="L786" s="5" t="n">
        <f aca="false">MIN($W$7,J786+K786)</f>
        <v>2000</v>
      </c>
      <c r="M786" s="5" t="n">
        <f aca="false">VA_base_426_data!D786</f>
        <v>700</v>
      </c>
      <c r="N786" s="5" t="n">
        <f aca="false">IF(AND(C786=10,E786=1),$W$6,N785-P785)</f>
        <v>0</v>
      </c>
      <c r="O786" s="5" t="n">
        <f aca="false">IF(ABS(M786-L786)&gt;1,MIN(N786/((L786-M786)*24/12.1/1000),D786),D786)</f>
        <v>0</v>
      </c>
      <c r="P786" s="5" t="n">
        <f aca="false">MIN(IF(AND(G786,E786),(L786-M786)*24/12.1*O786/1000,0),N786)</f>
        <v>0</v>
      </c>
      <c r="Q786" s="5" t="n">
        <f aca="false">IF(P786&gt;0,P786/O786*12.1/24*1000+M786,0)</f>
        <v>0</v>
      </c>
      <c r="R786" s="0" t="n">
        <f aca="false">IF(Q786&gt;0,TRUNC(O786),0)</f>
        <v>0</v>
      </c>
      <c r="S786" s="5" t="n">
        <f aca="false">(M786*(D786-R786)+(Q786*R786))/D786</f>
        <v>700</v>
      </c>
      <c r="T786" s="6" t="n">
        <f aca="false">(Q786-M786)*R786*24/12.1/1000</f>
        <v>-0</v>
      </c>
    </row>
    <row r="787" customFormat="false" ht="14.35" hidden="false" customHeight="false" outlineLevel="0" collapsed="false">
      <c r="A787" s="4" t="n">
        <v>31685</v>
      </c>
      <c r="B787" s="15" t="n">
        <f aca="false">IF(C787&lt;=9,YEAR(A787),YEAR(A787)+1)</f>
        <v>1986</v>
      </c>
      <c r="C787" s="15" t="n">
        <f aca="false">MONTH(A787)</f>
        <v>9</v>
      </c>
      <c r="D787" s="15" t="n">
        <f aca="false">DAY(A787)</f>
        <v>30</v>
      </c>
      <c r="E787" s="15" t="n">
        <f aca="false">VLOOKUP(B787,WYT!$A$2:$L$97,12)</f>
        <v>0</v>
      </c>
      <c r="F787" s="15" t="n">
        <f aca="false">IF(C787=$W$5,1,0)</f>
        <v>0</v>
      </c>
      <c r="G787" s="15" t="n">
        <f aca="false">IF(C787=10,0,IF(F787=1,1,G786))</f>
        <v>1</v>
      </c>
      <c r="H787" s="5" t="n">
        <f aca="false">VA_base_426_data!B787</f>
        <v>9964.96113633378</v>
      </c>
      <c r="I787" s="5" t="n">
        <f aca="false">IF(AND(E787=1,OR(C787=4,C787=5)),25*12.1/24/D787*1000,0)</f>
        <v>0</v>
      </c>
      <c r="J787" s="5" t="n">
        <f aca="false">VA_base_426_data!C787</f>
        <v>1000</v>
      </c>
      <c r="K787" s="5" t="n">
        <f aca="false">H787+I787-J787</f>
        <v>8964.96113633378</v>
      </c>
      <c r="L787" s="5" t="n">
        <f aca="false">MIN($W$7,J787+K787)</f>
        <v>2000</v>
      </c>
      <c r="M787" s="5" t="n">
        <f aca="false">VA_base_426_data!D787</f>
        <v>773.3333333</v>
      </c>
      <c r="N787" s="5" t="n">
        <f aca="false">IF(AND(C787=10,E787=1),$W$6,N786-P786)</f>
        <v>0</v>
      </c>
      <c r="O787" s="5" t="n">
        <f aca="false">IF(ABS(M787-L787)&gt;1,MIN(N787/((L787-M787)*24/12.1/1000),D787),D787)</f>
        <v>0</v>
      </c>
      <c r="P787" s="5" t="n">
        <f aca="false">MIN(IF(AND(G787,E787),(L787-M787)*24/12.1*O787/1000,0),N787)</f>
        <v>0</v>
      </c>
      <c r="Q787" s="5" t="n">
        <f aca="false">IF(P787&gt;0,P787/O787*12.1/24*1000+M787,0)</f>
        <v>0</v>
      </c>
      <c r="R787" s="0" t="n">
        <f aca="false">IF(Q787&gt;0,TRUNC(O787),0)</f>
        <v>0</v>
      </c>
      <c r="S787" s="5" t="n">
        <f aca="false">(M787*(D787-R787)+(Q787*R787))/D787</f>
        <v>773.3333333</v>
      </c>
      <c r="T787" s="6" t="n">
        <f aca="false">(Q787-M787)*R787*24/12.1/1000</f>
        <v>-0</v>
      </c>
    </row>
    <row r="788" customFormat="false" ht="14.35" hidden="false" customHeight="false" outlineLevel="0" collapsed="false">
      <c r="A788" s="4" t="n">
        <v>31716</v>
      </c>
      <c r="B788" s="15" t="n">
        <f aca="false">IF(C788&lt;=9,YEAR(A788),YEAR(A788)+1)</f>
        <v>1987</v>
      </c>
      <c r="C788" s="15" t="n">
        <f aca="false">MONTH(A788)</f>
        <v>10</v>
      </c>
      <c r="D788" s="15" t="n">
        <f aca="false">DAY(A788)</f>
        <v>31</v>
      </c>
      <c r="E788" s="15" t="n">
        <f aca="false">VLOOKUP(B788,WYT!$A$2:$L$97,12)</f>
        <v>1</v>
      </c>
      <c r="F788" s="15" t="n">
        <f aca="false">IF(C788=$W$5,1,0)</f>
        <v>0</v>
      </c>
      <c r="G788" s="15" t="n">
        <f aca="false">IF(C788=10,0,IF(F788=1,1,G787))</f>
        <v>0</v>
      </c>
      <c r="H788" s="5" t="n">
        <f aca="false">VA_base_426_data!B788</f>
        <v>4000</v>
      </c>
      <c r="I788" s="5" t="n">
        <f aca="false">IF(AND(E788=1,OR(C788=4,C788=5)),25*12.1/24/D788*1000,0)</f>
        <v>0</v>
      </c>
      <c r="J788" s="5" t="n">
        <f aca="false">VA_base_426_data!C788</f>
        <v>1700</v>
      </c>
      <c r="K788" s="5" t="n">
        <f aca="false">H788+I788-J788</f>
        <v>2300</v>
      </c>
      <c r="L788" s="5" t="n">
        <f aca="false">MIN($W$7,J788+K788)</f>
        <v>2000</v>
      </c>
      <c r="M788" s="5" t="n">
        <f aca="false">VA_base_426_data!D788</f>
        <v>800</v>
      </c>
      <c r="N788" s="5" t="n">
        <f aca="false">IF(AND(C788=10,E788=1),$W$6,N787-P787)</f>
        <v>43</v>
      </c>
      <c r="O788" s="5" t="n">
        <f aca="false">IF(ABS(M788-L788)&gt;1,MIN(N788/((L788-M788)*24/12.1/1000),D788),D788)</f>
        <v>18.0659722222222</v>
      </c>
      <c r="P788" s="5" t="n">
        <f aca="false">MIN(IF(AND(G788,E788),(L788-M788)*24/12.1*O788/1000,0),N788)</f>
        <v>0</v>
      </c>
      <c r="Q788" s="5" t="n">
        <f aca="false">IF(P788&gt;0,P788/O788*12.1/24*1000+M788,0)</f>
        <v>0</v>
      </c>
      <c r="R788" s="0" t="n">
        <f aca="false">IF(Q788&gt;0,TRUNC(O788),0)</f>
        <v>0</v>
      </c>
      <c r="S788" s="5" t="n">
        <f aca="false">(M788*(D788-R788)+(Q788*R788))/D788</f>
        <v>800</v>
      </c>
      <c r="T788" s="6" t="n">
        <f aca="false">(Q788-M788)*R788*24/12.1/1000</f>
        <v>-0</v>
      </c>
    </row>
    <row r="789" customFormat="false" ht="14.35" hidden="false" customHeight="false" outlineLevel="0" collapsed="false">
      <c r="A789" s="4" t="n">
        <v>31746</v>
      </c>
      <c r="B789" s="15" t="n">
        <f aca="false">IF(C789&lt;=9,YEAR(A789),YEAR(A789)+1)</f>
        <v>1987</v>
      </c>
      <c r="C789" s="15" t="n">
        <f aca="false">MONTH(A789)</f>
        <v>11</v>
      </c>
      <c r="D789" s="15" t="n">
        <f aca="false">DAY(A789)</f>
        <v>30</v>
      </c>
      <c r="E789" s="15" t="n">
        <f aca="false">VLOOKUP(B789,WYT!$A$2:$L$97,12)</f>
        <v>1</v>
      </c>
      <c r="F789" s="15" t="n">
        <f aca="false">IF(C789=$W$5,1,0)</f>
        <v>0</v>
      </c>
      <c r="G789" s="15" t="n">
        <f aca="false">IF(C789=10,0,IF(F789=1,1,G788))</f>
        <v>0</v>
      </c>
      <c r="H789" s="5" t="n">
        <f aca="false">VA_base_426_data!B789</f>
        <v>1898.27511006391</v>
      </c>
      <c r="I789" s="5" t="n">
        <f aca="false">IF(AND(E789=1,OR(C789=4,C789=5)),25*12.1/24/D789*1000,0)</f>
        <v>0</v>
      </c>
      <c r="J789" s="5" t="n">
        <f aca="false">VA_base_426_data!C789</f>
        <v>1700</v>
      </c>
      <c r="K789" s="5" t="n">
        <f aca="false">H789+I789-J789</f>
        <v>198.275110063911</v>
      </c>
      <c r="L789" s="5" t="n">
        <f aca="false">MIN($W$7,J789+K789)</f>
        <v>1898.27511006391</v>
      </c>
      <c r="M789" s="5" t="n">
        <f aca="false">VA_base_426_data!D789</f>
        <v>800</v>
      </c>
      <c r="N789" s="5" t="n">
        <f aca="false">IF(AND(C789=10,E789=1),$W$6,N788-P788)</f>
        <v>43</v>
      </c>
      <c r="O789" s="5" t="n">
        <f aca="false">IF(ABS(M789-L789)&gt;1,MIN(N789/((L789-M789)*24/12.1/1000),D789),D789)</f>
        <v>19.7392861478989</v>
      </c>
      <c r="P789" s="5" t="n">
        <f aca="false">MIN(IF(AND(G789,E789),(L789-M789)*24/12.1*O789/1000,0),N789)</f>
        <v>0</v>
      </c>
      <c r="Q789" s="5" t="n">
        <f aca="false">IF(P789&gt;0,P789/O789*12.1/24*1000+M789,0)</f>
        <v>0</v>
      </c>
      <c r="R789" s="0" t="n">
        <f aca="false">IF(Q789&gt;0,TRUNC(O789),0)</f>
        <v>0</v>
      </c>
      <c r="S789" s="5" t="n">
        <f aca="false">(M789*(D789-R789)+(Q789*R789))/D789</f>
        <v>800</v>
      </c>
      <c r="T789" s="6" t="n">
        <f aca="false">(Q789-M789)*R789*24/12.1/1000</f>
        <v>-0</v>
      </c>
    </row>
    <row r="790" customFormat="false" ht="14.35" hidden="false" customHeight="false" outlineLevel="0" collapsed="false">
      <c r="A790" s="4" t="n">
        <v>31777</v>
      </c>
      <c r="B790" s="15" t="n">
        <f aca="false">IF(C790&lt;=9,YEAR(A790),YEAR(A790)+1)</f>
        <v>1987</v>
      </c>
      <c r="C790" s="15" t="n">
        <f aca="false">MONTH(A790)</f>
        <v>12</v>
      </c>
      <c r="D790" s="15" t="n">
        <f aca="false">DAY(A790)</f>
        <v>31</v>
      </c>
      <c r="E790" s="15" t="n">
        <f aca="false">VLOOKUP(B790,WYT!$A$2:$L$97,12)</f>
        <v>1</v>
      </c>
      <c r="F790" s="15" t="n">
        <f aca="false">IF(C790=$W$5,1,0)</f>
        <v>0</v>
      </c>
      <c r="G790" s="15" t="n">
        <f aca="false">IF(C790=10,0,IF(F790=1,1,G789))</f>
        <v>0</v>
      </c>
      <c r="H790" s="5" t="n">
        <f aca="false">VA_base_426_data!B790</f>
        <v>1700</v>
      </c>
      <c r="I790" s="5" t="n">
        <f aca="false">IF(AND(E790=1,OR(C790=4,C790=5)),25*12.1/24/D790*1000,0)</f>
        <v>0</v>
      </c>
      <c r="J790" s="5" t="n">
        <f aca="false">VA_base_426_data!C790</f>
        <v>1700</v>
      </c>
      <c r="K790" s="5" t="n">
        <f aca="false">H790+I790-J790</f>
        <v>0</v>
      </c>
      <c r="L790" s="5" t="n">
        <f aca="false">MIN($W$7,J790+K790)</f>
        <v>1700</v>
      </c>
      <c r="M790" s="5" t="n">
        <f aca="false">VA_base_426_data!D790</f>
        <v>800</v>
      </c>
      <c r="N790" s="5" t="n">
        <f aca="false">IF(AND(C790=10,E790=1),$W$6,N789-P789)</f>
        <v>43</v>
      </c>
      <c r="O790" s="5" t="n">
        <f aca="false">IF(ABS(M790-L790)&gt;1,MIN(N790/((L790-M790)*24/12.1/1000),D790),D790)</f>
        <v>24.087962962963</v>
      </c>
      <c r="P790" s="5" t="n">
        <f aca="false">MIN(IF(AND(G790,E790),(L790-M790)*24/12.1*O790/1000,0),N790)</f>
        <v>0</v>
      </c>
      <c r="Q790" s="5" t="n">
        <f aca="false">IF(P790&gt;0,P790/O790*12.1/24*1000+M790,0)</f>
        <v>0</v>
      </c>
      <c r="R790" s="0" t="n">
        <f aca="false">IF(Q790&gt;0,TRUNC(O790),0)</f>
        <v>0</v>
      </c>
      <c r="S790" s="5" t="n">
        <f aca="false">(M790*(D790-R790)+(Q790*R790))/D790</f>
        <v>800</v>
      </c>
      <c r="T790" s="6" t="n">
        <f aca="false">(Q790-M790)*R790*24/12.1/1000</f>
        <v>-0</v>
      </c>
    </row>
    <row r="791" customFormat="false" ht="14.35" hidden="false" customHeight="false" outlineLevel="0" collapsed="false">
      <c r="A791" s="4" t="n">
        <v>31808</v>
      </c>
      <c r="B791" s="15" t="n">
        <f aca="false">IF(C791&lt;=9,YEAR(A791),YEAR(A791)+1)</f>
        <v>1987</v>
      </c>
      <c r="C791" s="15" t="n">
        <f aca="false">MONTH(A791)</f>
        <v>1</v>
      </c>
      <c r="D791" s="15" t="n">
        <f aca="false">DAY(A791)</f>
        <v>31</v>
      </c>
      <c r="E791" s="15" t="n">
        <f aca="false">VLOOKUP(B791,WYT!$A$2:$L$97,12)</f>
        <v>1</v>
      </c>
      <c r="F791" s="15" t="n">
        <f aca="false">IF(C791=$W$5,1,0)</f>
        <v>0</v>
      </c>
      <c r="G791" s="15" t="n">
        <f aca="false">IF(C791=10,0,IF(F791=1,1,G790))</f>
        <v>0</v>
      </c>
      <c r="H791" s="5" t="n">
        <f aca="false">VA_base_426_data!B791</f>
        <v>1700</v>
      </c>
      <c r="I791" s="5" t="n">
        <f aca="false">IF(AND(E791=1,OR(C791=4,C791=5)),25*12.1/24/D791*1000,0)</f>
        <v>0</v>
      </c>
      <c r="J791" s="5" t="n">
        <f aca="false">VA_base_426_data!C791</f>
        <v>1700</v>
      </c>
      <c r="K791" s="5" t="n">
        <f aca="false">H791+I791-J791</f>
        <v>0</v>
      </c>
      <c r="L791" s="5" t="n">
        <f aca="false">MIN($W$7,J791+K791)</f>
        <v>1700</v>
      </c>
      <c r="M791" s="5" t="n">
        <f aca="false">VA_base_426_data!D791</f>
        <v>800</v>
      </c>
      <c r="N791" s="5" t="n">
        <f aca="false">IF(AND(C791=10,E791=1),$W$6,N790-P790)</f>
        <v>43</v>
      </c>
      <c r="O791" s="5" t="n">
        <f aca="false">IF(ABS(M791-L791)&gt;1,MIN(N791/((L791-M791)*24/12.1/1000),D791),D791)</f>
        <v>24.087962962963</v>
      </c>
      <c r="P791" s="5" t="n">
        <f aca="false">MIN(IF(AND(G791,E791),(L791-M791)*24/12.1*O791/1000,0),N791)</f>
        <v>0</v>
      </c>
      <c r="Q791" s="5" t="n">
        <f aca="false">IF(P791&gt;0,P791/O791*12.1/24*1000+M791,0)</f>
        <v>0</v>
      </c>
      <c r="R791" s="0" t="n">
        <f aca="false">IF(Q791&gt;0,TRUNC(O791),0)</f>
        <v>0</v>
      </c>
      <c r="S791" s="5" t="n">
        <f aca="false">(M791*(D791-R791)+(Q791*R791))/D791</f>
        <v>800</v>
      </c>
      <c r="T791" s="6" t="n">
        <f aca="false">(Q791-M791)*R791*24/12.1/1000</f>
        <v>-0</v>
      </c>
    </row>
    <row r="792" customFormat="false" ht="14.35" hidden="false" customHeight="false" outlineLevel="0" collapsed="false">
      <c r="A792" s="4" t="n">
        <v>31836</v>
      </c>
      <c r="B792" s="15" t="n">
        <f aca="false">IF(C792&lt;=9,YEAR(A792),YEAR(A792)+1)</f>
        <v>1987</v>
      </c>
      <c r="C792" s="15" t="n">
        <f aca="false">MONTH(A792)</f>
        <v>2</v>
      </c>
      <c r="D792" s="15" t="n">
        <f aca="false">DAY(A792)</f>
        <v>28</v>
      </c>
      <c r="E792" s="15" t="n">
        <f aca="false">VLOOKUP(B792,WYT!$A$2:$L$97,12)</f>
        <v>1</v>
      </c>
      <c r="F792" s="15" t="n">
        <f aca="false">IF(C792=$W$5,1,0)</f>
        <v>1</v>
      </c>
      <c r="G792" s="15" t="n">
        <f aca="false">IF(C792=10,0,IF(F792=1,1,G791))</f>
        <v>1</v>
      </c>
      <c r="H792" s="5" t="n">
        <f aca="false">VA_base_426_data!B792</f>
        <v>1700</v>
      </c>
      <c r="I792" s="5" t="n">
        <f aca="false">IF(AND(E792=1,OR(C792=4,C792=5)),25*12.1/24/D792*1000,0)</f>
        <v>0</v>
      </c>
      <c r="J792" s="5" t="n">
        <f aca="false">VA_base_426_data!C792</f>
        <v>1700</v>
      </c>
      <c r="K792" s="5" t="n">
        <f aca="false">H792+I792-J792</f>
        <v>0</v>
      </c>
      <c r="L792" s="5" t="n">
        <f aca="false">MIN($W$7,J792+K792)</f>
        <v>1700</v>
      </c>
      <c r="M792" s="5" t="n">
        <f aca="false">VA_base_426_data!D792</f>
        <v>800</v>
      </c>
      <c r="N792" s="5" t="n">
        <f aca="false">IF(AND(C792=10,E792=1),$W$6,N791-P791)</f>
        <v>43</v>
      </c>
      <c r="O792" s="5" t="n">
        <f aca="false">IF(ABS(M792-L792)&gt;1,MIN(N792/((L792-M792)*24/12.1/1000),D792),D792)</f>
        <v>24.087962962963</v>
      </c>
      <c r="P792" s="5" t="n">
        <f aca="false">MIN(IF(AND(G792,E792),(L792-M792)*24/12.1*O792/1000,0),N792)</f>
        <v>43</v>
      </c>
      <c r="Q792" s="5" t="n">
        <f aca="false">IF(P792&gt;0,P792/O792*12.1/24*1000+M792,0)</f>
        <v>1700</v>
      </c>
      <c r="R792" s="0" t="n">
        <f aca="false">IF(Q792&gt;0,TRUNC(O792),0)</f>
        <v>24</v>
      </c>
      <c r="S792" s="5" t="n">
        <f aca="false">(M792*(D792-R792)+(Q792*R792))/D792</f>
        <v>1571.42857142857</v>
      </c>
      <c r="T792" s="6" t="n">
        <f aca="false">(Q792-M792)*R792*24/12.1/1000</f>
        <v>42.8429752066116</v>
      </c>
    </row>
    <row r="793" customFormat="false" ht="14.35" hidden="false" customHeight="false" outlineLevel="0" collapsed="false">
      <c r="A793" s="4" t="n">
        <v>31867</v>
      </c>
      <c r="B793" s="15" t="n">
        <f aca="false">IF(C793&lt;=9,YEAR(A793),YEAR(A793)+1)</f>
        <v>1987</v>
      </c>
      <c r="C793" s="15" t="n">
        <f aca="false">MONTH(A793)</f>
        <v>3</v>
      </c>
      <c r="D793" s="15" t="n">
        <f aca="false">DAY(A793)</f>
        <v>31</v>
      </c>
      <c r="E793" s="15" t="n">
        <f aca="false">VLOOKUP(B793,WYT!$A$2:$L$97,12)</f>
        <v>1</v>
      </c>
      <c r="F793" s="15" t="n">
        <f aca="false">IF(C793=$W$5,1,0)</f>
        <v>0</v>
      </c>
      <c r="G793" s="15" t="n">
        <f aca="false">IF(C793=10,0,IF(F793=1,1,G792))</f>
        <v>1</v>
      </c>
      <c r="H793" s="5" t="n">
        <f aca="false">VA_base_426_data!B793</f>
        <v>1700</v>
      </c>
      <c r="I793" s="5" t="n">
        <f aca="false">IF(AND(E793=1,OR(C793=4,C793=5)),25*12.1/24/D793*1000,0)</f>
        <v>0</v>
      </c>
      <c r="J793" s="5" t="n">
        <f aca="false">VA_base_426_data!C793</f>
        <v>1700</v>
      </c>
      <c r="K793" s="5" t="n">
        <f aca="false">H793+I793-J793</f>
        <v>0</v>
      </c>
      <c r="L793" s="5" t="n">
        <f aca="false">MIN($W$7,J793+K793)</f>
        <v>1700</v>
      </c>
      <c r="M793" s="5" t="n">
        <f aca="false">VA_base_426_data!D793</f>
        <v>800</v>
      </c>
      <c r="N793" s="5" t="n">
        <f aca="false">IF(AND(C793=10,E793=1),$W$6,N792-P792)</f>
        <v>0</v>
      </c>
      <c r="O793" s="5" t="n">
        <f aca="false">IF(ABS(M793-L793)&gt;1,MIN(N793/((L793-M793)*24/12.1/1000),D793),D793)</f>
        <v>0</v>
      </c>
      <c r="P793" s="5" t="n">
        <f aca="false">MIN(IF(AND(G793,E793),(L793-M793)*24/12.1*O793/1000,0),N793)</f>
        <v>0</v>
      </c>
      <c r="Q793" s="5" t="n">
        <f aca="false">IF(P793&gt;0,P793/O793*12.1/24*1000+M793,0)</f>
        <v>0</v>
      </c>
      <c r="R793" s="0" t="n">
        <f aca="false">IF(Q793&gt;0,TRUNC(O793),0)</f>
        <v>0</v>
      </c>
      <c r="S793" s="5" t="n">
        <f aca="false">(M793*(D793-R793)+(Q793*R793))/D793</f>
        <v>800</v>
      </c>
      <c r="T793" s="6" t="n">
        <f aca="false">(Q793-M793)*R793*24/12.1/1000</f>
        <v>-0</v>
      </c>
    </row>
    <row r="794" customFormat="false" ht="14.35" hidden="false" customHeight="false" outlineLevel="0" collapsed="false">
      <c r="A794" s="4" t="n">
        <v>31897</v>
      </c>
      <c r="B794" s="15" t="n">
        <f aca="false">IF(C794&lt;=9,YEAR(A794),YEAR(A794)+1)</f>
        <v>1987</v>
      </c>
      <c r="C794" s="15" t="n">
        <f aca="false">MONTH(A794)</f>
        <v>4</v>
      </c>
      <c r="D794" s="15" t="n">
        <f aca="false">DAY(A794)</f>
        <v>30</v>
      </c>
      <c r="E794" s="15" t="n">
        <f aca="false">VLOOKUP(B794,WYT!$A$2:$L$97,12)</f>
        <v>1</v>
      </c>
      <c r="F794" s="15" t="n">
        <f aca="false">IF(C794=$W$5,1,0)</f>
        <v>0</v>
      </c>
      <c r="G794" s="15" t="n">
        <f aca="false">IF(C794=10,0,IF(F794=1,1,G793))</f>
        <v>1</v>
      </c>
      <c r="H794" s="5" t="n">
        <f aca="false">VA_base_426_data!B794</f>
        <v>1007.36400107859</v>
      </c>
      <c r="I794" s="5" t="n">
        <f aca="false">IF(AND(E794=1,OR(C794=4,C794=5)),25*12.1/24/D794*1000,0)</f>
        <v>420.138888888889</v>
      </c>
      <c r="J794" s="5" t="n">
        <f aca="false">VA_base_426_data!C794</f>
        <v>1000</v>
      </c>
      <c r="K794" s="5" t="n">
        <f aca="false">H794+I794-J794</f>
        <v>427.50288996748</v>
      </c>
      <c r="L794" s="5" t="n">
        <f aca="false">MIN($W$7,J794+K794)</f>
        <v>1427.50288996748</v>
      </c>
      <c r="M794" s="5" t="n">
        <f aca="false">VA_base_426_data!D794</f>
        <v>700</v>
      </c>
      <c r="N794" s="5" t="n">
        <f aca="false">IF(AND(C794=10,E794=1),$W$6,N793-P793)</f>
        <v>0</v>
      </c>
      <c r="O794" s="5" t="n">
        <f aca="false">IF(ABS(M794-L794)&gt;1,MIN(N794/((L794-M794)*24/12.1/1000),D794),D794)</f>
        <v>0</v>
      </c>
      <c r="P794" s="5" t="n">
        <f aca="false">MIN(IF(AND(G794,E794),(L794-M794)*24/12.1*O794/1000,0),N794)</f>
        <v>0</v>
      </c>
      <c r="Q794" s="5" t="n">
        <f aca="false">IF(P794&gt;0,P794/O794*12.1/24*1000+M794,0)</f>
        <v>0</v>
      </c>
      <c r="R794" s="0" t="n">
        <f aca="false">IF(Q794&gt;0,TRUNC(O794),0)</f>
        <v>0</v>
      </c>
      <c r="S794" s="5" t="n">
        <f aca="false">(M794*(D794-R794)+(Q794*R794))/D794</f>
        <v>700</v>
      </c>
      <c r="T794" s="6" t="n">
        <f aca="false">(Q794-M794)*R794*24/12.1/1000</f>
        <v>-0</v>
      </c>
    </row>
    <row r="795" customFormat="false" ht="14.35" hidden="false" customHeight="false" outlineLevel="0" collapsed="false">
      <c r="A795" s="4" t="n">
        <v>31928</v>
      </c>
      <c r="B795" s="15" t="n">
        <f aca="false">IF(C795&lt;=9,YEAR(A795),YEAR(A795)+1)</f>
        <v>1987</v>
      </c>
      <c r="C795" s="15" t="n">
        <f aca="false">MONTH(A795)</f>
        <v>5</v>
      </c>
      <c r="D795" s="15" t="n">
        <f aca="false">DAY(A795)</f>
        <v>31</v>
      </c>
      <c r="E795" s="15" t="n">
        <f aca="false">VLOOKUP(B795,WYT!$A$2:$L$97,12)</f>
        <v>1</v>
      </c>
      <c r="F795" s="15" t="n">
        <f aca="false">IF(C795=$W$5,1,0)</f>
        <v>0</v>
      </c>
      <c r="G795" s="15" t="n">
        <f aca="false">IF(C795=10,0,IF(F795=1,1,G794))</f>
        <v>1</v>
      </c>
      <c r="H795" s="5" t="n">
        <f aca="false">VA_base_426_data!B795</f>
        <v>2062.76044628969</v>
      </c>
      <c r="I795" s="5" t="n">
        <f aca="false">IF(AND(E795=1,OR(C795=4,C795=5)),25*12.1/24/D795*1000,0)</f>
        <v>406.586021505376</v>
      </c>
      <c r="J795" s="5" t="n">
        <f aca="false">VA_base_426_data!C795</f>
        <v>1000</v>
      </c>
      <c r="K795" s="5" t="n">
        <f aca="false">H795+I795-J795</f>
        <v>1469.34646779507</v>
      </c>
      <c r="L795" s="5" t="n">
        <f aca="false">MIN($W$7,J795+K795)</f>
        <v>2000</v>
      </c>
      <c r="M795" s="5" t="n">
        <f aca="false">VA_base_426_data!D795</f>
        <v>700</v>
      </c>
      <c r="N795" s="5" t="n">
        <f aca="false">IF(AND(C795=10,E795=1),$W$6,N794-P794)</f>
        <v>0</v>
      </c>
      <c r="O795" s="5" t="n">
        <f aca="false">IF(ABS(M795-L795)&gt;1,MIN(N795/((L795-M795)*24/12.1/1000),D795),D795)</f>
        <v>0</v>
      </c>
      <c r="P795" s="5" t="n">
        <f aca="false">MIN(IF(AND(G795,E795),(L795-M795)*24/12.1*O795/1000,0),N795)</f>
        <v>0</v>
      </c>
      <c r="Q795" s="5" t="n">
        <f aca="false">IF(P795&gt;0,P795/O795*12.1/24*1000+M795,0)</f>
        <v>0</v>
      </c>
      <c r="R795" s="0" t="n">
        <f aca="false">IF(Q795&gt;0,TRUNC(O795),0)</f>
        <v>0</v>
      </c>
      <c r="S795" s="5" t="n">
        <f aca="false">(M795*(D795-R795)+(Q795*R795))/D795</f>
        <v>700</v>
      </c>
      <c r="T795" s="6" t="n">
        <f aca="false">(Q795-M795)*R795*24/12.1/1000</f>
        <v>-0</v>
      </c>
    </row>
    <row r="796" customFormat="false" ht="14.35" hidden="false" customHeight="false" outlineLevel="0" collapsed="false">
      <c r="A796" s="4" t="n">
        <v>31958</v>
      </c>
      <c r="B796" s="15" t="n">
        <f aca="false">IF(C796&lt;=9,YEAR(A796),YEAR(A796)+1)</f>
        <v>1987</v>
      </c>
      <c r="C796" s="15" t="n">
        <f aca="false">MONTH(A796)</f>
        <v>6</v>
      </c>
      <c r="D796" s="15" t="n">
        <f aca="false">DAY(A796)</f>
        <v>30</v>
      </c>
      <c r="E796" s="15" t="n">
        <f aca="false">VLOOKUP(B796,WYT!$A$2:$L$97,12)</f>
        <v>1</v>
      </c>
      <c r="F796" s="15" t="n">
        <f aca="false">IF(C796=$W$5,1,0)</f>
        <v>0</v>
      </c>
      <c r="G796" s="15" t="n">
        <f aca="false">IF(C796=10,0,IF(F796=1,1,G795))</f>
        <v>1</v>
      </c>
      <c r="H796" s="5" t="n">
        <f aca="false">VA_base_426_data!B796</f>
        <v>3326.6042881311</v>
      </c>
      <c r="I796" s="5" t="n">
        <f aca="false">IF(AND(E796=1,OR(C796=4,C796=5)),25*12.1/24/D796*1000,0)</f>
        <v>0</v>
      </c>
      <c r="J796" s="5" t="n">
        <f aca="false">VA_base_426_data!C796</f>
        <v>1000</v>
      </c>
      <c r="K796" s="5" t="n">
        <f aca="false">H796+I796-J796</f>
        <v>2326.6042881311</v>
      </c>
      <c r="L796" s="5" t="n">
        <f aca="false">MIN($W$7,J796+K796)</f>
        <v>2000</v>
      </c>
      <c r="M796" s="5" t="n">
        <f aca="false">VA_base_426_data!D796</f>
        <v>700</v>
      </c>
      <c r="N796" s="5" t="n">
        <f aca="false">IF(AND(C796=10,E796=1),$W$6,N795-P795)</f>
        <v>0</v>
      </c>
      <c r="O796" s="5" t="n">
        <f aca="false">IF(ABS(M796-L796)&gt;1,MIN(N796/((L796-M796)*24/12.1/1000),D796),D796)</f>
        <v>0</v>
      </c>
      <c r="P796" s="5" t="n">
        <f aca="false">MIN(IF(AND(G796,E796),(L796-M796)*24/12.1*O796/1000,0),N796)</f>
        <v>0</v>
      </c>
      <c r="Q796" s="5" t="n">
        <f aca="false">IF(P796&gt;0,P796/O796*12.1/24*1000+M796,0)</f>
        <v>0</v>
      </c>
      <c r="R796" s="0" t="n">
        <f aca="false">IF(Q796&gt;0,TRUNC(O796),0)</f>
        <v>0</v>
      </c>
      <c r="S796" s="5" t="n">
        <f aca="false">(M796*(D796-R796)+(Q796*R796))/D796</f>
        <v>700</v>
      </c>
      <c r="T796" s="6" t="n">
        <f aca="false">(Q796-M796)*R796*24/12.1/1000</f>
        <v>-0</v>
      </c>
    </row>
    <row r="797" customFormat="false" ht="14.35" hidden="false" customHeight="false" outlineLevel="0" collapsed="false">
      <c r="A797" s="4" t="n">
        <v>31989</v>
      </c>
      <c r="B797" s="15" t="n">
        <f aca="false">IF(C797&lt;=9,YEAR(A797),YEAR(A797)+1)</f>
        <v>1987</v>
      </c>
      <c r="C797" s="15" t="n">
        <f aca="false">MONTH(A797)</f>
        <v>7</v>
      </c>
      <c r="D797" s="15" t="n">
        <f aca="false">DAY(A797)</f>
        <v>31</v>
      </c>
      <c r="E797" s="15" t="n">
        <f aca="false">VLOOKUP(B797,WYT!$A$2:$L$97,12)</f>
        <v>1</v>
      </c>
      <c r="F797" s="15" t="n">
        <f aca="false">IF(C797=$W$5,1,0)</f>
        <v>0</v>
      </c>
      <c r="G797" s="15" t="n">
        <f aca="false">IF(C797=10,0,IF(F797=1,1,G796))</f>
        <v>1</v>
      </c>
      <c r="H797" s="5" t="n">
        <f aca="false">VA_base_426_data!B797</f>
        <v>2539.76010294564</v>
      </c>
      <c r="I797" s="5" t="n">
        <f aca="false">IF(AND(E797=1,OR(C797=4,C797=5)),25*12.1/24/D797*1000,0)</f>
        <v>0</v>
      </c>
      <c r="J797" s="5" t="n">
        <f aca="false">VA_base_426_data!C797</f>
        <v>1000</v>
      </c>
      <c r="K797" s="5" t="n">
        <f aca="false">H797+I797-J797</f>
        <v>1539.76010294564</v>
      </c>
      <c r="L797" s="5" t="n">
        <f aca="false">MIN($W$7,J797+K797)</f>
        <v>2000</v>
      </c>
      <c r="M797" s="5" t="n">
        <f aca="false">VA_base_426_data!D797</f>
        <v>700</v>
      </c>
      <c r="N797" s="5" t="n">
        <f aca="false">IF(AND(C797=10,E797=1),$W$6,N796-P796)</f>
        <v>0</v>
      </c>
      <c r="O797" s="5" t="n">
        <f aca="false">IF(ABS(M797-L797)&gt;1,MIN(N797/((L797-M797)*24/12.1/1000),D797),D797)</f>
        <v>0</v>
      </c>
      <c r="P797" s="5" t="n">
        <f aca="false">MIN(IF(AND(G797,E797),(L797-M797)*24/12.1*O797/1000,0),N797)</f>
        <v>0</v>
      </c>
      <c r="Q797" s="5" t="n">
        <f aca="false">IF(P797&gt;0,P797/O797*12.1/24*1000+M797,0)</f>
        <v>0</v>
      </c>
      <c r="R797" s="0" t="n">
        <f aca="false">IF(Q797&gt;0,TRUNC(O797),0)</f>
        <v>0</v>
      </c>
      <c r="S797" s="5" t="n">
        <f aca="false">(M797*(D797-R797)+(Q797*R797))/D797</f>
        <v>700</v>
      </c>
      <c r="T797" s="6" t="n">
        <f aca="false">(Q797-M797)*R797*24/12.1/1000</f>
        <v>-0</v>
      </c>
    </row>
    <row r="798" customFormat="false" ht="14.35" hidden="false" customHeight="false" outlineLevel="0" collapsed="false">
      <c r="A798" s="4" t="n">
        <v>32020</v>
      </c>
      <c r="B798" s="15" t="n">
        <f aca="false">IF(C798&lt;=9,YEAR(A798),YEAR(A798)+1)</f>
        <v>1987</v>
      </c>
      <c r="C798" s="15" t="n">
        <f aca="false">MONTH(A798)</f>
        <v>8</v>
      </c>
      <c r="D798" s="15" t="n">
        <f aca="false">DAY(A798)</f>
        <v>31</v>
      </c>
      <c r="E798" s="15" t="n">
        <f aca="false">VLOOKUP(B798,WYT!$A$2:$L$97,12)</f>
        <v>1</v>
      </c>
      <c r="F798" s="15" t="n">
        <f aca="false">IF(C798=$W$5,1,0)</f>
        <v>0</v>
      </c>
      <c r="G798" s="15" t="n">
        <f aca="false">IF(C798=10,0,IF(F798=1,1,G797))</f>
        <v>1</v>
      </c>
      <c r="H798" s="5" t="n">
        <f aca="false">VA_base_426_data!B798</f>
        <v>1237.85588946828</v>
      </c>
      <c r="I798" s="5" t="n">
        <f aca="false">IF(AND(E798=1,OR(C798=4,C798=5)),25*12.1/24/D798*1000,0)</f>
        <v>0</v>
      </c>
      <c r="J798" s="5" t="n">
        <f aca="false">VA_base_426_data!C798</f>
        <v>1000</v>
      </c>
      <c r="K798" s="5" t="n">
        <f aca="false">H798+I798-J798</f>
        <v>237.855889468278</v>
      </c>
      <c r="L798" s="5" t="n">
        <f aca="false">MIN($W$7,J798+K798)</f>
        <v>1237.85588946828</v>
      </c>
      <c r="M798" s="5" t="n">
        <f aca="false">VA_base_426_data!D798</f>
        <v>700</v>
      </c>
      <c r="N798" s="5" t="n">
        <f aca="false">IF(AND(C798=10,E798=1),$W$6,N797-P797)</f>
        <v>0</v>
      </c>
      <c r="O798" s="5" t="n">
        <f aca="false">IF(ABS(M798-L798)&gt;1,MIN(N798/((L798-M798)*24/12.1/1000),D798),D798)</f>
        <v>0</v>
      </c>
      <c r="P798" s="5" t="n">
        <f aca="false">MIN(IF(AND(G798,E798),(L798-M798)*24/12.1*O798/1000,0),N798)</f>
        <v>0</v>
      </c>
      <c r="Q798" s="5" t="n">
        <f aca="false">IF(P798&gt;0,P798/O798*12.1/24*1000+M798,0)</f>
        <v>0</v>
      </c>
      <c r="R798" s="0" t="n">
        <f aca="false">IF(Q798&gt;0,TRUNC(O798),0)</f>
        <v>0</v>
      </c>
      <c r="S798" s="5" t="n">
        <f aca="false">(M798*(D798-R798)+(Q798*R798))/D798</f>
        <v>700</v>
      </c>
      <c r="T798" s="6" t="n">
        <f aca="false">(Q798-M798)*R798*24/12.1/1000</f>
        <v>-0</v>
      </c>
    </row>
    <row r="799" customFormat="false" ht="14.35" hidden="false" customHeight="false" outlineLevel="0" collapsed="false">
      <c r="A799" s="4" t="n">
        <v>32050</v>
      </c>
      <c r="B799" s="15" t="n">
        <f aca="false">IF(C799&lt;=9,YEAR(A799),YEAR(A799)+1)</f>
        <v>1987</v>
      </c>
      <c r="C799" s="15" t="n">
        <f aca="false">MONTH(A799)</f>
        <v>9</v>
      </c>
      <c r="D799" s="15" t="n">
        <f aca="false">DAY(A799)</f>
        <v>30</v>
      </c>
      <c r="E799" s="15" t="n">
        <f aca="false">VLOOKUP(B799,WYT!$A$2:$L$97,12)</f>
        <v>1</v>
      </c>
      <c r="F799" s="15" t="n">
        <f aca="false">IF(C799=$W$5,1,0)</f>
        <v>0</v>
      </c>
      <c r="G799" s="15" t="n">
        <f aca="false">IF(C799=10,0,IF(F799=1,1,G798))</f>
        <v>1</v>
      </c>
      <c r="H799" s="5" t="n">
        <f aca="false">VA_base_426_data!B799</f>
        <v>1224.56313216294</v>
      </c>
      <c r="I799" s="5" t="n">
        <f aca="false">IF(AND(E799=1,OR(C799=4,C799=5)),25*12.1/24/D799*1000,0)</f>
        <v>0</v>
      </c>
      <c r="J799" s="5" t="n">
        <f aca="false">VA_base_426_data!C799</f>
        <v>1000</v>
      </c>
      <c r="K799" s="5" t="n">
        <f aca="false">H799+I799-J799</f>
        <v>224.563132162942</v>
      </c>
      <c r="L799" s="5" t="n">
        <f aca="false">MIN($W$7,J799+K799)</f>
        <v>1224.56313216294</v>
      </c>
      <c r="M799" s="5" t="n">
        <f aca="false">VA_base_426_data!D799</f>
        <v>773.3333333</v>
      </c>
      <c r="N799" s="5" t="n">
        <f aca="false">IF(AND(C799=10,E799=1),$W$6,N798-P798)</f>
        <v>0</v>
      </c>
      <c r="O799" s="5" t="n">
        <f aca="false">IF(ABS(M799-L799)&gt;1,MIN(N799/((L799-M799)*24/12.1/1000),D799),D799)</f>
        <v>0</v>
      </c>
      <c r="P799" s="5" t="n">
        <f aca="false">MIN(IF(AND(G799,E799),(L799-M799)*24/12.1*O799/1000,0),N799)</f>
        <v>0</v>
      </c>
      <c r="Q799" s="5" t="n">
        <f aca="false">IF(P799&gt;0,P799/O799*12.1/24*1000+M799,0)</f>
        <v>0</v>
      </c>
      <c r="R799" s="0" t="n">
        <f aca="false">IF(Q799&gt;0,TRUNC(O799),0)</f>
        <v>0</v>
      </c>
      <c r="S799" s="5" t="n">
        <f aca="false">(M799*(D799-R799)+(Q799*R799))/D799</f>
        <v>773.3333333</v>
      </c>
      <c r="T799" s="6" t="n">
        <f aca="false">(Q799-M799)*R799*24/12.1/1000</f>
        <v>-0</v>
      </c>
    </row>
    <row r="800" customFormat="false" ht="14.35" hidden="false" customHeight="false" outlineLevel="0" collapsed="false">
      <c r="A800" s="4" t="n">
        <v>32081</v>
      </c>
      <c r="B800" s="15" t="n">
        <f aca="false">IF(C800&lt;=9,YEAR(A800),YEAR(A800)+1)</f>
        <v>1988</v>
      </c>
      <c r="C800" s="15" t="n">
        <f aca="false">MONTH(A800)</f>
        <v>10</v>
      </c>
      <c r="D800" s="15" t="n">
        <f aca="false">DAY(A800)</f>
        <v>31</v>
      </c>
      <c r="E800" s="15" t="n">
        <f aca="false">VLOOKUP(B800,WYT!$A$2:$L$97,12)</f>
        <v>0</v>
      </c>
      <c r="F800" s="15" t="n">
        <f aca="false">IF(C800=$W$5,1,0)</f>
        <v>0</v>
      </c>
      <c r="G800" s="15" t="n">
        <f aca="false">IF(C800=10,0,IF(F800=1,1,G799))</f>
        <v>0</v>
      </c>
      <c r="H800" s="5" t="n">
        <f aca="false">VA_base_426_data!B800</f>
        <v>1200</v>
      </c>
      <c r="I800" s="5" t="n">
        <f aca="false">IF(AND(E800=1,OR(C800=4,C800=5)),25*12.1/24/D800*1000,0)</f>
        <v>0</v>
      </c>
      <c r="J800" s="5" t="n">
        <f aca="false">VA_base_426_data!C800</f>
        <v>1200</v>
      </c>
      <c r="K800" s="5" t="n">
        <f aca="false">H800+I800-J800</f>
        <v>0</v>
      </c>
      <c r="L800" s="5" t="n">
        <f aca="false">MIN($W$7,J800+K800)</f>
        <v>1200</v>
      </c>
      <c r="M800" s="5" t="n">
        <f aca="false">VA_base_426_data!D800</f>
        <v>800</v>
      </c>
      <c r="N800" s="5" t="n">
        <f aca="false">IF(AND(C800=10,E800=1),$W$6,N799-P799)</f>
        <v>0</v>
      </c>
      <c r="O800" s="5" t="n">
        <f aca="false">IF(ABS(M800-L800)&gt;1,MIN(N800/((L800-M800)*24/12.1/1000),D800),D800)</f>
        <v>0</v>
      </c>
      <c r="P800" s="5" t="n">
        <f aca="false">MIN(IF(AND(G800,E800),(L800-M800)*24/12.1*O800/1000,0),N800)</f>
        <v>0</v>
      </c>
      <c r="Q800" s="5" t="n">
        <f aca="false">IF(P800&gt;0,P800/O800*12.1/24*1000+M800,0)</f>
        <v>0</v>
      </c>
      <c r="R800" s="0" t="n">
        <f aca="false">IF(Q800&gt;0,TRUNC(O800),0)</f>
        <v>0</v>
      </c>
      <c r="S800" s="5" t="n">
        <f aca="false">(M800*(D800-R800)+(Q800*R800))/D800</f>
        <v>800</v>
      </c>
      <c r="T800" s="6" t="n">
        <f aca="false">(Q800-M800)*R800*24/12.1/1000</f>
        <v>-0</v>
      </c>
    </row>
    <row r="801" customFormat="false" ht="14.35" hidden="false" customHeight="false" outlineLevel="0" collapsed="false">
      <c r="A801" s="4" t="n">
        <v>32111</v>
      </c>
      <c r="B801" s="15" t="n">
        <f aca="false">IF(C801&lt;=9,YEAR(A801),YEAR(A801)+1)</f>
        <v>1988</v>
      </c>
      <c r="C801" s="15" t="n">
        <f aca="false">MONTH(A801)</f>
        <v>11</v>
      </c>
      <c r="D801" s="15" t="n">
        <f aca="false">DAY(A801)</f>
        <v>30</v>
      </c>
      <c r="E801" s="15" t="n">
        <f aca="false">VLOOKUP(B801,WYT!$A$2:$L$97,12)</f>
        <v>0</v>
      </c>
      <c r="F801" s="15" t="n">
        <f aca="false">IF(C801=$W$5,1,0)</f>
        <v>0</v>
      </c>
      <c r="G801" s="15" t="n">
        <f aca="false">IF(C801=10,0,IF(F801=1,1,G800))</f>
        <v>0</v>
      </c>
      <c r="H801" s="5" t="n">
        <f aca="false">VA_base_426_data!B801</f>
        <v>1200</v>
      </c>
      <c r="I801" s="5" t="n">
        <f aca="false">IF(AND(E801=1,OR(C801=4,C801=5)),25*12.1/24/D801*1000,0)</f>
        <v>0</v>
      </c>
      <c r="J801" s="5" t="n">
        <f aca="false">VA_base_426_data!C801</f>
        <v>1200</v>
      </c>
      <c r="K801" s="5" t="n">
        <f aca="false">H801+I801-J801</f>
        <v>0</v>
      </c>
      <c r="L801" s="5" t="n">
        <f aca="false">MIN($W$7,J801+K801)</f>
        <v>1200</v>
      </c>
      <c r="M801" s="5" t="n">
        <f aca="false">VA_base_426_data!D801</f>
        <v>800</v>
      </c>
      <c r="N801" s="5" t="n">
        <f aca="false">IF(AND(C801=10,E801=1),$W$6,N800-P800)</f>
        <v>0</v>
      </c>
      <c r="O801" s="5" t="n">
        <f aca="false">IF(ABS(M801-L801)&gt;1,MIN(N801/((L801-M801)*24/12.1/1000),D801),D801)</f>
        <v>0</v>
      </c>
      <c r="P801" s="5" t="n">
        <f aca="false">MIN(IF(AND(G801,E801),(L801-M801)*24/12.1*O801/1000,0),N801)</f>
        <v>0</v>
      </c>
      <c r="Q801" s="5" t="n">
        <f aca="false">IF(P801&gt;0,P801/O801*12.1/24*1000+M801,0)</f>
        <v>0</v>
      </c>
      <c r="R801" s="0" t="n">
        <f aca="false">IF(Q801&gt;0,TRUNC(O801),0)</f>
        <v>0</v>
      </c>
      <c r="S801" s="5" t="n">
        <f aca="false">(M801*(D801-R801)+(Q801*R801))/D801</f>
        <v>800</v>
      </c>
      <c r="T801" s="6" t="n">
        <f aca="false">(Q801-M801)*R801*24/12.1/1000</f>
        <v>-0</v>
      </c>
    </row>
    <row r="802" customFormat="false" ht="14.35" hidden="false" customHeight="false" outlineLevel="0" collapsed="false">
      <c r="A802" s="4" t="n">
        <v>32142</v>
      </c>
      <c r="B802" s="15" t="n">
        <f aca="false">IF(C802&lt;=9,YEAR(A802),YEAR(A802)+1)</f>
        <v>1988</v>
      </c>
      <c r="C802" s="15" t="n">
        <f aca="false">MONTH(A802)</f>
        <v>12</v>
      </c>
      <c r="D802" s="15" t="n">
        <f aca="false">DAY(A802)</f>
        <v>31</v>
      </c>
      <c r="E802" s="15" t="n">
        <f aca="false">VLOOKUP(B802,WYT!$A$2:$L$97,12)</f>
        <v>0</v>
      </c>
      <c r="F802" s="15" t="n">
        <f aca="false">IF(C802=$W$5,1,0)</f>
        <v>0</v>
      </c>
      <c r="G802" s="15" t="n">
        <f aca="false">IF(C802=10,0,IF(F802=1,1,G801))</f>
        <v>0</v>
      </c>
      <c r="H802" s="5" t="n">
        <f aca="false">VA_base_426_data!B802</f>
        <v>1200</v>
      </c>
      <c r="I802" s="5" t="n">
        <f aca="false">IF(AND(E802=1,OR(C802=4,C802=5)),25*12.1/24/D802*1000,0)</f>
        <v>0</v>
      </c>
      <c r="J802" s="5" t="n">
        <f aca="false">VA_base_426_data!C802</f>
        <v>1200</v>
      </c>
      <c r="K802" s="5" t="n">
        <f aca="false">H802+I802-J802</f>
        <v>0</v>
      </c>
      <c r="L802" s="5" t="n">
        <f aca="false">MIN($W$7,J802+K802)</f>
        <v>1200</v>
      </c>
      <c r="M802" s="5" t="n">
        <f aca="false">VA_base_426_data!D802</f>
        <v>800</v>
      </c>
      <c r="N802" s="5" t="n">
        <f aca="false">IF(AND(C802=10,E802=1),$W$6,N801-P801)</f>
        <v>0</v>
      </c>
      <c r="O802" s="5" t="n">
        <f aca="false">IF(ABS(M802-L802)&gt;1,MIN(N802/((L802-M802)*24/12.1/1000),D802),D802)</f>
        <v>0</v>
      </c>
      <c r="P802" s="5" t="n">
        <f aca="false">MIN(IF(AND(G802,E802),(L802-M802)*24/12.1*O802/1000,0),N802)</f>
        <v>0</v>
      </c>
      <c r="Q802" s="5" t="n">
        <f aca="false">IF(P802&gt;0,P802/O802*12.1/24*1000+M802,0)</f>
        <v>0</v>
      </c>
      <c r="R802" s="0" t="n">
        <f aca="false">IF(Q802&gt;0,TRUNC(O802),0)</f>
        <v>0</v>
      </c>
      <c r="S802" s="5" t="n">
        <f aca="false">(M802*(D802-R802)+(Q802*R802))/D802</f>
        <v>800</v>
      </c>
      <c r="T802" s="6" t="n">
        <f aca="false">(Q802-M802)*R802*24/12.1/1000</f>
        <v>-0</v>
      </c>
    </row>
    <row r="803" customFormat="false" ht="14.35" hidden="false" customHeight="false" outlineLevel="0" collapsed="false">
      <c r="A803" s="4" t="n">
        <v>32173</v>
      </c>
      <c r="B803" s="15" t="n">
        <f aca="false">IF(C803&lt;=9,YEAR(A803),YEAR(A803)+1)</f>
        <v>1988</v>
      </c>
      <c r="C803" s="15" t="n">
        <f aca="false">MONTH(A803)</f>
        <v>1</v>
      </c>
      <c r="D803" s="15" t="n">
        <f aca="false">DAY(A803)</f>
        <v>31</v>
      </c>
      <c r="E803" s="15" t="n">
        <f aca="false">VLOOKUP(B803,WYT!$A$2:$L$97,12)</f>
        <v>0</v>
      </c>
      <c r="F803" s="15" t="n">
        <f aca="false">IF(C803=$W$5,1,0)</f>
        <v>0</v>
      </c>
      <c r="G803" s="15" t="n">
        <f aca="false">IF(C803=10,0,IF(F803=1,1,G802))</f>
        <v>0</v>
      </c>
      <c r="H803" s="5" t="n">
        <f aca="false">VA_base_426_data!B803</f>
        <v>1200</v>
      </c>
      <c r="I803" s="5" t="n">
        <f aca="false">IF(AND(E803=1,OR(C803=4,C803=5)),25*12.1/24/D803*1000,0)</f>
        <v>0</v>
      </c>
      <c r="J803" s="5" t="n">
        <f aca="false">VA_base_426_data!C803</f>
        <v>1200</v>
      </c>
      <c r="K803" s="5" t="n">
        <f aca="false">H803+I803-J803</f>
        <v>0</v>
      </c>
      <c r="L803" s="5" t="n">
        <f aca="false">MIN($W$7,J803+K803)</f>
        <v>1200</v>
      </c>
      <c r="M803" s="5" t="n">
        <f aca="false">VA_base_426_data!D803</f>
        <v>800</v>
      </c>
      <c r="N803" s="5" t="n">
        <f aca="false">IF(AND(C803=10,E803=1),$W$6,N802-P802)</f>
        <v>0</v>
      </c>
      <c r="O803" s="5" t="n">
        <f aca="false">IF(ABS(M803-L803)&gt;1,MIN(N803/((L803-M803)*24/12.1/1000),D803),D803)</f>
        <v>0</v>
      </c>
      <c r="P803" s="5" t="n">
        <f aca="false">MIN(IF(AND(G803,E803),(L803-M803)*24/12.1*O803/1000,0),N803)</f>
        <v>0</v>
      </c>
      <c r="Q803" s="5" t="n">
        <f aca="false">IF(P803&gt;0,P803/O803*12.1/24*1000+M803,0)</f>
        <v>0</v>
      </c>
      <c r="R803" s="0" t="n">
        <f aca="false">IF(Q803&gt;0,TRUNC(O803),0)</f>
        <v>0</v>
      </c>
      <c r="S803" s="5" t="n">
        <f aca="false">(M803*(D803-R803)+(Q803*R803))/D803</f>
        <v>800</v>
      </c>
      <c r="T803" s="6" t="n">
        <f aca="false">(Q803-M803)*R803*24/12.1/1000</f>
        <v>-0</v>
      </c>
    </row>
    <row r="804" customFormat="false" ht="14.35" hidden="false" customHeight="false" outlineLevel="0" collapsed="false">
      <c r="A804" s="4" t="n">
        <v>32202</v>
      </c>
      <c r="B804" s="15" t="n">
        <f aca="false">IF(C804&lt;=9,YEAR(A804),YEAR(A804)+1)</f>
        <v>1988</v>
      </c>
      <c r="C804" s="15" t="n">
        <f aca="false">MONTH(A804)</f>
        <v>2</v>
      </c>
      <c r="D804" s="15" t="n">
        <f aca="false">DAY(A804)</f>
        <v>29</v>
      </c>
      <c r="E804" s="15" t="n">
        <f aca="false">VLOOKUP(B804,WYT!$A$2:$L$97,12)</f>
        <v>0</v>
      </c>
      <c r="F804" s="15" t="n">
        <f aca="false">IF(C804=$W$5,1,0)</f>
        <v>1</v>
      </c>
      <c r="G804" s="15" t="n">
        <f aca="false">IF(C804=10,0,IF(F804=1,1,G803))</f>
        <v>1</v>
      </c>
      <c r="H804" s="5" t="n">
        <f aca="false">VA_base_426_data!B804</f>
        <v>1200</v>
      </c>
      <c r="I804" s="5" t="n">
        <f aca="false">IF(AND(E804=1,OR(C804=4,C804=5)),25*12.1/24/D804*1000,0)</f>
        <v>0</v>
      </c>
      <c r="J804" s="5" t="n">
        <f aca="false">VA_base_426_data!C804</f>
        <v>1200</v>
      </c>
      <c r="K804" s="5" t="n">
        <f aca="false">H804+I804-J804</f>
        <v>0</v>
      </c>
      <c r="L804" s="5" t="n">
        <f aca="false">MIN($W$7,J804+K804)</f>
        <v>1200</v>
      </c>
      <c r="M804" s="5" t="n">
        <f aca="false">VA_base_426_data!D804</f>
        <v>800</v>
      </c>
      <c r="N804" s="5" t="n">
        <f aca="false">IF(AND(C804=10,E804=1),$W$6,N803-P803)</f>
        <v>0</v>
      </c>
      <c r="O804" s="5" t="n">
        <f aca="false">IF(ABS(M804-L804)&gt;1,MIN(N804/((L804-M804)*24/12.1/1000),D804),D804)</f>
        <v>0</v>
      </c>
      <c r="P804" s="5" t="n">
        <f aca="false">MIN(IF(AND(G804,E804),(L804-M804)*24/12.1*O804/1000,0),N804)</f>
        <v>0</v>
      </c>
      <c r="Q804" s="5" t="n">
        <f aca="false">IF(P804&gt;0,P804/O804*12.1/24*1000+M804,0)</f>
        <v>0</v>
      </c>
      <c r="R804" s="0" t="n">
        <f aca="false">IF(Q804&gt;0,TRUNC(O804),0)</f>
        <v>0</v>
      </c>
      <c r="S804" s="5" t="n">
        <f aca="false">(M804*(D804-R804)+(Q804*R804))/D804</f>
        <v>800</v>
      </c>
      <c r="T804" s="6" t="n">
        <f aca="false">(Q804-M804)*R804*24/12.1/1000</f>
        <v>-0</v>
      </c>
    </row>
    <row r="805" customFormat="false" ht="14.35" hidden="false" customHeight="false" outlineLevel="0" collapsed="false">
      <c r="A805" s="4" t="n">
        <v>32233</v>
      </c>
      <c r="B805" s="15" t="n">
        <f aca="false">IF(C805&lt;=9,YEAR(A805),YEAR(A805)+1)</f>
        <v>1988</v>
      </c>
      <c r="C805" s="15" t="n">
        <f aca="false">MONTH(A805)</f>
        <v>3</v>
      </c>
      <c r="D805" s="15" t="n">
        <f aca="false">DAY(A805)</f>
        <v>31</v>
      </c>
      <c r="E805" s="15" t="n">
        <f aca="false">VLOOKUP(B805,WYT!$A$2:$L$97,12)</f>
        <v>0</v>
      </c>
      <c r="F805" s="15" t="n">
        <f aca="false">IF(C805=$W$5,1,0)</f>
        <v>0</v>
      </c>
      <c r="G805" s="15" t="n">
        <f aca="false">IF(C805=10,0,IF(F805=1,1,G804))</f>
        <v>1</v>
      </c>
      <c r="H805" s="5" t="n">
        <f aca="false">VA_base_426_data!B805</f>
        <v>1446.2770795421</v>
      </c>
      <c r="I805" s="5" t="n">
        <f aca="false">IF(AND(E805=1,OR(C805=4,C805=5)),25*12.1/24/D805*1000,0)</f>
        <v>0</v>
      </c>
      <c r="J805" s="5" t="n">
        <f aca="false">VA_base_426_data!C805</f>
        <v>1000</v>
      </c>
      <c r="K805" s="5" t="n">
        <f aca="false">H805+I805-J805</f>
        <v>446.277079542097</v>
      </c>
      <c r="L805" s="5" t="n">
        <f aca="false">MIN($W$7,J805+K805)</f>
        <v>1446.2770795421</v>
      </c>
      <c r="M805" s="5" t="n">
        <f aca="false">VA_base_426_data!D805</f>
        <v>800</v>
      </c>
      <c r="N805" s="5" t="n">
        <f aca="false">IF(AND(C805=10,E805=1),$W$6,N804-P804)</f>
        <v>0</v>
      </c>
      <c r="O805" s="5" t="n">
        <f aca="false">IF(ABS(M805-L805)&gt;1,MIN(N805/((L805-M805)*24/12.1/1000),D805),D805)</f>
        <v>0</v>
      </c>
      <c r="P805" s="5" t="n">
        <f aca="false">MIN(IF(AND(G805,E805),(L805-M805)*24/12.1*O805/1000,0),N805)</f>
        <v>0</v>
      </c>
      <c r="Q805" s="5" t="n">
        <f aca="false">IF(P805&gt;0,P805/O805*12.1/24*1000+M805,0)</f>
        <v>0</v>
      </c>
      <c r="R805" s="0" t="n">
        <f aca="false">IF(Q805&gt;0,TRUNC(O805),0)</f>
        <v>0</v>
      </c>
      <c r="S805" s="5" t="n">
        <f aca="false">(M805*(D805-R805)+(Q805*R805))/D805</f>
        <v>800</v>
      </c>
      <c r="T805" s="6" t="n">
        <f aca="false">(Q805-M805)*R805*24/12.1/1000</f>
        <v>-0</v>
      </c>
    </row>
    <row r="806" customFormat="false" ht="14.35" hidden="false" customHeight="false" outlineLevel="0" collapsed="false">
      <c r="A806" s="4" t="n">
        <v>32263</v>
      </c>
      <c r="B806" s="15" t="n">
        <f aca="false">IF(C806&lt;=9,YEAR(A806),YEAR(A806)+1)</f>
        <v>1988</v>
      </c>
      <c r="C806" s="15" t="n">
        <f aca="false">MONTH(A806)</f>
        <v>4</v>
      </c>
      <c r="D806" s="15" t="n">
        <f aca="false">DAY(A806)</f>
        <v>30</v>
      </c>
      <c r="E806" s="15" t="n">
        <f aca="false">VLOOKUP(B806,WYT!$A$2:$L$97,12)</f>
        <v>0</v>
      </c>
      <c r="F806" s="15" t="n">
        <f aca="false">IF(C806=$W$5,1,0)</f>
        <v>0</v>
      </c>
      <c r="G806" s="15" t="n">
        <f aca="false">IF(C806=10,0,IF(F806=1,1,G805))</f>
        <v>1</v>
      </c>
      <c r="H806" s="5" t="n">
        <f aca="false">VA_base_426_data!B806</f>
        <v>750</v>
      </c>
      <c r="I806" s="5" t="n">
        <f aca="false">IF(AND(E806=1,OR(C806=4,C806=5)),25*12.1/24/D806*1000,0)</f>
        <v>0</v>
      </c>
      <c r="J806" s="5" t="n">
        <f aca="false">VA_base_426_data!C806</f>
        <v>750</v>
      </c>
      <c r="K806" s="5" t="n">
        <f aca="false">H806+I806-J806</f>
        <v>0</v>
      </c>
      <c r="L806" s="5" t="n">
        <f aca="false">MIN($W$7,J806+K806)</f>
        <v>750</v>
      </c>
      <c r="M806" s="5" t="n">
        <f aca="false">VA_base_426_data!D806</f>
        <v>700</v>
      </c>
      <c r="N806" s="5" t="n">
        <f aca="false">IF(AND(C806=10,E806=1),$W$6,N805-P805)</f>
        <v>0</v>
      </c>
      <c r="O806" s="5" t="n">
        <f aca="false">IF(ABS(M806-L806)&gt;1,MIN(N806/((L806-M806)*24/12.1/1000),D806),D806)</f>
        <v>0</v>
      </c>
      <c r="P806" s="5" t="n">
        <f aca="false">MIN(IF(AND(G806,E806),(L806-M806)*24/12.1*O806/1000,0),N806)</f>
        <v>0</v>
      </c>
      <c r="Q806" s="5" t="n">
        <f aca="false">IF(P806&gt;0,P806/O806*12.1/24*1000+M806,0)</f>
        <v>0</v>
      </c>
      <c r="R806" s="0" t="n">
        <f aca="false">IF(Q806&gt;0,TRUNC(O806),0)</f>
        <v>0</v>
      </c>
      <c r="S806" s="5" t="n">
        <f aca="false">(M806*(D806-R806)+(Q806*R806))/D806</f>
        <v>700</v>
      </c>
      <c r="T806" s="6" t="n">
        <f aca="false">(Q806-M806)*R806*24/12.1/1000</f>
        <v>-0</v>
      </c>
    </row>
    <row r="807" customFormat="false" ht="14.35" hidden="false" customHeight="false" outlineLevel="0" collapsed="false">
      <c r="A807" s="4" t="n">
        <v>32294</v>
      </c>
      <c r="B807" s="15" t="n">
        <f aca="false">IF(C807&lt;=9,YEAR(A807),YEAR(A807)+1)</f>
        <v>1988</v>
      </c>
      <c r="C807" s="15" t="n">
        <f aca="false">MONTH(A807)</f>
        <v>5</v>
      </c>
      <c r="D807" s="15" t="n">
        <f aca="false">DAY(A807)</f>
        <v>31</v>
      </c>
      <c r="E807" s="15" t="n">
        <f aca="false">VLOOKUP(B807,WYT!$A$2:$L$97,12)</f>
        <v>0</v>
      </c>
      <c r="F807" s="15" t="n">
        <f aca="false">IF(C807=$W$5,1,0)</f>
        <v>0</v>
      </c>
      <c r="G807" s="15" t="n">
        <f aca="false">IF(C807=10,0,IF(F807=1,1,G806))</f>
        <v>1</v>
      </c>
      <c r="H807" s="5" t="n">
        <f aca="false">VA_base_426_data!B807</f>
        <v>916.969080519994</v>
      </c>
      <c r="I807" s="5" t="n">
        <f aca="false">IF(AND(E807=1,OR(C807=4,C807=5)),25*12.1/24/D807*1000,0)</f>
        <v>0</v>
      </c>
      <c r="J807" s="5" t="n">
        <f aca="false">VA_base_426_data!C807</f>
        <v>750</v>
      </c>
      <c r="K807" s="5" t="n">
        <f aca="false">H807+I807-J807</f>
        <v>166.969080519994</v>
      </c>
      <c r="L807" s="5" t="n">
        <f aca="false">MIN($W$7,J807+K807)</f>
        <v>916.969080519994</v>
      </c>
      <c r="M807" s="5" t="n">
        <f aca="false">VA_base_426_data!D807</f>
        <v>700</v>
      </c>
      <c r="N807" s="5" t="n">
        <f aca="false">IF(AND(C807=10,E807=1),$W$6,N806-P806)</f>
        <v>0</v>
      </c>
      <c r="O807" s="5" t="n">
        <f aca="false">IF(ABS(M807-L807)&gt;1,MIN(N807/((L807-M807)*24/12.1/1000),D807),D807)</f>
        <v>0</v>
      </c>
      <c r="P807" s="5" t="n">
        <f aca="false">MIN(IF(AND(G807,E807),(L807-M807)*24/12.1*O807/1000,0),N807)</f>
        <v>0</v>
      </c>
      <c r="Q807" s="5" t="n">
        <f aca="false">IF(P807&gt;0,P807/O807*12.1/24*1000+M807,0)</f>
        <v>0</v>
      </c>
      <c r="R807" s="0" t="n">
        <f aca="false">IF(Q807&gt;0,TRUNC(O807),0)</f>
        <v>0</v>
      </c>
      <c r="S807" s="5" t="n">
        <f aca="false">(M807*(D807-R807)+(Q807*R807))/D807</f>
        <v>700</v>
      </c>
      <c r="T807" s="6" t="n">
        <f aca="false">(Q807-M807)*R807*24/12.1/1000</f>
        <v>-0</v>
      </c>
    </row>
    <row r="808" customFormat="false" ht="14.35" hidden="false" customHeight="false" outlineLevel="0" collapsed="false">
      <c r="A808" s="4" t="n">
        <v>32324</v>
      </c>
      <c r="B808" s="15" t="n">
        <f aca="false">IF(C808&lt;=9,YEAR(A808),YEAR(A808)+1)</f>
        <v>1988</v>
      </c>
      <c r="C808" s="15" t="n">
        <f aca="false">MONTH(A808)</f>
        <v>6</v>
      </c>
      <c r="D808" s="15" t="n">
        <f aca="false">DAY(A808)</f>
        <v>30</v>
      </c>
      <c r="E808" s="15" t="n">
        <f aca="false">VLOOKUP(B808,WYT!$A$2:$L$97,12)</f>
        <v>0</v>
      </c>
      <c r="F808" s="15" t="n">
        <f aca="false">IF(C808=$W$5,1,0)</f>
        <v>0</v>
      </c>
      <c r="G808" s="15" t="n">
        <f aca="false">IF(C808=10,0,IF(F808=1,1,G807))</f>
        <v>1</v>
      </c>
      <c r="H808" s="5" t="n">
        <f aca="false">VA_base_426_data!B808</f>
        <v>4046.69550925254</v>
      </c>
      <c r="I808" s="5" t="n">
        <f aca="false">IF(AND(E808=1,OR(C808=4,C808=5)),25*12.1/24/D808*1000,0)</f>
        <v>0</v>
      </c>
      <c r="J808" s="5" t="n">
        <f aca="false">VA_base_426_data!C808</f>
        <v>750</v>
      </c>
      <c r="K808" s="5" t="n">
        <f aca="false">H808+I808-J808</f>
        <v>3296.69550925254</v>
      </c>
      <c r="L808" s="5" t="n">
        <f aca="false">MIN($W$7,J808+K808)</f>
        <v>2000</v>
      </c>
      <c r="M808" s="5" t="n">
        <f aca="false">VA_base_426_data!D808</f>
        <v>700</v>
      </c>
      <c r="N808" s="5" t="n">
        <f aca="false">IF(AND(C808=10,E808=1),$W$6,N807-P807)</f>
        <v>0</v>
      </c>
      <c r="O808" s="5" t="n">
        <f aca="false">IF(ABS(M808-L808)&gt;1,MIN(N808/((L808-M808)*24/12.1/1000),D808),D808)</f>
        <v>0</v>
      </c>
      <c r="P808" s="5" t="n">
        <f aca="false">MIN(IF(AND(G808,E808),(L808-M808)*24/12.1*O808/1000,0),N808)</f>
        <v>0</v>
      </c>
      <c r="Q808" s="5" t="n">
        <f aca="false">IF(P808&gt;0,P808/O808*12.1/24*1000+M808,0)</f>
        <v>0</v>
      </c>
      <c r="R808" s="0" t="n">
        <f aca="false">IF(Q808&gt;0,TRUNC(O808),0)</f>
        <v>0</v>
      </c>
      <c r="S808" s="5" t="n">
        <f aca="false">(M808*(D808-R808)+(Q808*R808))/D808</f>
        <v>700</v>
      </c>
      <c r="T808" s="6" t="n">
        <f aca="false">(Q808-M808)*R808*24/12.1/1000</f>
        <v>-0</v>
      </c>
    </row>
    <row r="809" customFormat="false" ht="14.35" hidden="false" customHeight="false" outlineLevel="0" collapsed="false">
      <c r="A809" s="4" t="n">
        <v>32355</v>
      </c>
      <c r="B809" s="15" t="n">
        <f aca="false">IF(C809&lt;=9,YEAR(A809),YEAR(A809)+1)</f>
        <v>1988</v>
      </c>
      <c r="C809" s="15" t="n">
        <f aca="false">MONTH(A809)</f>
        <v>7</v>
      </c>
      <c r="D809" s="15" t="n">
        <f aca="false">DAY(A809)</f>
        <v>31</v>
      </c>
      <c r="E809" s="15" t="n">
        <f aca="false">VLOOKUP(B809,WYT!$A$2:$L$97,12)</f>
        <v>0</v>
      </c>
      <c r="F809" s="15" t="n">
        <f aca="false">IF(C809=$W$5,1,0)</f>
        <v>0</v>
      </c>
      <c r="G809" s="15" t="n">
        <f aca="false">IF(C809=10,0,IF(F809=1,1,G808))</f>
        <v>1</v>
      </c>
      <c r="H809" s="5" t="n">
        <f aca="false">VA_base_426_data!B809</f>
        <v>4324.37096298222</v>
      </c>
      <c r="I809" s="5" t="n">
        <f aca="false">IF(AND(E809=1,OR(C809=4,C809=5)),25*12.1/24/D809*1000,0)</f>
        <v>0</v>
      </c>
      <c r="J809" s="5" t="n">
        <f aca="false">VA_base_426_data!C809</f>
        <v>750</v>
      </c>
      <c r="K809" s="5" t="n">
        <f aca="false">H809+I809-J809</f>
        <v>3574.37096298222</v>
      </c>
      <c r="L809" s="5" t="n">
        <f aca="false">MIN($W$7,J809+K809)</f>
        <v>2000</v>
      </c>
      <c r="M809" s="5" t="n">
        <f aca="false">VA_base_426_data!D809</f>
        <v>700</v>
      </c>
      <c r="N809" s="5" t="n">
        <f aca="false">IF(AND(C809=10,E809=1),$W$6,N808-P808)</f>
        <v>0</v>
      </c>
      <c r="O809" s="5" t="n">
        <f aca="false">IF(ABS(M809-L809)&gt;1,MIN(N809/((L809-M809)*24/12.1/1000),D809),D809)</f>
        <v>0</v>
      </c>
      <c r="P809" s="5" t="n">
        <f aca="false">MIN(IF(AND(G809,E809),(L809-M809)*24/12.1*O809/1000,0),N809)</f>
        <v>0</v>
      </c>
      <c r="Q809" s="5" t="n">
        <f aca="false">IF(P809&gt;0,P809/O809*12.1/24*1000+M809,0)</f>
        <v>0</v>
      </c>
      <c r="R809" s="0" t="n">
        <f aca="false">IF(Q809&gt;0,TRUNC(O809),0)</f>
        <v>0</v>
      </c>
      <c r="S809" s="5" t="n">
        <f aca="false">(M809*(D809-R809)+(Q809*R809))/D809</f>
        <v>700</v>
      </c>
      <c r="T809" s="6" t="n">
        <f aca="false">(Q809-M809)*R809*24/12.1/1000</f>
        <v>-0</v>
      </c>
    </row>
    <row r="810" customFormat="false" ht="14.35" hidden="false" customHeight="false" outlineLevel="0" collapsed="false">
      <c r="A810" s="4" t="n">
        <v>32386</v>
      </c>
      <c r="B810" s="15" t="n">
        <f aca="false">IF(C810&lt;=9,YEAR(A810),YEAR(A810)+1)</f>
        <v>1988</v>
      </c>
      <c r="C810" s="15" t="n">
        <f aca="false">MONTH(A810)</f>
        <v>8</v>
      </c>
      <c r="D810" s="15" t="n">
        <f aca="false">DAY(A810)</f>
        <v>31</v>
      </c>
      <c r="E810" s="15" t="n">
        <f aca="false">VLOOKUP(B810,WYT!$A$2:$L$97,12)</f>
        <v>0</v>
      </c>
      <c r="F810" s="15" t="n">
        <f aca="false">IF(C810=$W$5,1,0)</f>
        <v>0</v>
      </c>
      <c r="G810" s="15" t="n">
        <f aca="false">IF(C810=10,0,IF(F810=1,1,G809))</f>
        <v>1</v>
      </c>
      <c r="H810" s="5" t="n">
        <f aca="false">VA_base_426_data!B810</f>
        <v>2301.11341771453</v>
      </c>
      <c r="I810" s="5" t="n">
        <f aca="false">IF(AND(E810=1,OR(C810=4,C810=5)),25*12.1/24/D810*1000,0)</f>
        <v>0</v>
      </c>
      <c r="J810" s="5" t="n">
        <f aca="false">VA_base_426_data!C810</f>
        <v>750</v>
      </c>
      <c r="K810" s="5" t="n">
        <f aca="false">H810+I810-J810</f>
        <v>1551.11341771454</v>
      </c>
      <c r="L810" s="5" t="n">
        <f aca="false">MIN($W$7,J810+K810)</f>
        <v>2000</v>
      </c>
      <c r="M810" s="5" t="n">
        <f aca="false">VA_base_426_data!D810</f>
        <v>700</v>
      </c>
      <c r="N810" s="5" t="n">
        <f aca="false">IF(AND(C810=10,E810=1),$W$6,N809-P809)</f>
        <v>0</v>
      </c>
      <c r="O810" s="5" t="n">
        <f aca="false">IF(ABS(M810-L810)&gt;1,MIN(N810/((L810-M810)*24/12.1/1000),D810),D810)</f>
        <v>0</v>
      </c>
      <c r="P810" s="5" t="n">
        <f aca="false">MIN(IF(AND(G810,E810),(L810-M810)*24/12.1*O810/1000,0),N810)</f>
        <v>0</v>
      </c>
      <c r="Q810" s="5" t="n">
        <f aca="false">IF(P810&gt;0,P810/O810*12.1/24*1000+M810,0)</f>
        <v>0</v>
      </c>
      <c r="R810" s="0" t="n">
        <f aca="false">IF(Q810&gt;0,TRUNC(O810),0)</f>
        <v>0</v>
      </c>
      <c r="S810" s="5" t="n">
        <f aca="false">(M810*(D810-R810)+(Q810*R810))/D810</f>
        <v>700</v>
      </c>
      <c r="T810" s="6" t="n">
        <f aca="false">(Q810-M810)*R810*24/12.1/1000</f>
        <v>-0</v>
      </c>
    </row>
    <row r="811" customFormat="false" ht="14.35" hidden="false" customHeight="false" outlineLevel="0" collapsed="false">
      <c r="A811" s="4" t="n">
        <v>32416</v>
      </c>
      <c r="B811" s="15" t="n">
        <f aca="false">IF(C811&lt;=9,YEAR(A811),YEAR(A811)+1)</f>
        <v>1988</v>
      </c>
      <c r="C811" s="15" t="n">
        <f aca="false">MONTH(A811)</f>
        <v>9</v>
      </c>
      <c r="D811" s="15" t="n">
        <f aca="false">DAY(A811)</f>
        <v>30</v>
      </c>
      <c r="E811" s="15" t="n">
        <f aca="false">VLOOKUP(B811,WYT!$A$2:$L$97,12)</f>
        <v>0</v>
      </c>
      <c r="F811" s="15" t="n">
        <f aca="false">IF(C811=$W$5,1,0)</f>
        <v>0</v>
      </c>
      <c r="G811" s="15" t="n">
        <f aca="false">IF(C811=10,0,IF(F811=1,1,G810))</f>
        <v>1</v>
      </c>
      <c r="H811" s="5" t="n">
        <f aca="false">VA_base_426_data!B811</f>
        <v>1580.15606363373</v>
      </c>
      <c r="I811" s="5" t="n">
        <f aca="false">IF(AND(E811=1,OR(C811=4,C811=5)),25*12.1/24/D811*1000,0)</f>
        <v>0</v>
      </c>
      <c r="J811" s="5" t="n">
        <f aca="false">VA_base_426_data!C811</f>
        <v>750</v>
      </c>
      <c r="K811" s="5" t="n">
        <f aca="false">H811+I811-J811</f>
        <v>830.15606363373</v>
      </c>
      <c r="L811" s="5" t="n">
        <f aca="false">MIN($W$7,J811+K811)</f>
        <v>1580.15606363373</v>
      </c>
      <c r="M811" s="5" t="n">
        <f aca="false">VA_base_426_data!D811</f>
        <v>773.3333333</v>
      </c>
      <c r="N811" s="5" t="n">
        <f aca="false">IF(AND(C811=10,E811=1),$W$6,N810-P810)</f>
        <v>0</v>
      </c>
      <c r="O811" s="5" t="n">
        <f aca="false">IF(ABS(M811-L811)&gt;1,MIN(N811/((L811-M811)*24/12.1/1000),D811),D811)</f>
        <v>0</v>
      </c>
      <c r="P811" s="5" t="n">
        <f aca="false">MIN(IF(AND(G811,E811),(L811-M811)*24/12.1*O811/1000,0),N811)</f>
        <v>0</v>
      </c>
      <c r="Q811" s="5" t="n">
        <f aca="false">IF(P811&gt;0,P811/O811*12.1/24*1000+M811,0)</f>
        <v>0</v>
      </c>
      <c r="R811" s="0" t="n">
        <f aca="false">IF(Q811&gt;0,TRUNC(O811),0)</f>
        <v>0</v>
      </c>
      <c r="S811" s="5" t="n">
        <f aca="false">(M811*(D811-R811)+(Q811*R811))/D811</f>
        <v>773.3333333</v>
      </c>
      <c r="T811" s="6" t="n">
        <f aca="false">(Q811-M811)*R811*24/12.1/1000</f>
        <v>-0</v>
      </c>
    </row>
    <row r="812" customFormat="false" ht="14.35" hidden="false" customHeight="false" outlineLevel="0" collapsed="false">
      <c r="A812" s="4" t="n">
        <v>32447</v>
      </c>
      <c r="B812" s="15" t="n">
        <f aca="false">IF(C812&lt;=9,YEAR(A812),YEAR(A812)+1)</f>
        <v>1989</v>
      </c>
      <c r="C812" s="15" t="n">
        <f aca="false">MONTH(A812)</f>
        <v>10</v>
      </c>
      <c r="D812" s="15" t="n">
        <f aca="false">DAY(A812)</f>
        <v>31</v>
      </c>
      <c r="E812" s="15" t="n">
        <f aca="false">VLOOKUP(B812,WYT!$A$2:$L$97,12)</f>
        <v>1</v>
      </c>
      <c r="F812" s="15" t="n">
        <f aca="false">IF(C812=$W$5,1,0)</f>
        <v>0</v>
      </c>
      <c r="G812" s="15" t="n">
        <f aca="false">IF(C812=10,0,IF(F812=1,1,G811))</f>
        <v>0</v>
      </c>
      <c r="H812" s="5" t="n">
        <f aca="false">VA_base_426_data!B812</f>
        <v>1511.38113456112</v>
      </c>
      <c r="I812" s="5" t="n">
        <f aca="false">IF(AND(E812=1,OR(C812=4,C812=5)),25*12.1/24/D812*1000,0)</f>
        <v>0</v>
      </c>
      <c r="J812" s="5" t="n">
        <f aca="false">VA_base_426_data!C812</f>
        <v>900</v>
      </c>
      <c r="K812" s="5" t="n">
        <f aca="false">H812+I812-J812</f>
        <v>611.381134561123</v>
      </c>
      <c r="L812" s="5" t="n">
        <f aca="false">MIN($W$7,J812+K812)</f>
        <v>1511.38113456112</v>
      </c>
      <c r="M812" s="5" t="n">
        <f aca="false">VA_base_426_data!D812</f>
        <v>800</v>
      </c>
      <c r="N812" s="5" t="n">
        <f aca="false">IF(AND(C812=10,E812=1),$W$6,N811-P811)</f>
        <v>43</v>
      </c>
      <c r="O812" s="5" t="n">
        <f aca="false">IF(ABS(M812-L812)&gt;1,MIN(N812/((L812-M812)*24/12.1/1000),D812),D812)</f>
        <v>30.4747562360384</v>
      </c>
      <c r="P812" s="5" t="n">
        <f aca="false">MIN(IF(AND(G812,E812),(L812-M812)*24/12.1*O812/1000,0),N812)</f>
        <v>0</v>
      </c>
      <c r="Q812" s="5" t="n">
        <f aca="false">IF(P812&gt;0,P812/O812*12.1/24*1000+M812,0)</f>
        <v>0</v>
      </c>
      <c r="R812" s="0" t="n">
        <f aca="false">IF(Q812&gt;0,TRUNC(O812),0)</f>
        <v>0</v>
      </c>
      <c r="S812" s="5" t="n">
        <f aca="false">(M812*(D812-R812)+(Q812*R812))/D812</f>
        <v>800</v>
      </c>
      <c r="T812" s="6" t="n">
        <f aca="false">(Q812-M812)*R812*24/12.1/1000</f>
        <v>-0</v>
      </c>
    </row>
    <row r="813" customFormat="false" ht="14.35" hidden="false" customHeight="false" outlineLevel="0" collapsed="false">
      <c r="A813" s="4" t="n">
        <v>32477</v>
      </c>
      <c r="B813" s="15" t="n">
        <f aca="false">IF(C813&lt;=9,YEAR(A813),YEAR(A813)+1)</f>
        <v>1989</v>
      </c>
      <c r="C813" s="15" t="n">
        <f aca="false">MONTH(A813)</f>
        <v>11</v>
      </c>
      <c r="D813" s="15" t="n">
        <f aca="false">DAY(A813)</f>
        <v>30</v>
      </c>
      <c r="E813" s="15" t="n">
        <f aca="false">VLOOKUP(B813,WYT!$A$2:$L$97,12)</f>
        <v>1</v>
      </c>
      <c r="F813" s="15" t="n">
        <f aca="false">IF(C813=$W$5,1,0)</f>
        <v>0</v>
      </c>
      <c r="G813" s="15" t="n">
        <f aca="false">IF(C813=10,0,IF(F813=1,1,G812))</f>
        <v>0</v>
      </c>
      <c r="H813" s="5" t="n">
        <f aca="false">VA_base_426_data!B813</f>
        <v>900.000000000004</v>
      </c>
      <c r="I813" s="5" t="n">
        <f aca="false">IF(AND(E813=1,OR(C813=4,C813=5)),25*12.1/24/D813*1000,0)</f>
        <v>0</v>
      </c>
      <c r="J813" s="5" t="n">
        <f aca="false">VA_base_426_data!C813</f>
        <v>900</v>
      </c>
      <c r="K813" s="5" t="n">
        <f aca="false">H813+I813-J813</f>
        <v>3.5242919693701E-012</v>
      </c>
      <c r="L813" s="5" t="n">
        <f aca="false">MIN($W$7,J813+K813)</f>
        <v>900.000000000004</v>
      </c>
      <c r="M813" s="5" t="n">
        <f aca="false">VA_base_426_data!D813</f>
        <v>800</v>
      </c>
      <c r="N813" s="5" t="n">
        <f aca="false">IF(AND(C813=10,E813=1),$W$6,N812-P812)</f>
        <v>43</v>
      </c>
      <c r="O813" s="5" t="n">
        <f aca="false">IF(ABS(M813-L813)&gt;1,MIN(N813/((L813-M813)*24/12.1/1000),D813),D813)</f>
        <v>30</v>
      </c>
      <c r="P813" s="5" t="n">
        <f aca="false">MIN(IF(AND(G813,E813),(L813-M813)*24/12.1*O813/1000,0),N813)</f>
        <v>0</v>
      </c>
      <c r="Q813" s="5" t="n">
        <f aca="false">IF(P813&gt;0,P813/O813*12.1/24*1000+M813,0)</f>
        <v>0</v>
      </c>
      <c r="R813" s="0" t="n">
        <f aca="false">IF(Q813&gt;0,TRUNC(O813),0)</f>
        <v>0</v>
      </c>
      <c r="S813" s="5" t="n">
        <f aca="false">(M813*(D813-R813)+(Q813*R813))/D813</f>
        <v>800</v>
      </c>
      <c r="T813" s="6" t="n">
        <f aca="false">(Q813-M813)*R813*24/12.1/1000</f>
        <v>-0</v>
      </c>
    </row>
    <row r="814" customFormat="false" ht="14.35" hidden="false" customHeight="false" outlineLevel="0" collapsed="false">
      <c r="A814" s="4" t="n">
        <v>32508</v>
      </c>
      <c r="B814" s="15" t="n">
        <f aca="false">IF(C814&lt;=9,YEAR(A814),YEAR(A814)+1)</f>
        <v>1989</v>
      </c>
      <c r="C814" s="15" t="n">
        <f aca="false">MONTH(A814)</f>
        <v>12</v>
      </c>
      <c r="D814" s="15" t="n">
        <f aca="false">DAY(A814)</f>
        <v>31</v>
      </c>
      <c r="E814" s="15" t="n">
        <f aca="false">VLOOKUP(B814,WYT!$A$2:$L$97,12)</f>
        <v>1</v>
      </c>
      <c r="F814" s="15" t="n">
        <f aca="false">IF(C814=$W$5,1,0)</f>
        <v>0</v>
      </c>
      <c r="G814" s="15" t="n">
        <f aca="false">IF(C814=10,0,IF(F814=1,1,G813))</f>
        <v>0</v>
      </c>
      <c r="H814" s="5" t="n">
        <f aca="false">VA_base_426_data!B814</f>
        <v>900</v>
      </c>
      <c r="I814" s="5" t="n">
        <f aca="false">IF(AND(E814=1,OR(C814=4,C814=5)),25*12.1/24/D814*1000,0)</f>
        <v>0</v>
      </c>
      <c r="J814" s="5" t="n">
        <f aca="false">VA_base_426_data!C814</f>
        <v>900</v>
      </c>
      <c r="K814" s="5" t="n">
        <f aca="false">H814+I814-J814</f>
        <v>0</v>
      </c>
      <c r="L814" s="5" t="n">
        <f aca="false">MIN($W$7,J814+K814)</f>
        <v>900</v>
      </c>
      <c r="M814" s="5" t="n">
        <f aca="false">VA_base_426_data!D814</f>
        <v>800</v>
      </c>
      <c r="N814" s="5" t="n">
        <f aca="false">IF(AND(C814=10,E814=1),$W$6,N813-P813)</f>
        <v>43</v>
      </c>
      <c r="O814" s="5" t="n">
        <f aca="false">IF(ABS(M814-L814)&gt;1,MIN(N814/((L814-M814)*24/12.1/1000),D814),D814)</f>
        <v>31</v>
      </c>
      <c r="P814" s="5" t="n">
        <f aca="false">MIN(IF(AND(G814,E814),(L814-M814)*24/12.1*O814/1000,0),N814)</f>
        <v>0</v>
      </c>
      <c r="Q814" s="5" t="n">
        <f aca="false">IF(P814&gt;0,P814/O814*12.1/24*1000+M814,0)</f>
        <v>0</v>
      </c>
      <c r="R814" s="0" t="n">
        <f aca="false">IF(Q814&gt;0,TRUNC(O814),0)</f>
        <v>0</v>
      </c>
      <c r="S814" s="5" t="n">
        <f aca="false">(M814*(D814-R814)+(Q814*R814))/D814</f>
        <v>800</v>
      </c>
      <c r="T814" s="6" t="n">
        <f aca="false">(Q814-M814)*R814*24/12.1/1000</f>
        <v>-0</v>
      </c>
    </row>
    <row r="815" customFormat="false" ht="14.35" hidden="false" customHeight="false" outlineLevel="0" collapsed="false">
      <c r="A815" s="4" t="n">
        <v>32539</v>
      </c>
      <c r="B815" s="15" t="n">
        <f aca="false">IF(C815&lt;=9,YEAR(A815),YEAR(A815)+1)</f>
        <v>1989</v>
      </c>
      <c r="C815" s="15" t="n">
        <f aca="false">MONTH(A815)</f>
        <v>1</v>
      </c>
      <c r="D815" s="15" t="n">
        <f aca="false">DAY(A815)</f>
        <v>31</v>
      </c>
      <c r="E815" s="15" t="n">
        <f aca="false">VLOOKUP(B815,WYT!$A$2:$L$97,12)</f>
        <v>1</v>
      </c>
      <c r="F815" s="15" t="n">
        <f aca="false">IF(C815=$W$5,1,0)</f>
        <v>0</v>
      </c>
      <c r="G815" s="15" t="n">
        <f aca="false">IF(C815=10,0,IF(F815=1,1,G814))</f>
        <v>0</v>
      </c>
      <c r="H815" s="5" t="n">
        <f aca="false">VA_base_426_data!B815</f>
        <v>900</v>
      </c>
      <c r="I815" s="5" t="n">
        <f aca="false">IF(AND(E815=1,OR(C815=4,C815=5)),25*12.1/24/D815*1000,0)</f>
        <v>0</v>
      </c>
      <c r="J815" s="5" t="n">
        <f aca="false">VA_base_426_data!C815</f>
        <v>900</v>
      </c>
      <c r="K815" s="5" t="n">
        <f aca="false">H815+I815-J815</f>
        <v>0</v>
      </c>
      <c r="L815" s="5" t="n">
        <f aca="false">MIN($W$7,J815+K815)</f>
        <v>900</v>
      </c>
      <c r="M815" s="5" t="n">
        <f aca="false">VA_base_426_data!D815</f>
        <v>800</v>
      </c>
      <c r="N815" s="5" t="n">
        <f aca="false">IF(AND(C815=10,E815=1),$W$6,N814-P814)</f>
        <v>43</v>
      </c>
      <c r="O815" s="5" t="n">
        <f aca="false">IF(ABS(M815-L815)&gt;1,MIN(N815/((L815-M815)*24/12.1/1000),D815),D815)</f>
        <v>31</v>
      </c>
      <c r="P815" s="5" t="n">
        <f aca="false">MIN(IF(AND(G815,E815),(L815-M815)*24/12.1*O815/1000,0),N815)</f>
        <v>0</v>
      </c>
      <c r="Q815" s="5" t="n">
        <f aca="false">IF(P815&gt;0,P815/O815*12.1/24*1000+M815,0)</f>
        <v>0</v>
      </c>
      <c r="R815" s="0" t="n">
        <f aca="false">IF(Q815&gt;0,TRUNC(O815),0)</f>
        <v>0</v>
      </c>
      <c r="S815" s="5" t="n">
        <f aca="false">(M815*(D815-R815)+(Q815*R815))/D815</f>
        <v>800</v>
      </c>
      <c r="T815" s="6" t="n">
        <f aca="false">(Q815-M815)*R815*24/12.1/1000</f>
        <v>-0</v>
      </c>
    </row>
    <row r="816" customFormat="false" ht="14.35" hidden="false" customHeight="false" outlineLevel="0" collapsed="false">
      <c r="A816" s="4" t="n">
        <v>32567</v>
      </c>
      <c r="B816" s="15" t="n">
        <f aca="false">IF(C816&lt;=9,YEAR(A816),YEAR(A816)+1)</f>
        <v>1989</v>
      </c>
      <c r="C816" s="15" t="n">
        <f aca="false">MONTH(A816)</f>
        <v>2</v>
      </c>
      <c r="D816" s="15" t="n">
        <f aca="false">DAY(A816)</f>
        <v>28</v>
      </c>
      <c r="E816" s="15" t="n">
        <f aca="false">VLOOKUP(B816,WYT!$A$2:$L$97,12)</f>
        <v>1</v>
      </c>
      <c r="F816" s="15" t="n">
        <f aca="false">IF(C816=$W$5,1,0)</f>
        <v>1</v>
      </c>
      <c r="G816" s="15" t="n">
        <f aca="false">IF(C816=10,0,IF(F816=1,1,G815))</f>
        <v>1</v>
      </c>
      <c r="H816" s="5" t="n">
        <f aca="false">VA_base_426_data!B816</f>
        <v>900</v>
      </c>
      <c r="I816" s="5" t="n">
        <f aca="false">IF(AND(E816=1,OR(C816=4,C816=5)),25*12.1/24/D816*1000,0)</f>
        <v>0</v>
      </c>
      <c r="J816" s="5" t="n">
        <f aca="false">VA_base_426_data!C816</f>
        <v>900</v>
      </c>
      <c r="K816" s="5" t="n">
        <f aca="false">H816+I816-J816</f>
        <v>0</v>
      </c>
      <c r="L816" s="5" t="n">
        <f aca="false">MIN($W$7,J816+K816)</f>
        <v>900</v>
      </c>
      <c r="M816" s="5" t="n">
        <f aca="false">VA_base_426_data!D816</f>
        <v>800</v>
      </c>
      <c r="N816" s="5" t="n">
        <f aca="false">IF(AND(C816=10,E816=1),$W$6,N815-P815)</f>
        <v>43</v>
      </c>
      <c r="O816" s="5" t="n">
        <f aca="false">IF(ABS(M816-L816)&gt;1,MIN(N816/((L816-M816)*24/12.1/1000),D816),D816)</f>
        <v>28</v>
      </c>
      <c r="P816" s="5" t="n">
        <f aca="false">MIN(IF(AND(G816,E816),(L816-M816)*24/12.1*O816/1000,0),N816)</f>
        <v>5.55371900826446</v>
      </c>
      <c r="Q816" s="5" t="n">
        <f aca="false">IF(P816&gt;0,P816/O816*12.1/24*1000+M816,0)</f>
        <v>900</v>
      </c>
      <c r="R816" s="0" t="n">
        <f aca="false">IF(Q816&gt;0,TRUNC(O816),0)</f>
        <v>28</v>
      </c>
      <c r="S816" s="5" t="n">
        <f aca="false">(M816*(D816-R816)+(Q816*R816))/D816</f>
        <v>900</v>
      </c>
      <c r="T816" s="6" t="n">
        <f aca="false">(Q816-M816)*R816*24/12.1/1000</f>
        <v>5.55371900826446</v>
      </c>
    </row>
    <row r="817" customFormat="false" ht="14.35" hidden="false" customHeight="false" outlineLevel="0" collapsed="false">
      <c r="A817" s="4" t="n">
        <v>32598</v>
      </c>
      <c r="B817" s="15" t="n">
        <f aca="false">IF(C817&lt;=9,YEAR(A817),YEAR(A817)+1)</f>
        <v>1989</v>
      </c>
      <c r="C817" s="15" t="n">
        <f aca="false">MONTH(A817)</f>
        <v>3</v>
      </c>
      <c r="D817" s="15" t="n">
        <f aca="false">DAY(A817)</f>
        <v>31</v>
      </c>
      <c r="E817" s="15" t="n">
        <f aca="false">VLOOKUP(B817,WYT!$A$2:$L$97,12)</f>
        <v>1</v>
      </c>
      <c r="F817" s="15" t="n">
        <f aca="false">IF(C817=$W$5,1,0)</f>
        <v>0</v>
      </c>
      <c r="G817" s="15" t="n">
        <f aca="false">IF(C817=10,0,IF(F817=1,1,G816))</f>
        <v>1</v>
      </c>
      <c r="H817" s="5" t="n">
        <f aca="false">VA_base_426_data!B817</f>
        <v>800</v>
      </c>
      <c r="I817" s="5" t="n">
        <f aca="false">IF(AND(E817=1,OR(C817=4,C817=5)),25*12.1/24/D817*1000,0)</f>
        <v>0</v>
      </c>
      <c r="J817" s="5" t="n">
        <f aca="false">VA_base_426_data!C817</f>
        <v>750</v>
      </c>
      <c r="K817" s="5" t="n">
        <f aca="false">H817+I817-J817</f>
        <v>50.0000000000001</v>
      </c>
      <c r="L817" s="5" t="n">
        <f aca="false">MIN($W$7,J817+K817)</f>
        <v>800</v>
      </c>
      <c r="M817" s="5" t="n">
        <f aca="false">VA_base_426_data!D817</f>
        <v>800</v>
      </c>
      <c r="N817" s="5" t="n">
        <f aca="false">IF(AND(C817=10,E817=1),$W$6,N816-P816)</f>
        <v>37.4462809917355</v>
      </c>
      <c r="O817" s="5" t="n">
        <f aca="false">IF(ABS(M817-L817)&gt;1,MIN(N817/((L817-M817)*24/12.1/1000),D817),D817)</f>
        <v>31</v>
      </c>
      <c r="P817" s="5" t="n">
        <f aca="false">MIN(IF(AND(G817,E817),(L817-M817)*24/12.1*O817/1000,0),N817)</f>
        <v>0</v>
      </c>
      <c r="Q817" s="5" t="n">
        <f aca="false">IF(P817&gt;0,P817/O817*12.1/24*1000+M817,0)</f>
        <v>0</v>
      </c>
      <c r="R817" s="0" t="n">
        <f aca="false">IF(Q817&gt;0,TRUNC(O817),0)</f>
        <v>0</v>
      </c>
      <c r="S817" s="5" t="n">
        <f aca="false">(M817*(D817-R817)+(Q817*R817))/D817</f>
        <v>800</v>
      </c>
      <c r="T817" s="6" t="n">
        <f aca="false">(Q817-M817)*R817*24/12.1/1000</f>
        <v>-0</v>
      </c>
    </row>
    <row r="818" customFormat="false" ht="14.35" hidden="false" customHeight="false" outlineLevel="0" collapsed="false">
      <c r="A818" s="4" t="n">
        <v>32628</v>
      </c>
      <c r="B818" s="15" t="n">
        <f aca="false">IF(C818&lt;=9,YEAR(A818),YEAR(A818)+1)</f>
        <v>1989</v>
      </c>
      <c r="C818" s="15" t="n">
        <f aca="false">MONTH(A818)</f>
        <v>4</v>
      </c>
      <c r="D818" s="15" t="n">
        <f aca="false">DAY(A818)</f>
        <v>30</v>
      </c>
      <c r="E818" s="15" t="n">
        <f aca="false">VLOOKUP(B818,WYT!$A$2:$L$97,12)</f>
        <v>1</v>
      </c>
      <c r="F818" s="15" t="n">
        <f aca="false">IF(C818=$W$5,1,0)</f>
        <v>0</v>
      </c>
      <c r="G818" s="15" t="n">
        <f aca="false">IF(C818=10,0,IF(F818=1,1,G817))</f>
        <v>1</v>
      </c>
      <c r="H818" s="5" t="n">
        <f aca="false">VA_base_426_data!B818</f>
        <v>750.000000000001</v>
      </c>
      <c r="I818" s="5" t="n">
        <f aca="false">IF(AND(E818=1,OR(C818=4,C818=5)),25*12.1/24/D818*1000,0)</f>
        <v>420.138888888889</v>
      </c>
      <c r="J818" s="5" t="n">
        <f aca="false">VA_base_426_data!C818</f>
        <v>750</v>
      </c>
      <c r="K818" s="5" t="n">
        <f aca="false">H818+I818-J818</f>
        <v>420.13888888889</v>
      </c>
      <c r="L818" s="5" t="n">
        <f aca="false">MIN($W$7,J818+K818)</f>
        <v>1170.13888888889</v>
      </c>
      <c r="M818" s="5" t="n">
        <f aca="false">VA_base_426_data!D818</f>
        <v>700</v>
      </c>
      <c r="N818" s="5" t="n">
        <f aca="false">IF(AND(C818=10,E818=1),$W$6,N817-P817)</f>
        <v>37.4462809917355</v>
      </c>
      <c r="O818" s="5" t="n">
        <f aca="false">IF(ABS(M818-L818)&gt;1,MIN(N818/((L818-M818)*24/12.1/1000),D818),D818)</f>
        <v>30</v>
      </c>
      <c r="P818" s="5" t="n">
        <f aca="false">MIN(IF(AND(G818,E818),(L818-M818)*24/12.1*O818/1000,0),N818)</f>
        <v>27.9752066115703</v>
      </c>
      <c r="Q818" s="5" t="n">
        <f aca="false">IF(P818&gt;0,P818/O818*12.1/24*1000+M818,0)</f>
        <v>1170.13888888889</v>
      </c>
      <c r="R818" s="0" t="n">
        <f aca="false">IF(Q818&gt;0,TRUNC(O818),0)</f>
        <v>30</v>
      </c>
      <c r="S818" s="5" t="n">
        <f aca="false">(M818*(D818-R818)+(Q818*R818))/D818</f>
        <v>1170.13888888889</v>
      </c>
      <c r="T818" s="6" t="n">
        <f aca="false">(Q818-M818)*R818*24/12.1/1000</f>
        <v>27.9752066115703</v>
      </c>
    </row>
    <row r="819" customFormat="false" ht="14.35" hidden="false" customHeight="false" outlineLevel="0" collapsed="false">
      <c r="A819" s="4" t="n">
        <v>32659</v>
      </c>
      <c r="B819" s="15" t="n">
        <f aca="false">IF(C819&lt;=9,YEAR(A819),YEAR(A819)+1)</f>
        <v>1989</v>
      </c>
      <c r="C819" s="15" t="n">
        <f aca="false">MONTH(A819)</f>
        <v>5</v>
      </c>
      <c r="D819" s="15" t="n">
        <f aca="false">DAY(A819)</f>
        <v>31</v>
      </c>
      <c r="E819" s="15" t="n">
        <f aca="false">VLOOKUP(B819,WYT!$A$2:$L$97,12)</f>
        <v>1</v>
      </c>
      <c r="F819" s="15" t="n">
        <f aca="false">IF(C819=$W$5,1,0)</f>
        <v>0</v>
      </c>
      <c r="G819" s="15" t="n">
        <f aca="false">IF(C819=10,0,IF(F819=1,1,G818))</f>
        <v>1</v>
      </c>
      <c r="H819" s="5" t="n">
        <f aca="false">VA_base_426_data!B819</f>
        <v>1678.40307023663</v>
      </c>
      <c r="I819" s="5" t="n">
        <f aca="false">IF(AND(E819=1,OR(C819=4,C819=5)),25*12.1/24/D819*1000,0)</f>
        <v>406.586021505376</v>
      </c>
      <c r="J819" s="5" t="n">
        <f aca="false">VA_base_426_data!C819</f>
        <v>750</v>
      </c>
      <c r="K819" s="5" t="n">
        <f aca="false">H819+I819-J819</f>
        <v>1334.98909174201</v>
      </c>
      <c r="L819" s="5" t="n">
        <f aca="false">MIN($W$7,J819+K819)</f>
        <v>2000</v>
      </c>
      <c r="M819" s="5" t="n">
        <f aca="false">VA_base_426_data!D819</f>
        <v>700</v>
      </c>
      <c r="N819" s="5" t="n">
        <f aca="false">IF(AND(C819=10,E819=1),$W$6,N818-P818)</f>
        <v>9.47107438016525</v>
      </c>
      <c r="O819" s="5" t="n">
        <f aca="false">IF(ABS(M819-L819)&gt;1,MIN(N819/((L819-M819)*24/12.1/1000),D819),D819)</f>
        <v>3.67307692307691</v>
      </c>
      <c r="P819" s="5" t="n">
        <f aca="false">MIN(IF(AND(G819,E819),(L819-M819)*24/12.1*O819/1000,0),N819)</f>
        <v>9.47107438016525</v>
      </c>
      <c r="Q819" s="5" t="n">
        <f aca="false">IF(P819&gt;0,P819/O819*12.1/24*1000+M819,0)</f>
        <v>2000</v>
      </c>
      <c r="R819" s="0" t="n">
        <f aca="false">IF(Q819&gt;0,TRUNC(O819),0)</f>
        <v>3</v>
      </c>
      <c r="S819" s="5" t="n">
        <f aca="false">(M819*(D819-R819)+(Q819*R819))/D819</f>
        <v>825.806451612903</v>
      </c>
      <c r="T819" s="6" t="n">
        <f aca="false">(Q819-M819)*R819*24/12.1/1000</f>
        <v>7.73553719008264</v>
      </c>
    </row>
    <row r="820" customFormat="false" ht="14.35" hidden="false" customHeight="false" outlineLevel="0" collapsed="false">
      <c r="A820" s="4" t="n">
        <v>32689</v>
      </c>
      <c r="B820" s="15" t="n">
        <f aca="false">IF(C820&lt;=9,YEAR(A820),YEAR(A820)+1)</f>
        <v>1989</v>
      </c>
      <c r="C820" s="15" t="n">
        <f aca="false">MONTH(A820)</f>
        <v>6</v>
      </c>
      <c r="D820" s="15" t="n">
        <f aca="false">DAY(A820)</f>
        <v>30</v>
      </c>
      <c r="E820" s="15" t="n">
        <f aca="false">VLOOKUP(B820,WYT!$A$2:$L$97,12)</f>
        <v>1</v>
      </c>
      <c r="F820" s="15" t="n">
        <f aca="false">IF(C820=$W$5,1,0)</f>
        <v>0</v>
      </c>
      <c r="G820" s="15" t="n">
        <f aca="false">IF(C820=10,0,IF(F820=1,1,G819))</f>
        <v>1</v>
      </c>
      <c r="H820" s="5" t="n">
        <f aca="false">VA_base_426_data!B820</f>
        <v>3289.0929079766</v>
      </c>
      <c r="I820" s="5" t="n">
        <f aca="false">IF(AND(E820=1,OR(C820=4,C820=5)),25*12.1/24/D820*1000,0)</f>
        <v>0</v>
      </c>
      <c r="J820" s="5" t="n">
        <f aca="false">VA_base_426_data!C820</f>
        <v>750</v>
      </c>
      <c r="K820" s="5" t="n">
        <f aca="false">H820+I820-J820</f>
        <v>2539.0929079766</v>
      </c>
      <c r="L820" s="5" t="n">
        <f aca="false">MIN($W$7,J820+K820)</f>
        <v>2000</v>
      </c>
      <c r="M820" s="5" t="n">
        <f aca="false">VA_base_426_data!D820</f>
        <v>700</v>
      </c>
      <c r="N820" s="5" t="n">
        <f aca="false">IF(AND(C820=10,E820=1),$W$6,N819-P819)</f>
        <v>0</v>
      </c>
      <c r="O820" s="5" t="n">
        <f aca="false">IF(ABS(M820-L820)&gt;1,MIN(N820/((L820-M820)*24/12.1/1000),D820),D820)</f>
        <v>0</v>
      </c>
      <c r="P820" s="5" t="n">
        <f aca="false">MIN(IF(AND(G820,E820),(L820-M820)*24/12.1*O820/1000,0),N820)</f>
        <v>0</v>
      </c>
      <c r="Q820" s="5" t="n">
        <f aca="false">IF(P820&gt;0,P820/O820*12.1/24*1000+M820,0)</f>
        <v>0</v>
      </c>
      <c r="R820" s="0" t="n">
        <f aca="false">IF(Q820&gt;0,TRUNC(O820),0)</f>
        <v>0</v>
      </c>
      <c r="S820" s="5" t="n">
        <f aca="false">(M820*(D820-R820)+(Q820*R820))/D820</f>
        <v>700</v>
      </c>
      <c r="T820" s="6" t="n">
        <f aca="false">(Q820-M820)*R820*24/12.1/1000</f>
        <v>-0</v>
      </c>
    </row>
    <row r="821" customFormat="false" ht="14.35" hidden="false" customHeight="false" outlineLevel="0" collapsed="false">
      <c r="A821" s="4" t="n">
        <v>32720</v>
      </c>
      <c r="B821" s="15" t="n">
        <f aca="false">IF(C821&lt;=9,YEAR(A821),YEAR(A821)+1)</f>
        <v>1989</v>
      </c>
      <c r="C821" s="15" t="n">
        <f aca="false">MONTH(A821)</f>
        <v>7</v>
      </c>
      <c r="D821" s="15" t="n">
        <f aca="false">DAY(A821)</f>
        <v>31</v>
      </c>
      <c r="E821" s="15" t="n">
        <f aca="false">VLOOKUP(B821,WYT!$A$2:$L$97,12)</f>
        <v>1</v>
      </c>
      <c r="F821" s="15" t="n">
        <f aca="false">IF(C821=$W$5,1,0)</f>
        <v>0</v>
      </c>
      <c r="G821" s="15" t="n">
        <f aca="false">IF(C821=10,0,IF(F821=1,1,G820))</f>
        <v>1</v>
      </c>
      <c r="H821" s="5" t="n">
        <f aca="false">VA_base_426_data!B821</f>
        <v>9522.47253485737</v>
      </c>
      <c r="I821" s="5" t="n">
        <f aca="false">IF(AND(E821=1,OR(C821=4,C821=5)),25*12.1/24/D821*1000,0)</f>
        <v>0</v>
      </c>
      <c r="J821" s="5" t="n">
        <f aca="false">VA_base_426_data!C821</f>
        <v>750</v>
      </c>
      <c r="K821" s="5" t="n">
        <f aca="false">H821+I821-J821</f>
        <v>8772.47253485737</v>
      </c>
      <c r="L821" s="5" t="n">
        <f aca="false">MIN($W$7,J821+K821)</f>
        <v>2000</v>
      </c>
      <c r="M821" s="5" t="n">
        <f aca="false">VA_base_426_data!D821</f>
        <v>700</v>
      </c>
      <c r="N821" s="5" t="n">
        <f aca="false">IF(AND(C821=10,E821=1),$W$6,N820-P820)</f>
        <v>0</v>
      </c>
      <c r="O821" s="5" t="n">
        <f aca="false">IF(ABS(M821-L821)&gt;1,MIN(N821/((L821-M821)*24/12.1/1000),D821),D821)</f>
        <v>0</v>
      </c>
      <c r="P821" s="5" t="n">
        <f aca="false">MIN(IF(AND(G821,E821),(L821-M821)*24/12.1*O821/1000,0),N821)</f>
        <v>0</v>
      </c>
      <c r="Q821" s="5" t="n">
        <f aca="false">IF(P821&gt;0,P821/O821*12.1/24*1000+M821,0)</f>
        <v>0</v>
      </c>
      <c r="R821" s="0" t="n">
        <f aca="false">IF(Q821&gt;0,TRUNC(O821),0)</f>
        <v>0</v>
      </c>
      <c r="S821" s="5" t="n">
        <f aca="false">(M821*(D821-R821)+(Q821*R821))/D821</f>
        <v>700</v>
      </c>
      <c r="T821" s="6" t="n">
        <f aca="false">(Q821-M821)*R821*24/12.1/1000</f>
        <v>-0</v>
      </c>
    </row>
    <row r="822" customFormat="false" ht="14.35" hidden="false" customHeight="false" outlineLevel="0" collapsed="false">
      <c r="A822" s="4" t="n">
        <v>32751</v>
      </c>
      <c r="B822" s="15" t="n">
        <f aca="false">IF(C822&lt;=9,YEAR(A822),YEAR(A822)+1)</f>
        <v>1989</v>
      </c>
      <c r="C822" s="15" t="n">
        <f aca="false">MONTH(A822)</f>
        <v>8</v>
      </c>
      <c r="D822" s="15" t="n">
        <f aca="false">DAY(A822)</f>
        <v>31</v>
      </c>
      <c r="E822" s="15" t="n">
        <f aca="false">VLOOKUP(B822,WYT!$A$2:$L$97,12)</f>
        <v>1</v>
      </c>
      <c r="F822" s="15" t="n">
        <f aca="false">IF(C822=$W$5,1,0)</f>
        <v>0</v>
      </c>
      <c r="G822" s="15" t="n">
        <f aca="false">IF(C822=10,0,IF(F822=1,1,G821))</f>
        <v>1</v>
      </c>
      <c r="H822" s="5" t="n">
        <f aca="false">VA_base_426_data!B822</f>
        <v>2114.93925950655</v>
      </c>
      <c r="I822" s="5" t="n">
        <f aca="false">IF(AND(E822=1,OR(C822=4,C822=5)),25*12.1/24/D822*1000,0)</f>
        <v>0</v>
      </c>
      <c r="J822" s="5" t="n">
        <f aca="false">VA_base_426_data!C822</f>
        <v>750</v>
      </c>
      <c r="K822" s="5" t="n">
        <f aca="false">H822+I822-J822</f>
        <v>1364.93925950655</v>
      </c>
      <c r="L822" s="5" t="n">
        <f aca="false">MIN($W$7,J822+K822)</f>
        <v>2000</v>
      </c>
      <c r="M822" s="5" t="n">
        <f aca="false">VA_base_426_data!D822</f>
        <v>700</v>
      </c>
      <c r="N822" s="5" t="n">
        <f aca="false">IF(AND(C822=10,E822=1),$W$6,N821-P821)</f>
        <v>0</v>
      </c>
      <c r="O822" s="5" t="n">
        <f aca="false">IF(ABS(M822-L822)&gt;1,MIN(N822/((L822-M822)*24/12.1/1000),D822),D822)</f>
        <v>0</v>
      </c>
      <c r="P822" s="5" t="n">
        <f aca="false">MIN(IF(AND(G822,E822),(L822-M822)*24/12.1*O822/1000,0),N822)</f>
        <v>0</v>
      </c>
      <c r="Q822" s="5" t="n">
        <f aca="false">IF(P822&gt;0,P822/O822*12.1/24*1000+M822,0)</f>
        <v>0</v>
      </c>
      <c r="R822" s="0" t="n">
        <f aca="false">IF(Q822&gt;0,TRUNC(O822),0)</f>
        <v>0</v>
      </c>
      <c r="S822" s="5" t="n">
        <f aca="false">(M822*(D822-R822)+(Q822*R822))/D822</f>
        <v>700</v>
      </c>
      <c r="T822" s="6" t="n">
        <f aca="false">(Q822-M822)*R822*24/12.1/1000</f>
        <v>-0</v>
      </c>
    </row>
    <row r="823" customFormat="false" ht="14.35" hidden="false" customHeight="false" outlineLevel="0" collapsed="false">
      <c r="A823" s="4" t="n">
        <v>32781</v>
      </c>
      <c r="B823" s="15" t="n">
        <f aca="false">IF(C823&lt;=9,YEAR(A823),YEAR(A823)+1)</f>
        <v>1989</v>
      </c>
      <c r="C823" s="15" t="n">
        <f aca="false">MONTH(A823)</f>
        <v>9</v>
      </c>
      <c r="D823" s="15" t="n">
        <f aca="false">DAY(A823)</f>
        <v>30</v>
      </c>
      <c r="E823" s="15" t="n">
        <f aca="false">VLOOKUP(B823,WYT!$A$2:$L$97,12)</f>
        <v>1</v>
      </c>
      <c r="F823" s="15" t="n">
        <f aca="false">IF(C823=$W$5,1,0)</f>
        <v>0</v>
      </c>
      <c r="G823" s="15" t="n">
        <f aca="false">IF(C823=10,0,IF(F823=1,1,G822))</f>
        <v>1</v>
      </c>
      <c r="H823" s="5" t="n">
        <f aca="false">VA_base_426_data!B823</f>
        <v>773.3333333</v>
      </c>
      <c r="I823" s="5" t="n">
        <f aca="false">IF(AND(E823=1,OR(C823=4,C823=5)),25*12.1/24/D823*1000,0)</f>
        <v>0</v>
      </c>
      <c r="J823" s="5" t="n">
        <f aca="false">VA_base_426_data!C823</f>
        <v>750</v>
      </c>
      <c r="K823" s="5" t="n">
        <f aca="false">H823+I823-J823</f>
        <v>23.3333333</v>
      </c>
      <c r="L823" s="5" t="n">
        <f aca="false">MIN($W$7,J823+K823)</f>
        <v>773.3333333</v>
      </c>
      <c r="M823" s="5" t="n">
        <f aca="false">VA_base_426_data!D823</f>
        <v>773.3333333</v>
      </c>
      <c r="N823" s="5" t="n">
        <f aca="false">IF(AND(C823=10,E823=1),$W$6,N822-P822)</f>
        <v>0</v>
      </c>
      <c r="O823" s="5" t="n">
        <f aca="false">IF(ABS(M823-L823)&gt;1,MIN(N823/((L823-M823)*24/12.1/1000),D823),D823)</f>
        <v>30</v>
      </c>
      <c r="P823" s="5" t="n">
        <f aca="false">MIN(IF(AND(G823,E823),(L823-M823)*24/12.1*O823/1000,0),N823)</f>
        <v>0</v>
      </c>
      <c r="Q823" s="5" t="n">
        <f aca="false">IF(P823&gt;0,P823/O823*12.1/24*1000+M823,0)</f>
        <v>0</v>
      </c>
      <c r="R823" s="0" t="n">
        <f aca="false">IF(Q823&gt;0,TRUNC(O823),0)</f>
        <v>0</v>
      </c>
      <c r="S823" s="5" t="n">
        <f aca="false">(M823*(D823-R823)+(Q823*R823))/D823</f>
        <v>773.3333333</v>
      </c>
      <c r="T823" s="6" t="n">
        <f aca="false">(Q823-M823)*R823*24/12.1/1000</f>
        <v>-0</v>
      </c>
    </row>
    <row r="824" customFormat="false" ht="14.35" hidden="false" customHeight="false" outlineLevel="0" collapsed="false">
      <c r="A824" s="4" t="n">
        <v>32812</v>
      </c>
      <c r="B824" s="15" t="n">
        <f aca="false">IF(C824&lt;=9,YEAR(A824),YEAR(A824)+1)</f>
        <v>1990</v>
      </c>
      <c r="C824" s="15" t="n">
        <f aca="false">MONTH(A824)</f>
        <v>10</v>
      </c>
      <c r="D824" s="15" t="n">
        <f aca="false">DAY(A824)</f>
        <v>31</v>
      </c>
      <c r="E824" s="15" t="n">
        <f aca="false">VLOOKUP(B824,WYT!$A$2:$L$97,12)</f>
        <v>0</v>
      </c>
      <c r="F824" s="15" t="n">
        <f aca="false">IF(C824=$W$5,1,0)</f>
        <v>0</v>
      </c>
      <c r="G824" s="15" t="n">
        <f aca="false">IF(C824=10,0,IF(F824=1,1,G823))</f>
        <v>0</v>
      </c>
      <c r="H824" s="5" t="n">
        <f aca="false">VA_base_426_data!B824</f>
        <v>900.000000000011</v>
      </c>
      <c r="I824" s="5" t="n">
        <f aca="false">IF(AND(E824=1,OR(C824=4,C824=5)),25*12.1/24/D824*1000,0)</f>
        <v>0</v>
      </c>
      <c r="J824" s="5" t="n">
        <f aca="false">VA_base_426_data!C824</f>
        <v>900</v>
      </c>
      <c r="K824" s="5" t="n">
        <f aca="false">H824+I824-J824</f>
        <v>1.06865627458319E-011</v>
      </c>
      <c r="L824" s="5" t="n">
        <f aca="false">MIN($W$7,J824+K824)</f>
        <v>900.000000000011</v>
      </c>
      <c r="M824" s="5" t="n">
        <f aca="false">VA_base_426_data!D824</f>
        <v>800</v>
      </c>
      <c r="N824" s="5" t="n">
        <f aca="false">IF(AND(C824=10,E824=1),$W$6,N823-P823)</f>
        <v>0</v>
      </c>
      <c r="O824" s="5" t="n">
        <f aca="false">IF(ABS(M824-L824)&gt;1,MIN(N824/((L824-M824)*24/12.1/1000),D824),D824)</f>
        <v>0</v>
      </c>
      <c r="P824" s="5" t="n">
        <f aca="false">MIN(IF(AND(G824,E824),(L824-M824)*24/12.1*O824/1000,0),N824)</f>
        <v>0</v>
      </c>
      <c r="Q824" s="5" t="n">
        <f aca="false">IF(P824&gt;0,P824/O824*12.1/24*1000+M824,0)</f>
        <v>0</v>
      </c>
      <c r="R824" s="0" t="n">
        <f aca="false">IF(Q824&gt;0,TRUNC(O824),0)</f>
        <v>0</v>
      </c>
      <c r="S824" s="5" t="n">
        <f aca="false">(M824*(D824-R824)+(Q824*R824))/D824</f>
        <v>800</v>
      </c>
      <c r="T824" s="6" t="n">
        <f aca="false">(Q824-M824)*R824*24/12.1/1000</f>
        <v>-0</v>
      </c>
    </row>
    <row r="825" customFormat="false" ht="14.35" hidden="false" customHeight="false" outlineLevel="0" collapsed="false">
      <c r="A825" s="4" t="n">
        <v>32842</v>
      </c>
      <c r="B825" s="15" t="n">
        <f aca="false">IF(C825&lt;=9,YEAR(A825),YEAR(A825)+1)</f>
        <v>1990</v>
      </c>
      <c r="C825" s="15" t="n">
        <f aca="false">MONTH(A825)</f>
        <v>11</v>
      </c>
      <c r="D825" s="15" t="n">
        <f aca="false">DAY(A825)</f>
        <v>30</v>
      </c>
      <c r="E825" s="15" t="n">
        <f aca="false">VLOOKUP(B825,WYT!$A$2:$L$97,12)</f>
        <v>0</v>
      </c>
      <c r="F825" s="15" t="n">
        <f aca="false">IF(C825=$W$5,1,0)</f>
        <v>0</v>
      </c>
      <c r="G825" s="15" t="n">
        <f aca="false">IF(C825=10,0,IF(F825=1,1,G824))</f>
        <v>0</v>
      </c>
      <c r="H825" s="5" t="n">
        <f aca="false">VA_base_426_data!B825</f>
        <v>899.999999999999</v>
      </c>
      <c r="I825" s="5" t="n">
        <f aca="false">IF(AND(E825=1,OR(C825=4,C825=5)),25*12.1/24/D825*1000,0)</f>
        <v>0</v>
      </c>
      <c r="J825" s="5" t="n">
        <f aca="false">VA_base_426_data!C825</f>
        <v>900</v>
      </c>
      <c r="K825" s="5" t="n">
        <f aca="false">H825+I825-J825</f>
        <v>0</v>
      </c>
      <c r="L825" s="5" t="n">
        <f aca="false">MIN($W$7,J825+K825)</f>
        <v>900</v>
      </c>
      <c r="M825" s="5" t="n">
        <f aca="false">VA_base_426_data!D825</f>
        <v>800</v>
      </c>
      <c r="N825" s="5" t="n">
        <f aca="false">IF(AND(C825=10,E825=1),$W$6,N824-P824)</f>
        <v>0</v>
      </c>
      <c r="O825" s="5" t="n">
        <f aca="false">IF(ABS(M825-L825)&gt;1,MIN(N825/((L825-M825)*24/12.1/1000),D825),D825)</f>
        <v>0</v>
      </c>
      <c r="P825" s="5" t="n">
        <f aca="false">MIN(IF(AND(G825,E825),(L825-M825)*24/12.1*O825/1000,0),N825)</f>
        <v>0</v>
      </c>
      <c r="Q825" s="5" t="n">
        <f aca="false">IF(P825&gt;0,P825/O825*12.1/24*1000+M825,0)</f>
        <v>0</v>
      </c>
      <c r="R825" s="0" t="n">
        <f aca="false">IF(Q825&gt;0,TRUNC(O825),0)</f>
        <v>0</v>
      </c>
      <c r="S825" s="5" t="n">
        <f aca="false">(M825*(D825-R825)+(Q825*R825))/D825</f>
        <v>800</v>
      </c>
      <c r="T825" s="6" t="n">
        <f aca="false">(Q825-M825)*R825*24/12.1/1000</f>
        <v>-0</v>
      </c>
    </row>
    <row r="826" customFormat="false" ht="14.35" hidden="false" customHeight="false" outlineLevel="0" collapsed="false">
      <c r="A826" s="4" t="n">
        <v>32873</v>
      </c>
      <c r="B826" s="15" t="n">
        <f aca="false">IF(C826&lt;=9,YEAR(A826),YEAR(A826)+1)</f>
        <v>1990</v>
      </c>
      <c r="C826" s="15" t="n">
        <f aca="false">MONTH(A826)</f>
        <v>12</v>
      </c>
      <c r="D826" s="15" t="n">
        <f aca="false">DAY(A826)</f>
        <v>31</v>
      </c>
      <c r="E826" s="15" t="n">
        <f aca="false">VLOOKUP(B826,WYT!$A$2:$L$97,12)</f>
        <v>0</v>
      </c>
      <c r="F826" s="15" t="n">
        <f aca="false">IF(C826=$W$5,1,0)</f>
        <v>0</v>
      </c>
      <c r="G826" s="15" t="n">
        <f aca="false">IF(C826=10,0,IF(F826=1,1,G825))</f>
        <v>0</v>
      </c>
      <c r="H826" s="5" t="n">
        <f aca="false">VA_base_426_data!B826</f>
        <v>900</v>
      </c>
      <c r="I826" s="5" t="n">
        <f aca="false">IF(AND(E826=1,OR(C826=4,C826=5)),25*12.1/24/D826*1000,0)</f>
        <v>0</v>
      </c>
      <c r="J826" s="5" t="n">
        <f aca="false">VA_base_426_data!C826</f>
        <v>900</v>
      </c>
      <c r="K826" s="5" t="n">
        <f aca="false">H826+I826-J826</f>
        <v>0</v>
      </c>
      <c r="L826" s="5" t="n">
        <f aca="false">MIN($W$7,J826+K826)</f>
        <v>900</v>
      </c>
      <c r="M826" s="5" t="n">
        <f aca="false">VA_base_426_data!D826</f>
        <v>800</v>
      </c>
      <c r="N826" s="5" t="n">
        <f aca="false">IF(AND(C826=10,E826=1),$W$6,N825-P825)</f>
        <v>0</v>
      </c>
      <c r="O826" s="5" t="n">
        <f aca="false">IF(ABS(M826-L826)&gt;1,MIN(N826/((L826-M826)*24/12.1/1000),D826),D826)</f>
        <v>0</v>
      </c>
      <c r="P826" s="5" t="n">
        <f aca="false">MIN(IF(AND(G826,E826),(L826-M826)*24/12.1*O826/1000,0),N826)</f>
        <v>0</v>
      </c>
      <c r="Q826" s="5" t="n">
        <f aca="false">IF(P826&gt;0,P826/O826*12.1/24*1000+M826,0)</f>
        <v>0</v>
      </c>
      <c r="R826" s="0" t="n">
        <f aca="false">IF(Q826&gt;0,TRUNC(O826),0)</f>
        <v>0</v>
      </c>
      <c r="S826" s="5" t="n">
        <f aca="false">(M826*(D826-R826)+(Q826*R826))/D826</f>
        <v>800</v>
      </c>
      <c r="T826" s="6" t="n">
        <f aca="false">(Q826-M826)*R826*24/12.1/1000</f>
        <v>-0</v>
      </c>
    </row>
    <row r="827" customFormat="false" ht="14.35" hidden="false" customHeight="false" outlineLevel="0" collapsed="false">
      <c r="A827" s="4" t="n">
        <v>32904</v>
      </c>
      <c r="B827" s="15" t="n">
        <f aca="false">IF(C827&lt;=9,YEAR(A827),YEAR(A827)+1)</f>
        <v>1990</v>
      </c>
      <c r="C827" s="15" t="n">
        <f aca="false">MONTH(A827)</f>
        <v>1</v>
      </c>
      <c r="D827" s="15" t="n">
        <f aca="false">DAY(A827)</f>
        <v>31</v>
      </c>
      <c r="E827" s="15" t="n">
        <f aca="false">VLOOKUP(B827,WYT!$A$2:$L$97,12)</f>
        <v>0</v>
      </c>
      <c r="F827" s="15" t="n">
        <f aca="false">IF(C827=$W$5,1,0)</f>
        <v>0</v>
      </c>
      <c r="G827" s="15" t="n">
        <f aca="false">IF(C827=10,0,IF(F827=1,1,G826))</f>
        <v>0</v>
      </c>
      <c r="H827" s="5" t="n">
        <f aca="false">VA_base_426_data!B827</f>
        <v>900</v>
      </c>
      <c r="I827" s="5" t="n">
        <f aca="false">IF(AND(E827=1,OR(C827=4,C827=5)),25*12.1/24/D827*1000,0)</f>
        <v>0</v>
      </c>
      <c r="J827" s="5" t="n">
        <f aca="false">VA_base_426_data!C827</f>
        <v>900</v>
      </c>
      <c r="K827" s="5" t="n">
        <f aca="false">H827+I827-J827</f>
        <v>0</v>
      </c>
      <c r="L827" s="5" t="n">
        <f aca="false">MIN($W$7,J827+K827)</f>
        <v>900</v>
      </c>
      <c r="M827" s="5" t="n">
        <f aca="false">VA_base_426_data!D827</f>
        <v>800</v>
      </c>
      <c r="N827" s="5" t="n">
        <f aca="false">IF(AND(C827=10,E827=1),$W$6,N826-P826)</f>
        <v>0</v>
      </c>
      <c r="O827" s="5" t="n">
        <f aca="false">IF(ABS(M827-L827)&gt;1,MIN(N827/((L827-M827)*24/12.1/1000),D827),D827)</f>
        <v>0</v>
      </c>
      <c r="P827" s="5" t="n">
        <f aca="false">MIN(IF(AND(G827,E827),(L827-M827)*24/12.1*O827/1000,0),N827)</f>
        <v>0</v>
      </c>
      <c r="Q827" s="5" t="n">
        <f aca="false">IF(P827&gt;0,P827/O827*12.1/24*1000+M827,0)</f>
        <v>0</v>
      </c>
      <c r="R827" s="0" t="n">
        <f aca="false">IF(Q827&gt;0,TRUNC(O827),0)</f>
        <v>0</v>
      </c>
      <c r="S827" s="5" t="n">
        <f aca="false">(M827*(D827-R827)+(Q827*R827))/D827</f>
        <v>800</v>
      </c>
      <c r="T827" s="6" t="n">
        <f aca="false">(Q827-M827)*R827*24/12.1/1000</f>
        <v>-0</v>
      </c>
    </row>
    <row r="828" customFormat="false" ht="14.35" hidden="false" customHeight="false" outlineLevel="0" collapsed="false">
      <c r="A828" s="4" t="n">
        <v>32932</v>
      </c>
      <c r="B828" s="15" t="n">
        <f aca="false">IF(C828&lt;=9,YEAR(A828),YEAR(A828)+1)</f>
        <v>1990</v>
      </c>
      <c r="C828" s="15" t="n">
        <f aca="false">MONTH(A828)</f>
        <v>2</v>
      </c>
      <c r="D828" s="15" t="n">
        <f aca="false">DAY(A828)</f>
        <v>28</v>
      </c>
      <c r="E828" s="15" t="n">
        <f aca="false">VLOOKUP(B828,WYT!$A$2:$L$97,12)</f>
        <v>0</v>
      </c>
      <c r="F828" s="15" t="n">
        <f aca="false">IF(C828=$W$5,1,0)</f>
        <v>1</v>
      </c>
      <c r="G828" s="15" t="n">
        <f aca="false">IF(C828=10,0,IF(F828=1,1,G827))</f>
        <v>1</v>
      </c>
      <c r="H828" s="5" t="n">
        <f aca="false">VA_base_426_data!B828</f>
        <v>900</v>
      </c>
      <c r="I828" s="5" t="n">
        <f aca="false">IF(AND(E828=1,OR(C828=4,C828=5)),25*12.1/24/D828*1000,0)</f>
        <v>0</v>
      </c>
      <c r="J828" s="5" t="n">
        <f aca="false">VA_base_426_data!C828</f>
        <v>900</v>
      </c>
      <c r="K828" s="5" t="n">
        <f aca="false">H828+I828-J828</f>
        <v>0</v>
      </c>
      <c r="L828" s="5" t="n">
        <f aca="false">MIN($W$7,J828+K828)</f>
        <v>900</v>
      </c>
      <c r="M828" s="5" t="n">
        <f aca="false">VA_base_426_data!D828</f>
        <v>800</v>
      </c>
      <c r="N828" s="5" t="n">
        <f aca="false">IF(AND(C828=10,E828=1),$W$6,N827-P827)</f>
        <v>0</v>
      </c>
      <c r="O828" s="5" t="n">
        <f aca="false">IF(ABS(M828-L828)&gt;1,MIN(N828/((L828-M828)*24/12.1/1000),D828),D828)</f>
        <v>0</v>
      </c>
      <c r="P828" s="5" t="n">
        <f aca="false">MIN(IF(AND(G828,E828),(L828-M828)*24/12.1*O828/1000,0),N828)</f>
        <v>0</v>
      </c>
      <c r="Q828" s="5" t="n">
        <f aca="false">IF(P828&gt;0,P828/O828*12.1/24*1000+M828,0)</f>
        <v>0</v>
      </c>
      <c r="R828" s="0" t="n">
        <f aca="false">IF(Q828&gt;0,TRUNC(O828),0)</f>
        <v>0</v>
      </c>
      <c r="S828" s="5" t="n">
        <f aca="false">(M828*(D828-R828)+(Q828*R828))/D828</f>
        <v>800</v>
      </c>
      <c r="T828" s="6" t="n">
        <f aca="false">(Q828-M828)*R828*24/12.1/1000</f>
        <v>-0</v>
      </c>
    </row>
    <row r="829" customFormat="false" ht="14.35" hidden="false" customHeight="false" outlineLevel="0" collapsed="false">
      <c r="A829" s="4" t="n">
        <v>32963</v>
      </c>
      <c r="B829" s="15" t="n">
        <f aca="false">IF(C829&lt;=9,YEAR(A829),YEAR(A829)+1)</f>
        <v>1990</v>
      </c>
      <c r="C829" s="15" t="n">
        <f aca="false">MONTH(A829)</f>
        <v>3</v>
      </c>
      <c r="D829" s="15" t="n">
        <f aca="false">DAY(A829)</f>
        <v>31</v>
      </c>
      <c r="E829" s="15" t="n">
        <f aca="false">VLOOKUP(B829,WYT!$A$2:$L$97,12)</f>
        <v>0</v>
      </c>
      <c r="F829" s="15" t="n">
        <f aca="false">IF(C829=$W$5,1,0)</f>
        <v>0</v>
      </c>
      <c r="G829" s="15" t="n">
        <f aca="false">IF(C829=10,0,IF(F829=1,1,G828))</f>
        <v>1</v>
      </c>
      <c r="H829" s="5" t="n">
        <f aca="false">VA_base_426_data!B829</f>
        <v>800</v>
      </c>
      <c r="I829" s="5" t="n">
        <f aca="false">IF(AND(E829=1,OR(C829=4,C829=5)),25*12.1/24/D829*1000,0)</f>
        <v>0</v>
      </c>
      <c r="J829" s="5" t="n">
        <f aca="false">VA_base_426_data!C829</f>
        <v>750</v>
      </c>
      <c r="K829" s="5" t="n">
        <f aca="false">H829+I829-J829</f>
        <v>50</v>
      </c>
      <c r="L829" s="5" t="n">
        <f aca="false">MIN($W$7,J829+K829)</f>
        <v>800</v>
      </c>
      <c r="M829" s="5" t="n">
        <f aca="false">VA_base_426_data!D829</f>
        <v>800</v>
      </c>
      <c r="N829" s="5" t="n">
        <f aca="false">IF(AND(C829=10,E829=1),$W$6,N828-P828)</f>
        <v>0</v>
      </c>
      <c r="O829" s="5" t="n">
        <f aca="false">IF(ABS(M829-L829)&gt;1,MIN(N829/((L829-M829)*24/12.1/1000),D829),D829)</f>
        <v>31</v>
      </c>
      <c r="P829" s="5" t="n">
        <f aca="false">MIN(IF(AND(G829,E829),(L829-M829)*24/12.1*O829/1000,0),N829)</f>
        <v>0</v>
      </c>
      <c r="Q829" s="5" t="n">
        <f aca="false">IF(P829&gt;0,P829/O829*12.1/24*1000+M829,0)</f>
        <v>0</v>
      </c>
      <c r="R829" s="0" t="n">
        <f aca="false">IF(Q829&gt;0,TRUNC(O829),0)</f>
        <v>0</v>
      </c>
      <c r="S829" s="5" t="n">
        <f aca="false">(M829*(D829-R829)+(Q829*R829))/D829</f>
        <v>800</v>
      </c>
      <c r="T829" s="6" t="n">
        <f aca="false">(Q829-M829)*R829*24/12.1/1000</f>
        <v>-0</v>
      </c>
    </row>
    <row r="830" customFormat="false" ht="14.35" hidden="false" customHeight="false" outlineLevel="0" collapsed="false">
      <c r="A830" s="4" t="n">
        <v>32993</v>
      </c>
      <c r="B830" s="15" t="n">
        <f aca="false">IF(C830&lt;=9,YEAR(A830),YEAR(A830)+1)</f>
        <v>1990</v>
      </c>
      <c r="C830" s="15" t="n">
        <f aca="false">MONTH(A830)</f>
        <v>4</v>
      </c>
      <c r="D830" s="15" t="n">
        <f aca="false">DAY(A830)</f>
        <v>30</v>
      </c>
      <c r="E830" s="15" t="n">
        <f aca="false">VLOOKUP(B830,WYT!$A$2:$L$97,12)</f>
        <v>0</v>
      </c>
      <c r="F830" s="15" t="n">
        <f aca="false">IF(C830=$W$5,1,0)</f>
        <v>0</v>
      </c>
      <c r="G830" s="15" t="n">
        <f aca="false">IF(C830=10,0,IF(F830=1,1,G829))</f>
        <v>1</v>
      </c>
      <c r="H830" s="5" t="n">
        <f aca="false">VA_base_426_data!B830</f>
        <v>750</v>
      </c>
      <c r="I830" s="5" t="n">
        <f aca="false">IF(AND(E830=1,OR(C830=4,C830=5)),25*12.1/24/D830*1000,0)</f>
        <v>0</v>
      </c>
      <c r="J830" s="5" t="n">
        <f aca="false">VA_base_426_data!C830</f>
        <v>750</v>
      </c>
      <c r="K830" s="5" t="n">
        <f aca="false">H830+I830-J830</f>
        <v>0</v>
      </c>
      <c r="L830" s="5" t="n">
        <f aca="false">MIN($W$7,J830+K830)</f>
        <v>750</v>
      </c>
      <c r="M830" s="5" t="n">
        <f aca="false">VA_base_426_data!D830</f>
        <v>700</v>
      </c>
      <c r="N830" s="5" t="n">
        <f aca="false">IF(AND(C830=10,E830=1),$W$6,N829-P829)</f>
        <v>0</v>
      </c>
      <c r="O830" s="5" t="n">
        <f aca="false">IF(ABS(M830-L830)&gt;1,MIN(N830/((L830-M830)*24/12.1/1000),D830),D830)</f>
        <v>0</v>
      </c>
      <c r="P830" s="5" t="n">
        <f aca="false">MIN(IF(AND(G830,E830),(L830-M830)*24/12.1*O830/1000,0),N830)</f>
        <v>0</v>
      </c>
      <c r="Q830" s="5" t="n">
        <f aca="false">IF(P830&gt;0,P830/O830*12.1/24*1000+M830,0)</f>
        <v>0</v>
      </c>
      <c r="R830" s="0" t="n">
        <f aca="false">IF(Q830&gt;0,TRUNC(O830),0)</f>
        <v>0</v>
      </c>
      <c r="S830" s="5" t="n">
        <f aca="false">(M830*(D830-R830)+(Q830*R830))/D830</f>
        <v>700</v>
      </c>
      <c r="T830" s="6" t="n">
        <f aca="false">(Q830-M830)*R830*24/12.1/1000</f>
        <v>-0</v>
      </c>
    </row>
    <row r="831" customFormat="false" ht="14.35" hidden="false" customHeight="false" outlineLevel="0" collapsed="false">
      <c r="A831" s="4" t="n">
        <v>33024</v>
      </c>
      <c r="B831" s="15" t="n">
        <f aca="false">IF(C831&lt;=9,YEAR(A831),YEAR(A831)+1)</f>
        <v>1990</v>
      </c>
      <c r="C831" s="15" t="n">
        <f aca="false">MONTH(A831)</f>
        <v>5</v>
      </c>
      <c r="D831" s="15" t="n">
        <f aca="false">DAY(A831)</f>
        <v>31</v>
      </c>
      <c r="E831" s="15" t="n">
        <f aca="false">VLOOKUP(B831,WYT!$A$2:$L$97,12)</f>
        <v>0</v>
      </c>
      <c r="F831" s="15" t="n">
        <f aca="false">IF(C831=$W$5,1,0)</f>
        <v>0</v>
      </c>
      <c r="G831" s="15" t="n">
        <f aca="false">IF(C831=10,0,IF(F831=1,1,G830))</f>
        <v>1</v>
      </c>
      <c r="H831" s="5" t="n">
        <f aca="false">VA_base_426_data!B831</f>
        <v>836.00313440947</v>
      </c>
      <c r="I831" s="5" t="n">
        <f aca="false">IF(AND(E831=1,OR(C831=4,C831=5)),25*12.1/24/D831*1000,0)</f>
        <v>0</v>
      </c>
      <c r="J831" s="5" t="n">
        <f aca="false">VA_base_426_data!C831</f>
        <v>750</v>
      </c>
      <c r="K831" s="5" t="n">
        <f aca="false">H831+I831-J831</f>
        <v>86.0031344094702</v>
      </c>
      <c r="L831" s="5" t="n">
        <f aca="false">MIN($W$7,J831+K831)</f>
        <v>836.00313440947</v>
      </c>
      <c r="M831" s="5" t="n">
        <f aca="false">VA_base_426_data!D831</f>
        <v>700</v>
      </c>
      <c r="N831" s="5" t="n">
        <f aca="false">IF(AND(C831=10,E831=1),$W$6,N830-P830)</f>
        <v>0</v>
      </c>
      <c r="O831" s="5" t="n">
        <f aca="false">IF(ABS(M831-L831)&gt;1,MIN(N831/((L831-M831)*24/12.1/1000),D831),D831)</f>
        <v>0</v>
      </c>
      <c r="P831" s="5" t="n">
        <f aca="false">MIN(IF(AND(G831,E831),(L831-M831)*24/12.1*O831/1000,0),N831)</f>
        <v>0</v>
      </c>
      <c r="Q831" s="5" t="n">
        <f aca="false">IF(P831&gt;0,P831/O831*12.1/24*1000+M831,0)</f>
        <v>0</v>
      </c>
      <c r="R831" s="0" t="n">
        <f aca="false">IF(Q831&gt;0,TRUNC(O831),0)</f>
        <v>0</v>
      </c>
      <c r="S831" s="5" t="n">
        <f aca="false">(M831*(D831-R831)+(Q831*R831))/D831</f>
        <v>700</v>
      </c>
      <c r="T831" s="6" t="n">
        <f aca="false">(Q831-M831)*R831*24/12.1/1000</f>
        <v>-0</v>
      </c>
    </row>
    <row r="832" customFormat="false" ht="14.35" hidden="false" customHeight="false" outlineLevel="0" collapsed="false">
      <c r="A832" s="4" t="n">
        <v>33054</v>
      </c>
      <c r="B832" s="15" t="n">
        <f aca="false">IF(C832&lt;=9,YEAR(A832),YEAR(A832)+1)</f>
        <v>1990</v>
      </c>
      <c r="C832" s="15" t="n">
        <f aca="false">MONTH(A832)</f>
        <v>6</v>
      </c>
      <c r="D832" s="15" t="n">
        <f aca="false">DAY(A832)</f>
        <v>30</v>
      </c>
      <c r="E832" s="15" t="n">
        <f aca="false">VLOOKUP(B832,WYT!$A$2:$L$97,12)</f>
        <v>0</v>
      </c>
      <c r="F832" s="15" t="n">
        <f aca="false">IF(C832=$W$5,1,0)</f>
        <v>0</v>
      </c>
      <c r="G832" s="15" t="n">
        <f aca="false">IF(C832=10,0,IF(F832=1,1,G831))</f>
        <v>1</v>
      </c>
      <c r="H832" s="5" t="n">
        <f aca="false">VA_base_426_data!B832</f>
        <v>3381.76947926255</v>
      </c>
      <c r="I832" s="5" t="n">
        <f aca="false">IF(AND(E832=1,OR(C832=4,C832=5)),25*12.1/24/D832*1000,0)</f>
        <v>0</v>
      </c>
      <c r="J832" s="5" t="n">
        <f aca="false">VA_base_426_data!C832</f>
        <v>750</v>
      </c>
      <c r="K832" s="5" t="n">
        <f aca="false">H832+I832-J832</f>
        <v>2631.76947926255</v>
      </c>
      <c r="L832" s="5" t="n">
        <f aca="false">MIN($W$7,J832+K832)</f>
        <v>2000</v>
      </c>
      <c r="M832" s="5" t="n">
        <f aca="false">VA_base_426_data!D832</f>
        <v>700</v>
      </c>
      <c r="N832" s="5" t="n">
        <f aca="false">IF(AND(C832=10,E832=1),$W$6,N831-P831)</f>
        <v>0</v>
      </c>
      <c r="O832" s="5" t="n">
        <f aca="false">IF(ABS(M832-L832)&gt;1,MIN(N832/((L832-M832)*24/12.1/1000),D832),D832)</f>
        <v>0</v>
      </c>
      <c r="P832" s="5" t="n">
        <f aca="false">MIN(IF(AND(G832,E832),(L832-M832)*24/12.1*O832/1000,0),N832)</f>
        <v>0</v>
      </c>
      <c r="Q832" s="5" t="n">
        <f aca="false">IF(P832&gt;0,P832/O832*12.1/24*1000+M832,0)</f>
        <v>0</v>
      </c>
      <c r="R832" s="0" t="n">
        <f aca="false">IF(Q832&gt;0,TRUNC(O832),0)</f>
        <v>0</v>
      </c>
      <c r="S832" s="5" t="n">
        <f aca="false">(M832*(D832-R832)+(Q832*R832))/D832</f>
        <v>700</v>
      </c>
      <c r="T832" s="6" t="n">
        <f aca="false">(Q832-M832)*R832*24/12.1/1000</f>
        <v>-0</v>
      </c>
    </row>
    <row r="833" customFormat="false" ht="14.35" hidden="false" customHeight="false" outlineLevel="0" collapsed="false">
      <c r="A833" s="4" t="n">
        <v>33085</v>
      </c>
      <c r="B833" s="15" t="n">
        <f aca="false">IF(C833&lt;=9,YEAR(A833),YEAR(A833)+1)</f>
        <v>1990</v>
      </c>
      <c r="C833" s="15" t="n">
        <f aca="false">MONTH(A833)</f>
        <v>7</v>
      </c>
      <c r="D833" s="15" t="n">
        <f aca="false">DAY(A833)</f>
        <v>31</v>
      </c>
      <c r="E833" s="15" t="n">
        <f aca="false">VLOOKUP(B833,WYT!$A$2:$L$97,12)</f>
        <v>0</v>
      </c>
      <c r="F833" s="15" t="n">
        <f aca="false">IF(C833=$W$5,1,0)</f>
        <v>0</v>
      </c>
      <c r="G833" s="15" t="n">
        <f aca="false">IF(C833=10,0,IF(F833=1,1,G832))</f>
        <v>1</v>
      </c>
      <c r="H833" s="5" t="n">
        <f aca="false">VA_base_426_data!B833</f>
        <v>3369.67292871947</v>
      </c>
      <c r="I833" s="5" t="n">
        <f aca="false">IF(AND(E833=1,OR(C833=4,C833=5)),25*12.1/24/D833*1000,0)</f>
        <v>0</v>
      </c>
      <c r="J833" s="5" t="n">
        <f aca="false">VA_base_426_data!C833</f>
        <v>750</v>
      </c>
      <c r="K833" s="5" t="n">
        <f aca="false">H833+I833-J833</f>
        <v>2619.67292871947</v>
      </c>
      <c r="L833" s="5" t="n">
        <f aca="false">MIN($W$7,J833+K833)</f>
        <v>2000</v>
      </c>
      <c r="M833" s="5" t="n">
        <f aca="false">VA_base_426_data!D833</f>
        <v>700</v>
      </c>
      <c r="N833" s="5" t="n">
        <f aca="false">IF(AND(C833=10,E833=1),$W$6,N832-P832)</f>
        <v>0</v>
      </c>
      <c r="O833" s="5" t="n">
        <f aca="false">IF(ABS(M833-L833)&gt;1,MIN(N833/((L833-M833)*24/12.1/1000),D833),D833)</f>
        <v>0</v>
      </c>
      <c r="P833" s="5" t="n">
        <f aca="false">MIN(IF(AND(G833,E833),(L833-M833)*24/12.1*O833/1000,0),N833)</f>
        <v>0</v>
      </c>
      <c r="Q833" s="5" t="n">
        <f aca="false">IF(P833&gt;0,P833/O833*12.1/24*1000+M833,0)</f>
        <v>0</v>
      </c>
      <c r="R833" s="0" t="n">
        <f aca="false">IF(Q833&gt;0,TRUNC(O833),0)</f>
        <v>0</v>
      </c>
      <c r="S833" s="5" t="n">
        <f aca="false">(M833*(D833-R833)+(Q833*R833))/D833</f>
        <v>700</v>
      </c>
      <c r="T833" s="6" t="n">
        <f aca="false">(Q833-M833)*R833*24/12.1/1000</f>
        <v>-0</v>
      </c>
    </row>
    <row r="834" customFormat="false" ht="14.35" hidden="false" customHeight="false" outlineLevel="0" collapsed="false">
      <c r="A834" s="4" t="n">
        <v>33116</v>
      </c>
      <c r="B834" s="15" t="n">
        <f aca="false">IF(C834&lt;=9,YEAR(A834),YEAR(A834)+1)</f>
        <v>1990</v>
      </c>
      <c r="C834" s="15" t="n">
        <f aca="false">MONTH(A834)</f>
        <v>8</v>
      </c>
      <c r="D834" s="15" t="n">
        <f aca="false">DAY(A834)</f>
        <v>31</v>
      </c>
      <c r="E834" s="15" t="n">
        <f aca="false">VLOOKUP(B834,WYT!$A$2:$L$97,12)</f>
        <v>0</v>
      </c>
      <c r="F834" s="15" t="n">
        <f aca="false">IF(C834=$W$5,1,0)</f>
        <v>0</v>
      </c>
      <c r="G834" s="15" t="n">
        <f aca="false">IF(C834=10,0,IF(F834=1,1,G833))</f>
        <v>1</v>
      </c>
      <c r="H834" s="5" t="n">
        <f aca="false">VA_base_426_data!B834</f>
        <v>1362.43346940486</v>
      </c>
      <c r="I834" s="5" t="n">
        <f aca="false">IF(AND(E834=1,OR(C834=4,C834=5)),25*12.1/24/D834*1000,0)</f>
        <v>0</v>
      </c>
      <c r="J834" s="5" t="n">
        <f aca="false">VA_base_426_data!C834</f>
        <v>750</v>
      </c>
      <c r="K834" s="5" t="n">
        <f aca="false">H834+I834-J834</f>
        <v>612.43346940486</v>
      </c>
      <c r="L834" s="5" t="n">
        <f aca="false">MIN($W$7,J834+K834)</f>
        <v>1362.43346940486</v>
      </c>
      <c r="M834" s="5" t="n">
        <f aca="false">VA_base_426_data!D834</f>
        <v>700</v>
      </c>
      <c r="N834" s="5" t="n">
        <f aca="false">IF(AND(C834=10,E834=1),$W$6,N833-P833)</f>
        <v>0</v>
      </c>
      <c r="O834" s="5" t="n">
        <f aca="false">IF(ABS(M834-L834)&gt;1,MIN(N834/((L834-M834)*24/12.1/1000),D834),D834)</f>
        <v>0</v>
      </c>
      <c r="P834" s="5" t="n">
        <f aca="false">MIN(IF(AND(G834,E834),(L834-M834)*24/12.1*O834/1000,0),N834)</f>
        <v>0</v>
      </c>
      <c r="Q834" s="5" t="n">
        <f aca="false">IF(P834&gt;0,P834/O834*12.1/24*1000+M834,0)</f>
        <v>0</v>
      </c>
      <c r="R834" s="0" t="n">
        <f aca="false">IF(Q834&gt;0,TRUNC(O834),0)</f>
        <v>0</v>
      </c>
      <c r="S834" s="5" t="n">
        <f aca="false">(M834*(D834-R834)+(Q834*R834))/D834</f>
        <v>700</v>
      </c>
      <c r="T834" s="6" t="n">
        <f aca="false">(Q834-M834)*R834*24/12.1/1000</f>
        <v>-0</v>
      </c>
    </row>
    <row r="835" customFormat="false" ht="14.35" hidden="false" customHeight="false" outlineLevel="0" collapsed="false">
      <c r="A835" s="4" t="n">
        <v>33146</v>
      </c>
      <c r="B835" s="15" t="n">
        <f aca="false">IF(C835&lt;=9,YEAR(A835),YEAR(A835)+1)</f>
        <v>1990</v>
      </c>
      <c r="C835" s="15" t="n">
        <f aca="false">MONTH(A835)</f>
        <v>9</v>
      </c>
      <c r="D835" s="15" t="n">
        <f aca="false">DAY(A835)</f>
        <v>30</v>
      </c>
      <c r="E835" s="15" t="n">
        <f aca="false">VLOOKUP(B835,WYT!$A$2:$L$97,12)</f>
        <v>0</v>
      </c>
      <c r="F835" s="15" t="n">
        <f aca="false">IF(C835=$W$5,1,0)</f>
        <v>0</v>
      </c>
      <c r="G835" s="15" t="n">
        <f aca="false">IF(C835=10,0,IF(F835=1,1,G834))</f>
        <v>1</v>
      </c>
      <c r="H835" s="5" t="n">
        <f aca="false">VA_base_426_data!B835</f>
        <v>1005.85421230821</v>
      </c>
      <c r="I835" s="5" t="n">
        <f aca="false">IF(AND(E835=1,OR(C835=4,C835=5)),25*12.1/24/D835*1000,0)</f>
        <v>0</v>
      </c>
      <c r="J835" s="5" t="n">
        <f aca="false">VA_base_426_data!C835</f>
        <v>750</v>
      </c>
      <c r="K835" s="5" t="n">
        <f aca="false">H835+I835-J835</f>
        <v>255.854212308212</v>
      </c>
      <c r="L835" s="5" t="n">
        <f aca="false">MIN($W$7,J835+K835)</f>
        <v>1005.85421230821</v>
      </c>
      <c r="M835" s="5" t="n">
        <f aca="false">VA_base_426_data!D835</f>
        <v>773.3333333</v>
      </c>
      <c r="N835" s="5" t="n">
        <f aca="false">IF(AND(C835=10,E835=1),$W$6,N834-P834)</f>
        <v>0</v>
      </c>
      <c r="O835" s="5" t="n">
        <f aca="false">IF(ABS(M835-L835)&gt;1,MIN(N835/((L835-M835)*24/12.1/1000),D835),D835)</f>
        <v>0</v>
      </c>
      <c r="P835" s="5" t="n">
        <f aca="false">MIN(IF(AND(G835,E835),(L835-M835)*24/12.1*O835/1000,0),N835)</f>
        <v>0</v>
      </c>
      <c r="Q835" s="5" t="n">
        <f aca="false">IF(P835&gt;0,P835/O835*12.1/24*1000+M835,0)</f>
        <v>0</v>
      </c>
      <c r="R835" s="0" t="n">
        <f aca="false">IF(Q835&gt;0,TRUNC(O835),0)</f>
        <v>0</v>
      </c>
      <c r="S835" s="5" t="n">
        <f aca="false">(M835*(D835-R835)+(Q835*R835))/D835</f>
        <v>773.3333333</v>
      </c>
      <c r="T835" s="6" t="n">
        <f aca="false">(Q835-M835)*R835*24/12.1/1000</f>
        <v>-0</v>
      </c>
    </row>
    <row r="836" customFormat="false" ht="14.35" hidden="false" customHeight="false" outlineLevel="0" collapsed="false">
      <c r="A836" s="4" t="n">
        <v>33177</v>
      </c>
      <c r="B836" s="15" t="n">
        <f aca="false">IF(C836&lt;=9,YEAR(A836),YEAR(A836)+1)</f>
        <v>1991</v>
      </c>
      <c r="C836" s="15" t="n">
        <f aca="false">MONTH(A836)</f>
        <v>10</v>
      </c>
      <c r="D836" s="15" t="n">
        <f aca="false">DAY(A836)</f>
        <v>31</v>
      </c>
      <c r="E836" s="15" t="n">
        <f aca="false">VLOOKUP(B836,WYT!$A$2:$L$97,12)</f>
        <v>0</v>
      </c>
      <c r="F836" s="15" t="n">
        <f aca="false">IF(C836=$W$5,1,0)</f>
        <v>0</v>
      </c>
      <c r="G836" s="15" t="n">
        <f aca="false">IF(C836=10,0,IF(F836=1,1,G835))</f>
        <v>0</v>
      </c>
      <c r="H836" s="5" t="n">
        <f aca="false">VA_base_426_data!B836</f>
        <v>931.298008103222</v>
      </c>
      <c r="I836" s="5" t="n">
        <f aca="false">IF(AND(E836=1,OR(C836=4,C836=5)),25*12.1/24/D836*1000,0)</f>
        <v>0</v>
      </c>
      <c r="J836" s="5" t="n">
        <f aca="false">VA_base_426_data!C836</f>
        <v>900</v>
      </c>
      <c r="K836" s="5" t="n">
        <f aca="false">H836+I836-J836</f>
        <v>31.2980081032222</v>
      </c>
      <c r="L836" s="5" t="n">
        <f aca="false">MIN($W$7,J836+K836)</f>
        <v>931.298008103222</v>
      </c>
      <c r="M836" s="5" t="n">
        <f aca="false">VA_base_426_data!D836</f>
        <v>800</v>
      </c>
      <c r="N836" s="5" t="n">
        <f aca="false">IF(AND(C836=10,E836=1),$W$6,N835-P835)</f>
        <v>0</v>
      </c>
      <c r="O836" s="5" t="n">
        <f aca="false">IF(ABS(M836-L836)&gt;1,MIN(N836/((L836-M836)*24/12.1/1000),D836),D836)</f>
        <v>0</v>
      </c>
      <c r="P836" s="5" t="n">
        <f aca="false">MIN(IF(AND(G836,E836),(L836-M836)*24/12.1*O836/1000,0),N836)</f>
        <v>0</v>
      </c>
      <c r="Q836" s="5" t="n">
        <f aca="false">IF(P836&gt;0,P836/O836*12.1/24*1000+M836,0)</f>
        <v>0</v>
      </c>
      <c r="R836" s="0" t="n">
        <f aca="false">IF(Q836&gt;0,TRUNC(O836),0)</f>
        <v>0</v>
      </c>
      <c r="S836" s="5" t="n">
        <f aca="false">(M836*(D836-R836)+(Q836*R836))/D836</f>
        <v>800</v>
      </c>
      <c r="T836" s="6" t="n">
        <f aca="false">(Q836-M836)*R836*24/12.1/1000</f>
        <v>-0</v>
      </c>
    </row>
    <row r="837" customFormat="false" ht="14.35" hidden="false" customHeight="false" outlineLevel="0" collapsed="false">
      <c r="A837" s="4" t="n">
        <v>33207</v>
      </c>
      <c r="B837" s="15" t="n">
        <f aca="false">IF(C837&lt;=9,YEAR(A837),YEAR(A837)+1)</f>
        <v>1991</v>
      </c>
      <c r="C837" s="15" t="n">
        <f aca="false">MONTH(A837)</f>
        <v>11</v>
      </c>
      <c r="D837" s="15" t="n">
        <f aca="false">DAY(A837)</f>
        <v>30</v>
      </c>
      <c r="E837" s="15" t="n">
        <f aca="false">VLOOKUP(B837,WYT!$A$2:$L$97,12)</f>
        <v>0</v>
      </c>
      <c r="F837" s="15" t="n">
        <f aca="false">IF(C837=$W$5,1,0)</f>
        <v>0</v>
      </c>
      <c r="G837" s="15" t="n">
        <f aca="false">IF(C837=10,0,IF(F837=1,1,G836))</f>
        <v>0</v>
      </c>
      <c r="H837" s="5" t="n">
        <f aca="false">VA_base_426_data!B837</f>
        <v>899.999999999993</v>
      </c>
      <c r="I837" s="5" t="n">
        <f aca="false">IF(AND(E837=1,OR(C837=4,C837=5)),25*12.1/24/D837*1000,0)</f>
        <v>0</v>
      </c>
      <c r="J837" s="5" t="n">
        <f aca="false">VA_base_426_data!C837</f>
        <v>900</v>
      </c>
      <c r="K837" s="5" t="n">
        <f aca="false">H837+I837-J837</f>
        <v>-7.27595761418343E-012</v>
      </c>
      <c r="L837" s="5" t="n">
        <f aca="false">MIN($W$7,J837+K837)</f>
        <v>899.999999999993</v>
      </c>
      <c r="M837" s="5" t="n">
        <f aca="false">VA_base_426_data!D837</f>
        <v>800</v>
      </c>
      <c r="N837" s="5" t="n">
        <f aca="false">IF(AND(C837=10,E837=1),$W$6,N836-P836)</f>
        <v>0</v>
      </c>
      <c r="O837" s="5" t="n">
        <f aca="false">IF(ABS(M837-L837)&gt;1,MIN(N837/((L837-M837)*24/12.1/1000),D837),D837)</f>
        <v>0</v>
      </c>
      <c r="P837" s="5" t="n">
        <f aca="false">MIN(IF(AND(G837,E837),(L837-M837)*24/12.1*O837/1000,0),N837)</f>
        <v>0</v>
      </c>
      <c r="Q837" s="5" t="n">
        <f aca="false">IF(P837&gt;0,P837/O837*12.1/24*1000+M837,0)</f>
        <v>0</v>
      </c>
      <c r="R837" s="0" t="n">
        <f aca="false">IF(Q837&gt;0,TRUNC(O837),0)</f>
        <v>0</v>
      </c>
      <c r="S837" s="5" t="n">
        <f aca="false">(M837*(D837-R837)+(Q837*R837))/D837</f>
        <v>800</v>
      </c>
      <c r="T837" s="6" t="n">
        <f aca="false">(Q837-M837)*R837*24/12.1/1000</f>
        <v>-0</v>
      </c>
    </row>
    <row r="838" customFormat="false" ht="14.35" hidden="false" customHeight="false" outlineLevel="0" collapsed="false">
      <c r="A838" s="4" t="n">
        <v>33238</v>
      </c>
      <c r="B838" s="15" t="n">
        <f aca="false">IF(C838&lt;=9,YEAR(A838),YEAR(A838)+1)</f>
        <v>1991</v>
      </c>
      <c r="C838" s="15" t="n">
        <f aca="false">MONTH(A838)</f>
        <v>12</v>
      </c>
      <c r="D838" s="15" t="n">
        <f aca="false">DAY(A838)</f>
        <v>31</v>
      </c>
      <c r="E838" s="15" t="n">
        <f aca="false">VLOOKUP(B838,WYT!$A$2:$L$97,12)</f>
        <v>0</v>
      </c>
      <c r="F838" s="15" t="n">
        <f aca="false">IF(C838=$W$5,1,0)</f>
        <v>0</v>
      </c>
      <c r="G838" s="15" t="n">
        <f aca="false">IF(C838=10,0,IF(F838=1,1,G837))</f>
        <v>0</v>
      </c>
      <c r="H838" s="5" t="n">
        <f aca="false">VA_base_426_data!B838</f>
        <v>1374.54254092619</v>
      </c>
      <c r="I838" s="5" t="n">
        <f aca="false">IF(AND(E838=1,OR(C838=4,C838=5)),25*12.1/24/D838*1000,0)</f>
        <v>0</v>
      </c>
      <c r="J838" s="5" t="n">
        <f aca="false">VA_base_426_data!C838</f>
        <v>900</v>
      </c>
      <c r="K838" s="5" t="n">
        <f aca="false">H838+I838-J838</f>
        <v>474.54254092619</v>
      </c>
      <c r="L838" s="5" t="n">
        <f aca="false">MIN($W$7,J838+K838)</f>
        <v>1374.54254092619</v>
      </c>
      <c r="M838" s="5" t="n">
        <f aca="false">VA_base_426_data!D838</f>
        <v>800</v>
      </c>
      <c r="N838" s="5" t="n">
        <f aca="false">IF(AND(C838=10,E838=1),$W$6,N837-P837)</f>
        <v>0</v>
      </c>
      <c r="O838" s="5" t="n">
        <f aca="false">IF(ABS(M838-L838)&gt;1,MIN(N838/((L838-M838)*24/12.1/1000),D838),D838)</f>
        <v>0</v>
      </c>
      <c r="P838" s="5" t="n">
        <f aca="false">MIN(IF(AND(G838,E838),(L838-M838)*24/12.1*O838/1000,0),N838)</f>
        <v>0</v>
      </c>
      <c r="Q838" s="5" t="n">
        <f aca="false">IF(P838&gt;0,P838/O838*12.1/24*1000+M838,0)</f>
        <v>0</v>
      </c>
      <c r="R838" s="0" t="n">
        <f aca="false">IF(Q838&gt;0,TRUNC(O838),0)</f>
        <v>0</v>
      </c>
      <c r="S838" s="5" t="n">
        <f aca="false">(M838*(D838-R838)+(Q838*R838))/D838</f>
        <v>800</v>
      </c>
      <c r="T838" s="6" t="n">
        <f aca="false">(Q838-M838)*R838*24/12.1/1000</f>
        <v>-0</v>
      </c>
    </row>
    <row r="839" customFormat="false" ht="14.35" hidden="false" customHeight="false" outlineLevel="0" collapsed="false">
      <c r="A839" s="4" t="n">
        <v>33269</v>
      </c>
      <c r="B839" s="15" t="n">
        <f aca="false">IF(C839&lt;=9,YEAR(A839),YEAR(A839)+1)</f>
        <v>1991</v>
      </c>
      <c r="C839" s="15" t="n">
        <f aca="false">MONTH(A839)</f>
        <v>1</v>
      </c>
      <c r="D839" s="15" t="n">
        <f aca="false">DAY(A839)</f>
        <v>31</v>
      </c>
      <c r="E839" s="15" t="n">
        <f aca="false">VLOOKUP(B839,WYT!$A$2:$L$97,12)</f>
        <v>0</v>
      </c>
      <c r="F839" s="15" t="n">
        <f aca="false">IF(C839=$W$5,1,0)</f>
        <v>0</v>
      </c>
      <c r="G839" s="15" t="n">
        <f aca="false">IF(C839=10,0,IF(F839=1,1,G838))</f>
        <v>0</v>
      </c>
      <c r="H839" s="5" t="n">
        <f aca="false">VA_base_426_data!B839</f>
        <v>900</v>
      </c>
      <c r="I839" s="5" t="n">
        <f aca="false">IF(AND(E839=1,OR(C839=4,C839=5)),25*12.1/24/D839*1000,0)</f>
        <v>0</v>
      </c>
      <c r="J839" s="5" t="n">
        <f aca="false">VA_base_426_data!C839</f>
        <v>900</v>
      </c>
      <c r="K839" s="5" t="n">
        <f aca="false">H839+I839-J839</f>
        <v>0</v>
      </c>
      <c r="L839" s="5" t="n">
        <f aca="false">MIN($W$7,J839+K839)</f>
        <v>900</v>
      </c>
      <c r="M839" s="5" t="n">
        <f aca="false">VA_base_426_data!D839</f>
        <v>800</v>
      </c>
      <c r="N839" s="5" t="n">
        <f aca="false">IF(AND(C839=10,E839=1),$W$6,N838-P838)</f>
        <v>0</v>
      </c>
      <c r="O839" s="5" t="n">
        <f aca="false">IF(ABS(M839-L839)&gt;1,MIN(N839/((L839-M839)*24/12.1/1000),D839),D839)</f>
        <v>0</v>
      </c>
      <c r="P839" s="5" t="n">
        <f aca="false">MIN(IF(AND(G839,E839),(L839-M839)*24/12.1*O839/1000,0),N839)</f>
        <v>0</v>
      </c>
      <c r="Q839" s="5" t="n">
        <f aca="false">IF(P839&gt;0,P839/O839*12.1/24*1000+M839,0)</f>
        <v>0</v>
      </c>
      <c r="R839" s="0" t="n">
        <f aca="false">IF(Q839&gt;0,TRUNC(O839),0)</f>
        <v>0</v>
      </c>
      <c r="S839" s="5" t="n">
        <f aca="false">(M839*(D839-R839)+(Q839*R839))/D839</f>
        <v>800</v>
      </c>
      <c r="T839" s="6" t="n">
        <f aca="false">(Q839-M839)*R839*24/12.1/1000</f>
        <v>-0</v>
      </c>
    </row>
    <row r="840" customFormat="false" ht="14.35" hidden="false" customHeight="false" outlineLevel="0" collapsed="false">
      <c r="A840" s="4" t="n">
        <v>33297</v>
      </c>
      <c r="B840" s="15" t="n">
        <f aca="false">IF(C840&lt;=9,YEAR(A840),YEAR(A840)+1)</f>
        <v>1991</v>
      </c>
      <c r="C840" s="15" t="n">
        <f aca="false">MONTH(A840)</f>
        <v>2</v>
      </c>
      <c r="D840" s="15" t="n">
        <f aca="false">DAY(A840)</f>
        <v>28</v>
      </c>
      <c r="E840" s="15" t="n">
        <f aca="false">VLOOKUP(B840,WYT!$A$2:$L$97,12)</f>
        <v>0</v>
      </c>
      <c r="F840" s="15" t="n">
        <f aca="false">IF(C840=$W$5,1,0)</f>
        <v>1</v>
      </c>
      <c r="G840" s="15" t="n">
        <f aca="false">IF(C840=10,0,IF(F840=1,1,G839))</f>
        <v>1</v>
      </c>
      <c r="H840" s="5" t="n">
        <f aca="false">VA_base_426_data!B840</f>
        <v>899.999999999983</v>
      </c>
      <c r="I840" s="5" t="n">
        <f aca="false">IF(AND(E840=1,OR(C840=4,C840=5)),25*12.1/24/D840*1000,0)</f>
        <v>0</v>
      </c>
      <c r="J840" s="5" t="n">
        <f aca="false">VA_base_426_data!C840</f>
        <v>900</v>
      </c>
      <c r="K840" s="5" t="n">
        <f aca="false">H840+I840-J840</f>
        <v>-1.73940861714073E-011</v>
      </c>
      <c r="L840" s="5" t="n">
        <f aca="false">MIN($W$7,J840+K840)</f>
        <v>899.999999999983</v>
      </c>
      <c r="M840" s="5" t="n">
        <f aca="false">VA_base_426_data!D840</f>
        <v>800</v>
      </c>
      <c r="N840" s="5" t="n">
        <f aca="false">IF(AND(C840=10,E840=1),$W$6,N839-P839)</f>
        <v>0</v>
      </c>
      <c r="O840" s="5" t="n">
        <f aca="false">IF(ABS(M840-L840)&gt;1,MIN(N840/((L840-M840)*24/12.1/1000),D840),D840)</f>
        <v>0</v>
      </c>
      <c r="P840" s="5" t="n">
        <f aca="false">MIN(IF(AND(G840,E840),(L840-M840)*24/12.1*O840/1000,0),N840)</f>
        <v>0</v>
      </c>
      <c r="Q840" s="5" t="n">
        <f aca="false">IF(P840&gt;0,P840/O840*12.1/24*1000+M840,0)</f>
        <v>0</v>
      </c>
      <c r="R840" s="0" t="n">
        <f aca="false">IF(Q840&gt;0,TRUNC(O840),0)</f>
        <v>0</v>
      </c>
      <c r="S840" s="5" t="n">
        <f aca="false">(M840*(D840-R840)+(Q840*R840))/D840</f>
        <v>800</v>
      </c>
      <c r="T840" s="6" t="n">
        <f aca="false">(Q840-M840)*R840*24/12.1/1000</f>
        <v>-0</v>
      </c>
    </row>
    <row r="841" customFormat="false" ht="14.35" hidden="false" customHeight="false" outlineLevel="0" collapsed="false">
      <c r="A841" s="4" t="n">
        <v>33328</v>
      </c>
      <c r="B841" s="15" t="n">
        <f aca="false">IF(C841&lt;=9,YEAR(A841),YEAR(A841)+1)</f>
        <v>1991</v>
      </c>
      <c r="C841" s="15" t="n">
        <f aca="false">MONTH(A841)</f>
        <v>3</v>
      </c>
      <c r="D841" s="15" t="n">
        <f aca="false">DAY(A841)</f>
        <v>31</v>
      </c>
      <c r="E841" s="15" t="n">
        <f aca="false">VLOOKUP(B841,WYT!$A$2:$L$97,12)</f>
        <v>0</v>
      </c>
      <c r="F841" s="15" t="n">
        <f aca="false">IF(C841=$W$5,1,0)</f>
        <v>0</v>
      </c>
      <c r="G841" s="15" t="n">
        <f aca="false">IF(C841=10,0,IF(F841=1,1,G840))</f>
        <v>1</v>
      </c>
      <c r="H841" s="5" t="n">
        <f aca="false">VA_base_426_data!B841</f>
        <v>800</v>
      </c>
      <c r="I841" s="5" t="n">
        <f aca="false">IF(AND(E841=1,OR(C841=4,C841=5)),25*12.1/24/D841*1000,0)</f>
        <v>0</v>
      </c>
      <c r="J841" s="5" t="n">
        <f aca="false">VA_base_426_data!C841</f>
        <v>750</v>
      </c>
      <c r="K841" s="5" t="n">
        <f aca="false">H841+I841-J841</f>
        <v>50</v>
      </c>
      <c r="L841" s="5" t="n">
        <f aca="false">MIN($W$7,J841+K841)</f>
        <v>800</v>
      </c>
      <c r="M841" s="5" t="n">
        <f aca="false">VA_base_426_data!D841</f>
        <v>800</v>
      </c>
      <c r="N841" s="5" t="n">
        <f aca="false">IF(AND(C841=10,E841=1),$W$6,N840-P840)</f>
        <v>0</v>
      </c>
      <c r="O841" s="5" t="n">
        <f aca="false">IF(ABS(M841-L841)&gt;1,MIN(N841/((L841-M841)*24/12.1/1000),D841),D841)</f>
        <v>31</v>
      </c>
      <c r="P841" s="5" t="n">
        <f aca="false">MIN(IF(AND(G841,E841),(L841-M841)*24/12.1*O841/1000,0),N841)</f>
        <v>0</v>
      </c>
      <c r="Q841" s="5" t="n">
        <f aca="false">IF(P841&gt;0,P841/O841*12.1/24*1000+M841,0)</f>
        <v>0</v>
      </c>
      <c r="R841" s="0" t="n">
        <f aca="false">IF(Q841&gt;0,TRUNC(O841),0)</f>
        <v>0</v>
      </c>
      <c r="S841" s="5" t="n">
        <f aca="false">(M841*(D841-R841)+(Q841*R841))/D841</f>
        <v>800</v>
      </c>
      <c r="T841" s="6" t="n">
        <f aca="false">(Q841-M841)*R841*24/12.1/1000</f>
        <v>-0</v>
      </c>
    </row>
    <row r="842" customFormat="false" ht="14.35" hidden="false" customHeight="false" outlineLevel="0" collapsed="false">
      <c r="A842" s="4" t="n">
        <v>33358</v>
      </c>
      <c r="B842" s="15" t="n">
        <f aca="false">IF(C842&lt;=9,YEAR(A842),YEAR(A842)+1)</f>
        <v>1991</v>
      </c>
      <c r="C842" s="15" t="n">
        <f aca="false">MONTH(A842)</f>
        <v>4</v>
      </c>
      <c r="D842" s="15" t="n">
        <f aca="false">DAY(A842)</f>
        <v>30</v>
      </c>
      <c r="E842" s="15" t="n">
        <f aca="false">VLOOKUP(B842,WYT!$A$2:$L$97,12)</f>
        <v>0</v>
      </c>
      <c r="F842" s="15" t="n">
        <f aca="false">IF(C842=$W$5,1,0)</f>
        <v>0</v>
      </c>
      <c r="G842" s="15" t="n">
        <f aca="false">IF(C842=10,0,IF(F842=1,1,G841))</f>
        <v>1</v>
      </c>
      <c r="H842" s="5" t="n">
        <f aca="false">VA_base_426_data!B842</f>
        <v>750</v>
      </c>
      <c r="I842" s="5" t="n">
        <f aca="false">IF(AND(E842=1,OR(C842=4,C842=5)),25*12.1/24/D842*1000,0)</f>
        <v>0</v>
      </c>
      <c r="J842" s="5" t="n">
        <f aca="false">VA_base_426_data!C842</f>
        <v>750</v>
      </c>
      <c r="K842" s="5" t="n">
        <f aca="false">H842+I842-J842</f>
        <v>0</v>
      </c>
      <c r="L842" s="5" t="n">
        <f aca="false">MIN($W$7,J842+K842)</f>
        <v>750</v>
      </c>
      <c r="M842" s="5" t="n">
        <f aca="false">VA_base_426_data!D842</f>
        <v>700</v>
      </c>
      <c r="N842" s="5" t="n">
        <f aca="false">IF(AND(C842=10,E842=1),$W$6,N841-P841)</f>
        <v>0</v>
      </c>
      <c r="O842" s="5" t="n">
        <f aca="false">IF(ABS(M842-L842)&gt;1,MIN(N842/((L842-M842)*24/12.1/1000),D842),D842)</f>
        <v>0</v>
      </c>
      <c r="P842" s="5" t="n">
        <f aca="false">MIN(IF(AND(G842,E842),(L842-M842)*24/12.1*O842/1000,0),N842)</f>
        <v>0</v>
      </c>
      <c r="Q842" s="5" t="n">
        <f aca="false">IF(P842&gt;0,P842/O842*12.1/24*1000+M842,0)</f>
        <v>0</v>
      </c>
      <c r="R842" s="0" t="n">
        <f aca="false">IF(Q842&gt;0,TRUNC(O842),0)</f>
        <v>0</v>
      </c>
      <c r="S842" s="5" t="n">
        <f aca="false">(M842*(D842-R842)+(Q842*R842))/D842</f>
        <v>700</v>
      </c>
      <c r="T842" s="6" t="n">
        <f aca="false">(Q842-M842)*R842*24/12.1/1000</f>
        <v>-0</v>
      </c>
    </row>
    <row r="843" customFormat="false" ht="14.35" hidden="false" customHeight="false" outlineLevel="0" collapsed="false">
      <c r="A843" s="4" t="n">
        <v>33389</v>
      </c>
      <c r="B843" s="15" t="n">
        <f aca="false">IF(C843&lt;=9,YEAR(A843),YEAR(A843)+1)</f>
        <v>1991</v>
      </c>
      <c r="C843" s="15" t="n">
        <f aca="false">MONTH(A843)</f>
        <v>5</v>
      </c>
      <c r="D843" s="15" t="n">
        <f aca="false">DAY(A843)</f>
        <v>31</v>
      </c>
      <c r="E843" s="15" t="n">
        <f aca="false">VLOOKUP(B843,WYT!$A$2:$L$97,12)</f>
        <v>0</v>
      </c>
      <c r="F843" s="15" t="n">
        <f aca="false">IF(C843=$W$5,1,0)</f>
        <v>0</v>
      </c>
      <c r="G843" s="15" t="n">
        <f aca="false">IF(C843=10,0,IF(F843=1,1,G842))</f>
        <v>1</v>
      </c>
      <c r="H843" s="5" t="n">
        <f aca="false">VA_base_426_data!B843</f>
        <v>750</v>
      </c>
      <c r="I843" s="5" t="n">
        <f aca="false">IF(AND(E843=1,OR(C843=4,C843=5)),25*12.1/24/D843*1000,0)</f>
        <v>0</v>
      </c>
      <c r="J843" s="5" t="n">
        <f aca="false">VA_base_426_data!C843</f>
        <v>750</v>
      </c>
      <c r="K843" s="5" t="n">
        <f aca="false">H843+I843-J843</f>
        <v>0</v>
      </c>
      <c r="L843" s="5" t="n">
        <f aca="false">MIN($W$7,J843+K843)</f>
        <v>750</v>
      </c>
      <c r="M843" s="5" t="n">
        <f aca="false">VA_base_426_data!D843</f>
        <v>700</v>
      </c>
      <c r="N843" s="5" t="n">
        <f aca="false">IF(AND(C843=10,E843=1),$W$6,N842-P842)</f>
        <v>0</v>
      </c>
      <c r="O843" s="5" t="n">
        <f aca="false">IF(ABS(M843-L843)&gt;1,MIN(N843/((L843-M843)*24/12.1/1000),D843),D843)</f>
        <v>0</v>
      </c>
      <c r="P843" s="5" t="n">
        <f aca="false">MIN(IF(AND(G843,E843),(L843-M843)*24/12.1*O843/1000,0),N843)</f>
        <v>0</v>
      </c>
      <c r="Q843" s="5" t="n">
        <f aca="false">IF(P843&gt;0,P843/O843*12.1/24*1000+M843,0)</f>
        <v>0</v>
      </c>
      <c r="R843" s="0" t="n">
        <f aca="false">IF(Q843&gt;0,TRUNC(O843),0)</f>
        <v>0</v>
      </c>
      <c r="S843" s="5" t="n">
        <f aca="false">(M843*(D843-R843)+(Q843*R843))/D843</f>
        <v>700</v>
      </c>
      <c r="T843" s="6" t="n">
        <f aca="false">(Q843-M843)*R843*24/12.1/1000</f>
        <v>-0</v>
      </c>
    </row>
    <row r="844" customFormat="false" ht="14.35" hidden="false" customHeight="false" outlineLevel="0" collapsed="false">
      <c r="A844" s="4" t="n">
        <v>33419</v>
      </c>
      <c r="B844" s="15" t="n">
        <f aca="false">IF(C844&lt;=9,YEAR(A844),YEAR(A844)+1)</f>
        <v>1991</v>
      </c>
      <c r="C844" s="15" t="n">
        <f aca="false">MONTH(A844)</f>
        <v>6</v>
      </c>
      <c r="D844" s="15" t="n">
        <f aca="false">DAY(A844)</f>
        <v>30</v>
      </c>
      <c r="E844" s="15" t="n">
        <f aca="false">VLOOKUP(B844,WYT!$A$2:$L$97,12)</f>
        <v>0</v>
      </c>
      <c r="F844" s="15" t="n">
        <f aca="false">IF(C844=$W$5,1,0)</f>
        <v>0</v>
      </c>
      <c r="G844" s="15" t="n">
        <f aca="false">IF(C844=10,0,IF(F844=1,1,G843))</f>
        <v>1</v>
      </c>
      <c r="H844" s="5" t="n">
        <f aca="false">VA_base_426_data!B844</f>
        <v>3076.91190296584</v>
      </c>
      <c r="I844" s="5" t="n">
        <f aca="false">IF(AND(E844=1,OR(C844=4,C844=5)),25*12.1/24/D844*1000,0)</f>
        <v>0</v>
      </c>
      <c r="J844" s="5" t="n">
        <f aca="false">VA_base_426_data!C844</f>
        <v>750</v>
      </c>
      <c r="K844" s="5" t="n">
        <f aca="false">H844+I844-J844</f>
        <v>2326.91190296584</v>
      </c>
      <c r="L844" s="5" t="n">
        <f aca="false">MIN($W$7,J844+K844)</f>
        <v>2000</v>
      </c>
      <c r="M844" s="5" t="n">
        <f aca="false">VA_base_426_data!D844</f>
        <v>700</v>
      </c>
      <c r="N844" s="5" t="n">
        <f aca="false">IF(AND(C844=10,E844=1),$W$6,N843-P843)</f>
        <v>0</v>
      </c>
      <c r="O844" s="5" t="n">
        <f aca="false">IF(ABS(M844-L844)&gt;1,MIN(N844/((L844-M844)*24/12.1/1000),D844),D844)</f>
        <v>0</v>
      </c>
      <c r="P844" s="5" t="n">
        <f aca="false">MIN(IF(AND(G844,E844),(L844-M844)*24/12.1*O844/1000,0),N844)</f>
        <v>0</v>
      </c>
      <c r="Q844" s="5" t="n">
        <f aca="false">IF(P844&gt;0,P844/O844*12.1/24*1000+M844,0)</f>
        <v>0</v>
      </c>
      <c r="R844" s="0" t="n">
        <f aca="false">IF(Q844&gt;0,TRUNC(O844),0)</f>
        <v>0</v>
      </c>
      <c r="S844" s="5" t="n">
        <f aca="false">(M844*(D844-R844)+(Q844*R844))/D844</f>
        <v>700</v>
      </c>
      <c r="T844" s="6" t="n">
        <f aca="false">(Q844-M844)*R844*24/12.1/1000</f>
        <v>-0</v>
      </c>
    </row>
    <row r="845" customFormat="false" ht="14.35" hidden="false" customHeight="false" outlineLevel="0" collapsed="false">
      <c r="A845" s="4" t="n">
        <v>33450</v>
      </c>
      <c r="B845" s="15" t="n">
        <f aca="false">IF(C845&lt;=9,YEAR(A845),YEAR(A845)+1)</f>
        <v>1991</v>
      </c>
      <c r="C845" s="15" t="n">
        <f aca="false">MONTH(A845)</f>
        <v>7</v>
      </c>
      <c r="D845" s="15" t="n">
        <f aca="false">DAY(A845)</f>
        <v>31</v>
      </c>
      <c r="E845" s="15" t="n">
        <f aca="false">VLOOKUP(B845,WYT!$A$2:$L$97,12)</f>
        <v>0</v>
      </c>
      <c r="F845" s="15" t="n">
        <f aca="false">IF(C845=$W$5,1,0)</f>
        <v>0</v>
      </c>
      <c r="G845" s="15" t="n">
        <f aca="false">IF(C845=10,0,IF(F845=1,1,G844))</f>
        <v>1</v>
      </c>
      <c r="H845" s="5" t="n">
        <f aca="false">VA_base_426_data!B845</f>
        <v>3528.06761543792</v>
      </c>
      <c r="I845" s="5" t="n">
        <f aca="false">IF(AND(E845=1,OR(C845=4,C845=5)),25*12.1/24/D845*1000,0)</f>
        <v>0</v>
      </c>
      <c r="J845" s="5" t="n">
        <f aca="false">VA_base_426_data!C845</f>
        <v>750</v>
      </c>
      <c r="K845" s="5" t="n">
        <f aca="false">H845+I845-J845</f>
        <v>2778.06761543792</v>
      </c>
      <c r="L845" s="5" t="n">
        <f aca="false">MIN($W$7,J845+K845)</f>
        <v>2000</v>
      </c>
      <c r="M845" s="5" t="n">
        <f aca="false">VA_base_426_data!D845</f>
        <v>700</v>
      </c>
      <c r="N845" s="5" t="n">
        <f aca="false">IF(AND(C845=10,E845=1),$W$6,N844-P844)</f>
        <v>0</v>
      </c>
      <c r="O845" s="5" t="n">
        <f aca="false">IF(ABS(M845-L845)&gt;1,MIN(N845/((L845-M845)*24/12.1/1000),D845),D845)</f>
        <v>0</v>
      </c>
      <c r="P845" s="5" t="n">
        <f aca="false">MIN(IF(AND(G845,E845),(L845-M845)*24/12.1*O845/1000,0),N845)</f>
        <v>0</v>
      </c>
      <c r="Q845" s="5" t="n">
        <f aca="false">IF(P845&gt;0,P845/O845*12.1/24*1000+M845,0)</f>
        <v>0</v>
      </c>
      <c r="R845" s="0" t="n">
        <f aca="false">IF(Q845&gt;0,TRUNC(O845),0)</f>
        <v>0</v>
      </c>
      <c r="S845" s="5" t="n">
        <f aca="false">(M845*(D845-R845)+(Q845*R845))/D845</f>
        <v>700</v>
      </c>
      <c r="T845" s="6" t="n">
        <f aca="false">(Q845-M845)*R845*24/12.1/1000</f>
        <v>-0</v>
      </c>
    </row>
    <row r="846" customFormat="false" ht="14.35" hidden="false" customHeight="false" outlineLevel="0" collapsed="false">
      <c r="A846" s="4" t="n">
        <v>33481</v>
      </c>
      <c r="B846" s="15" t="n">
        <f aca="false">IF(C846&lt;=9,YEAR(A846),YEAR(A846)+1)</f>
        <v>1991</v>
      </c>
      <c r="C846" s="15" t="n">
        <f aca="false">MONTH(A846)</f>
        <v>8</v>
      </c>
      <c r="D846" s="15" t="n">
        <f aca="false">DAY(A846)</f>
        <v>31</v>
      </c>
      <c r="E846" s="15" t="n">
        <f aca="false">VLOOKUP(B846,WYT!$A$2:$L$97,12)</f>
        <v>0</v>
      </c>
      <c r="F846" s="15" t="n">
        <f aca="false">IF(C846=$W$5,1,0)</f>
        <v>0</v>
      </c>
      <c r="G846" s="15" t="n">
        <f aca="false">IF(C846=10,0,IF(F846=1,1,G845))</f>
        <v>1</v>
      </c>
      <c r="H846" s="5" t="n">
        <f aca="false">VA_base_426_data!B846</f>
        <v>2311.60554714952</v>
      </c>
      <c r="I846" s="5" t="n">
        <f aca="false">IF(AND(E846=1,OR(C846=4,C846=5)),25*12.1/24/D846*1000,0)</f>
        <v>0</v>
      </c>
      <c r="J846" s="5" t="n">
        <f aca="false">VA_base_426_data!C846</f>
        <v>750</v>
      </c>
      <c r="K846" s="5" t="n">
        <f aca="false">H846+I846-J846</f>
        <v>1561.60554714952</v>
      </c>
      <c r="L846" s="5" t="n">
        <f aca="false">MIN($W$7,J846+K846)</f>
        <v>2000</v>
      </c>
      <c r="M846" s="5" t="n">
        <f aca="false">VA_base_426_data!D846</f>
        <v>700</v>
      </c>
      <c r="N846" s="5" t="n">
        <f aca="false">IF(AND(C846=10,E846=1),$W$6,N845-P845)</f>
        <v>0</v>
      </c>
      <c r="O846" s="5" t="n">
        <f aca="false">IF(ABS(M846-L846)&gt;1,MIN(N846/((L846-M846)*24/12.1/1000),D846),D846)</f>
        <v>0</v>
      </c>
      <c r="P846" s="5" t="n">
        <f aca="false">MIN(IF(AND(G846,E846),(L846-M846)*24/12.1*O846/1000,0),N846)</f>
        <v>0</v>
      </c>
      <c r="Q846" s="5" t="n">
        <f aca="false">IF(P846&gt;0,P846/O846*12.1/24*1000+M846,0)</f>
        <v>0</v>
      </c>
      <c r="R846" s="0" t="n">
        <f aca="false">IF(Q846&gt;0,TRUNC(O846),0)</f>
        <v>0</v>
      </c>
      <c r="S846" s="5" t="n">
        <f aca="false">(M846*(D846-R846)+(Q846*R846))/D846</f>
        <v>700</v>
      </c>
      <c r="T846" s="6" t="n">
        <f aca="false">(Q846-M846)*R846*24/12.1/1000</f>
        <v>-0</v>
      </c>
    </row>
    <row r="847" customFormat="false" ht="14.35" hidden="false" customHeight="false" outlineLevel="0" collapsed="false">
      <c r="A847" s="4" t="n">
        <v>33511</v>
      </c>
      <c r="B847" s="15" t="n">
        <f aca="false">IF(C847&lt;=9,YEAR(A847),YEAR(A847)+1)</f>
        <v>1991</v>
      </c>
      <c r="C847" s="15" t="n">
        <f aca="false">MONTH(A847)</f>
        <v>9</v>
      </c>
      <c r="D847" s="15" t="n">
        <f aca="false">DAY(A847)</f>
        <v>30</v>
      </c>
      <c r="E847" s="15" t="n">
        <f aca="false">VLOOKUP(B847,WYT!$A$2:$L$97,12)</f>
        <v>0</v>
      </c>
      <c r="F847" s="15" t="n">
        <f aca="false">IF(C847=$W$5,1,0)</f>
        <v>0</v>
      </c>
      <c r="G847" s="15" t="n">
        <f aca="false">IF(C847=10,0,IF(F847=1,1,G846))</f>
        <v>1</v>
      </c>
      <c r="H847" s="5" t="n">
        <f aca="false">VA_base_426_data!B847</f>
        <v>1199.35670192735</v>
      </c>
      <c r="I847" s="5" t="n">
        <f aca="false">IF(AND(E847=1,OR(C847=4,C847=5)),25*12.1/24/D847*1000,0)</f>
        <v>0</v>
      </c>
      <c r="J847" s="5" t="n">
        <f aca="false">VA_base_426_data!C847</f>
        <v>750</v>
      </c>
      <c r="K847" s="5" t="n">
        <f aca="false">H847+I847-J847</f>
        <v>449.356701927349</v>
      </c>
      <c r="L847" s="5" t="n">
        <f aca="false">MIN($W$7,J847+K847)</f>
        <v>1199.35670192735</v>
      </c>
      <c r="M847" s="5" t="n">
        <f aca="false">VA_base_426_data!D847</f>
        <v>773.3333333</v>
      </c>
      <c r="N847" s="5" t="n">
        <f aca="false">IF(AND(C847=10,E847=1),$W$6,N846-P846)</f>
        <v>0</v>
      </c>
      <c r="O847" s="5" t="n">
        <f aca="false">IF(ABS(M847-L847)&gt;1,MIN(N847/((L847-M847)*24/12.1/1000),D847),D847)</f>
        <v>0</v>
      </c>
      <c r="P847" s="5" t="n">
        <f aca="false">MIN(IF(AND(G847,E847),(L847-M847)*24/12.1*O847/1000,0),N847)</f>
        <v>0</v>
      </c>
      <c r="Q847" s="5" t="n">
        <f aca="false">IF(P847&gt;0,P847/O847*12.1/24*1000+M847,0)</f>
        <v>0</v>
      </c>
      <c r="R847" s="0" t="n">
        <f aca="false">IF(Q847&gt;0,TRUNC(O847),0)</f>
        <v>0</v>
      </c>
      <c r="S847" s="5" t="n">
        <f aca="false">(M847*(D847-R847)+(Q847*R847))/D847</f>
        <v>773.3333333</v>
      </c>
      <c r="T847" s="6" t="n">
        <f aca="false">(Q847-M847)*R847*24/12.1/1000</f>
        <v>-0</v>
      </c>
    </row>
    <row r="848" customFormat="false" ht="14.35" hidden="false" customHeight="false" outlineLevel="0" collapsed="false">
      <c r="A848" s="4" t="n">
        <v>33542</v>
      </c>
      <c r="B848" s="15" t="n">
        <f aca="false">IF(C848&lt;=9,YEAR(A848),YEAR(A848)+1)</f>
        <v>1992</v>
      </c>
      <c r="C848" s="15" t="n">
        <f aca="false">MONTH(A848)</f>
        <v>10</v>
      </c>
      <c r="D848" s="15" t="n">
        <f aca="false">DAY(A848)</f>
        <v>31</v>
      </c>
      <c r="E848" s="15" t="n">
        <f aca="false">VLOOKUP(B848,WYT!$A$2:$L$97,12)</f>
        <v>0</v>
      </c>
      <c r="F848" s="15" t="n">
        <f aca="false">IF(C848=$W$5,1,0)</f>
        <v>0</v>
      </c>
      <c r="G848" s="15" t="n">
        <f aca="false">IF(C848=10,0,IF(F848=1,1,G847))</f>
        <v>0</v>
      </c>
      <c r="H848" s="5" t="n">
        <f aca="false">VA_base_426_data!B848</f>
        <v>900.000000000012</v>
      </c>
      <c r="I848" s="5" t="n">
        <f aca="false">IF(AND(E848=1,OR(C848=4,C848=5)),25*12.1/24/D848*1000,0)</f>
        <v>0</v>
      </c>
      <c r="J848" s="5" t="n">
        <f aca="false">VA_base_426_data!C848</f>
        <v>900</v>
      </c>
      <c r="K848" s="5" t="n">
        <f aca="false">H848+I848-J848</f>
        <v>1.18234311230481E-011</v>
      </c>
      <c r="L848" s="5" t="n">
        <f aca="false">MIN($W$7,J848+K848)</f>
        <v>900.000000000012</v>
      </c>
      <c r="M848" s="5" t="n">
        <f aca="false">VA_base_426_data!D848</f>
        <v>800</v>
      </c>
      <c r="N848" s="5" t="n">
        <f aca="false">IF(AND(C848=10,E848=1),$W$6,N847-P847)</f>
        <v>0</v>
      </c>
      <c r="O848" s="5" t="n">
        <f aca="false">IF(ABS(M848-L848)&gt;1,MIN(N848/((L848-M848)*24/12.1/1000),D848),D848)</f>
        <v>0</v>
      </c>
      <c r="P848" s="5" t="n">
        <f aca="false">MIN(IF(AND(G848,E848),(L848-M848)*24/12.1*O848/1000,0),N848)</f>
        <v>0</v>
      </c>
      <c r="Q848" s="5" t="n">
        <f aca="false">IF(P848&gt;0,P848/O848*12.1/24*1000+M848,0)</f>
        <v>0</v>
      </c>
      <c r="R848" s="0" t="n">
        <f aca="false">IF(Q848&gt;0,TRUNC(O848),0)</f>
        <v>0</v>
      </c>
      <c r="S848" s="5" t="n">
        <f aca="false">(M848*(D848-R848)+(Q848*R848))/D848</f>
        <v>800</v>
      </c>
      <c r="T848" s="6" t="n">
        <f aca="false">(Q848-M848)*R848*24/12.1/1000</f>
        <v>-0</v>
      </c>
    </row>
    <row r="849" customFormat="false" ht="14.35" hidden="false" customHeight="false" outlineLevel="0" collapsed="false">
      <c r="A849" s="4" t="n">
        <v>33572</v>
      </c>
      <c r="B849" s="15" t="n">
        <f aca="false">IF(C849&lt;=9,YEAR(A849),YEAR(A849)+1)</f>
        <v>1992</v>
      </c>
      <c r="C849" s="15" t="n">
        <f aca="false">MONTH(A849)</f>
        <v>11</v>
      </c>
      <c r="D849" s="15" t="n">
        <f aca="false">DAY(A849)</f>
        <v>30</v>
      </c>
      <c r="E849" s="15" t="n">
        <f aca="false">VLOOKUP(B849,WYT!$A$2:$L$97,12)</f>
        <v>0</v>
      </c>
      <c r="F849" s="15" t="n">
        <f aca="false">IF(C849=$W$5,1,0)</f>
        <v>0</v>
      </c>
      <c r="G849" s="15" t="n">
        <f aca="false">IF(C849=10,0,IF(F849=1,1,G848))</f>
        <v>0</v>
      </c>
      <c r="H849" s="5" t="n">
        <f aca="false">VA_base_426_data!B849</f>
        <v>900</v>
      </c>
      <c r="I849" s="5" t="n">
        <f aca="false">IF(AND(E849=1,OR(C849=4,C849=5)),25*12.1/24/D849*1000,0)</f>
        <v>0</v>
      </c>
      <c r="J849" s="5" t="n">
        <f aca="false">VA_base_426_data!C849</f>
        <v>900</v>
      </c>
      <c r="K849" s="5" t="n">
        <f aca="false">H849+I849-J849</f>
        <v>0</v>
      </c>
      <c r="L849" s="5" t="n">
        <f aca="false">MIN($W$7,J849+K849)</f>
        <v>900</v>
      </c>
      <c r="M849" s="5" t="n">
        <f aca="false">VA_base_426_data!D849</f>
        <v>800</v>
      </c>
      <c r="N849" s="5" t="n">
        <f aca="false">IF(AND(C849=10,E849=1),$W$6,N848-P848)</f>
        <v>0</v>
      </c>
      <c r="O849" s="5" t="n">
        <f aca="false">IF(ABS(M849-L849)&gt;1,MIN(N849/((L849-M849)*24/12.1/1000),D849),D849)</f>
        <v>0</v>
      </c>
      <c r="P849" s="5" t="n">
        <f aca="false">MIN(IF(AND(G849,E849),(L849-M849)*24/12.1*O849/1000,0),N849)</f>
        <v>0</v>
      </c>
      <c r="Q849" s="5" t="n">
        <f aca="false">IF(P849&gt;0,P849/O849*12.1/24*1000+M849,0)</f>
        <v>0</v>
      </c>
      <c r="R849" s="0" t="n">
        <f aca="false">IF(Q849&gt;0,TRUNC(O849),0)</f>
        <v>0</v>
      </c>
      <c r="S849" s="5" t="n">
        <f aca="false">(M849*(D849-R849)+(Q849*R849))/D849</f>
        <v>800</v>
      </c>
      <c r="T849" s="6" t="n">
        <f aca="false">(Q849-M849)*R849*24/12.1/1000</f>
        <v>-0</v>
      </c>
    </row>
    <row r="850" customFormat="false" ht="14.35" hidden="false" customHeight="false" outlineLevel="0" collapsed="false">
      <c r="A850" s="4" t="n">
        <v>33603</v>
      </c>
      <c r="B850" s="15" t="n">
        <f aca="false">IF(C850&lt;=9,YEAR(A850),YEAR(A850)+1)</f>
        <v>1992</v>
      </c>
      <c r="C850" s="15" t="n">
        <f aca="false">MONTH(A850)</f>
        <v>12</v>
      </c>
      <c r="D850" s="15" t="n">
        <f aca="false">DAY(A850)</f>
        <v>31</v>
      </c>
      <c r="E850" s="15" t="n">
        <f aca="false">VLOOKUP(B850,WYT!$A$2:$L$97,12)</f>
        <v>0</v>
      </c>
      <c r="F850" s="15" t="n">
        <f aca="false">IF(C850=$W$5,1,0)</f>
        <v>0</v>
      </c>
      <c r="G850" s="15" t="n">
        <f aca="false">IF(C850=10,0,IF(F850=1,1,G849))</f>
        <v>0</v>
      </c>
      <c r="H850" s="5" t="n">
        <f aca="false">VA_base_426_data!B850</f>
        <v>900</v>
      </c>
      <c r="I850" s="5" t="n">
        <f aca="false">IF(AND(E850=1,OR(C850=4,C850=5)),25*12.1/24/D850*1000,0)</f>
        <v>0</v>
      </c>
      <c r="J850" s="5" t="n">
        <f aca="false">VA_base_426_data!C850</f>
        <v>900</v>
      </c>
      <c r="K850" s="5" t="n">
        <f aca="false">H850+I850-J850</f>
        <v>0</v>
      </c>
      <c r="L850" s="5" t="n">
        <f aca="false">MIN($W$7,J850+K850)</f>
        <v>900</v>
      </c>
      <c r="M850" s="5" t="n">
        <f aca="false">VA_base_426_data!D850</f>
        <v>800</v>
      </c>
      <c r="N850" s="5" t="n">
        <f aca="false">IF(AND(C850=10,E850=1),$W$6,N849-P849)</f>
        <v>0</v>
      </c>
      <c r="O850" s="5" t="n">
        <f aca="false">IF(ABS(M850-L850)&gt;1,MIN(N850/((L850-M850)*24/12.1/1000),D850),D850)</f>
        <v>0</v>
      </c>
      <c r="P850" s="5" t="n">
        <f aca="false">MIN(IF(AND(G850,E850),(L850-M850)*24/12.1*O850/1000,0),N850)</f>
        <v>0</v>
      </c>
      <c r="Q850" s="5" t="n">
        <f aca="false">IF(P850&gt;0,P850/O850*12.1/24*1000+M850,0)</f>
        <v>0</v>
      </c>
      <c r="R850" s="0" t="n">
        <f aca="false">IF(Q850&gt;0,TRUNC(O850),0)</f>
        <v>0</v>
      </c>
      <c r="S850" s="5" t="n">
        <f aca="false">(M850*(D850-R850)+(Q850*R850))/D850</f>
        <v>800</v>
      </c>
      <c r="T850" s="6" t="n">
        <f aca="false">(Q850-M850)*R850*24/12.1/1000</f>
        <v>-0</v>
      </c>
    </row>
    <row r="851" customFormat="false" ht="14.35" hidden="false" customHeight="false" outlineLevel="0" collapsed="false">
      <c r="A851" s="4" t="n">
        <v>33634</v>
      </c>
      <c r="B851" s="15" t="n">
        <f aca="false">IF(C851&lt;=9,YEAR(A851),YEAR(A851)+1)</f>
        <v>1992</v>
      </c>
      <c r="C851" s="15" t="n">
        <f aca="false">MONTH(A851)</f>
        <v>1</v>
      </c>
      <c r="D851" s="15" t="n">
        <f aca="false">DAY(A851)</f>
        <v>31</v>
      </c>
      <c r="E851" s="15" t="n">
        <f aca="false">VLOOKUP(B851,WYT!$A$2:$L$97,12)</f>
        <v>0</v>
      </c>
      <c r="F851" s="15" t="n">
        <f aca="false">IF(C851=$W$5,1,0)</f>
        <v>0</v>
      </c>
      <c r="G851" s="15" t="n">
        <f aca="false">IF(C851=10,0,IF(F851=1,1,G850))</f>
        <v>0</v>
      </c>
      <c r="H851" s="5" t="n">
        <f aca="false">VA_base_426_data!B851</f>
        <v>900</v>
      </c>
      <c r="I851" s="5" t="n">
        <f aca="false">IF(AND(E851=1,OR(C851=4,C851=5)),25*12.1/24/D851*1000,0)</f>
        <v>0</v>
      </c>
      <c r="J851" s="5" t="n">
        <f aca="false">VA_base_426_data!C851</f>
        <v>900</v>
      </c>
      <c r="K851" s="5" t="n">
        <f aca="false">H851+I851-J851</f>
        <v>0</v>
      </c>
      <c r="L851" s="5" t="n">
        <f aca="false">MIN($W$7,J851+K851)</f>
        <v>900</v>
      </c>
      <c r="M851" s="5" t="n">
        <f aca="false">VA_base_426_data!D851</f>
        <v>800</v>
      </c>
      <c r="N851" s="5" t="n">
        <f aca="false">IF(AND(C851=10,E851=1),$W$6,N850-P850)</f>
        <v>0</v>
      </c>
      <c r="O851" s="5" t="n">
        <f aca="false">IF(ABS(M851-L851)&gt;1,MIN(N851/((L851-M851)*24/12.1/1000),D851),D851)</f>
        <v>0</v>
      </c>
      <c r="P851" s="5" t="n">
        <f aca="false">MIN(IF(AND(G851,E851),(L851-M851)*24/12.1*O851/1000,0),N851)</f>
        <v>0</v>
      </c>
      <c r="Q851" s="5" t="n">
        <f aca="false">IF(P851&gt;0,P851/O851*12.1/24*1000+M851,0)</f>
        <v>0</v>
      </c>
      <c r="R851" s="0" t="n">
        <f aca="false">IF(Q851&gt;0,TRUNC(O851),0)</f>
        <v>0</v>
      </c>
      <c r="S851" s="5" t="n">
        <f aca="false">(M851*(D851-R851)+(Q851*R851))/D851</f>
        <v>800</v>
      </c>
      <c r="T851" s="6" t="n">
        <f aca="false">(Q851-M851)*R851*24/12.1/1000</f>
        <v>-0</v>
      </c>
    </row>
    <row r="852" customFormat="false" ht="14.35" hidden="false" customHeight="false" outlineLevel="0" collapsed="false">
      <c r="A852" s="4" t="n">
        <v>33663</v>
      </c>
      <c r="B852" s="15" t="n">
        <f aca="false">IF(C852&lt;=9,YEAR(A852),YEAR(A852)+1)</f>
        <v>1992</v>
      </c>
      <c r="C852" s="15" t="n">
        <f aca="false">MONTH(A852)</f>
        <v>2</v>
      </c>
      <c r="D852" s="15" t="n">
        <f aca="false">DAY(A852)</f>
        <v>29</v>
      </c>
      <c r="E852" s="15" t="n">
        <f aca="false">VLOOKUP(B852,WYT!$A$2:$L$97,12)</f>
        <v>0</v>
      </c>
      <c r="F852" s="15" t="n">
        <f aca="false">IF(C852=$W$5,1,0)</f>
        <v>1</v>
      </c>
      <c r="G852" s="15" t="n">
        <f aca="false">IF(C852=10,0,IF(F852=1,1,G851))</f>
        <v>1</v>
      </c>
      <c r="H852" s="5" t="n">
        <f aca="false">VA_base_426_data!B852</f>
        <v>900</v>
      </c>
      <c r="I852" s="5" t="n">
        <f aca="false">IF(AND(E852=1,OR(C852=4,C852=5)),25*12.1/24/D852*1000,0)</f>
        <v>0</v>
      </c>
      <c r="J852" s="5" t="n">
        <f aca="false">VA_base_426_data!C852</f>
        <v>900</v>
      </c>
      <c r="K852" s="5" t="n">
        <f aca="false">H852+I852-J852</f>
        <v>0</v>
      </c>
      <c r="L852" s="5" t="n">
        <f aca="false">MIN($W$7,J852+K852)</f>
        <v>900</v>
      </c>
      <c r="M852" s="5" t="n">
        <f aca="false">VA_base_426_data!D852</f>
        <v>800</v>
      </c>
      <c r="N852" s="5" t="n">
        <f aca="false">IF(AND(C852=10,E852=1),$W$6,N851-P851)</f>
        <v>0</v>
      </c>
      <c r="O852" s="5" t="n">
        <f aca="false">IF(ABS(M852-L852)&gt;1,MIN(N852/((L852-M852)*24/12.1/1000),D852),D852)</f>
        <v>0</v>
      </c>
      <c r="P852" s="5" t="n">
        <f aca="false">MIN(IF(AND(G852,E852),(L852-M852)*24/12.1*O852/1000,0),N852)</f>
        <v>0</v>
      </c>
      <c r="Q852" s="5" t="n">
        <f aca="false">IF(P852&gt;0,P852/O852*12.1/24*1000+M852,0)</f>
        <v>0</v>
      </c>
      <c r="R852" s="0" t="n">
        <f aca="false">IF(Q852&gt;0,TRUNC(O852),0)</f>
        <v>0</v>
      </c>
      <c r="S852" s="5" t="n">
        <f aca="false">(M852*(D852-R852)+(Q852*R852))/D852</f>
        <v>800</v>
      </c>
      <c r="T852" s="6" t="n">
        <f aca="false">(Q852-M852)*R852*24/12.1/1000</f>
        <v>-0</v>
      </c>
    </row>
    <row r="853" customFormat="false" ht="14.35" hidden="false" customHeight="false" outlineLevel="0" collapsed="false">
      <c r="A853" s="4" t="n">
        <v>33694</v>
      </c>
      <c r="B853" s="15" t="n">
        <f aca="false">IF(C853&lt;=9,YEAR(A853),YEAR(A853)+1)</f>
        <v>1992</v>
      </c>
      <c r="C853" s="15" t="n">
        <f aca="false">MONTH(A853)</f>
        <v>3</v>
      </c>
      <c r="D853" s="15" t="n">
        <f aca="false">DAY(A853)</f>
        <v>31</v>
      </c>
      <c r="E853" s="15" t="n">
        <f aca="false">VLOOKUP(B853,WYT!$A$2:$L$97,12)</f>
        <v>0</v>
      </c>
      <c r="F853" s="15" t="n">
        <f aca="false">IF(C853=$W$5,1,0)</f>
        <v>0</v>
      </c>
      <c r="G853" s="15" t="n">
        <f aca="false">IF(C853=10,0,IF(F853=1,1,G852))</f>
        <v>1</v>
      </c>
      <c r="H853" s="5" t="n">
        <f aca="false">VA_base_426_data!B853</f>
        <v>800</v>
      </c>
      <c r="I853" s="5" t="n">
        <f aca="false">IF(AND(E853=1,OR(C853=4,C853=5)),25*12.1/24/D853*1000,0)</f>
        <v>0</v>
      </c>
      <c r="J853" s="5" t="n">
        <f aca="false">VA_base_426_data!C853</f>
        <v>750</v>
      </c>
      <c r="K853" s="5" t="n">
        <f aca="false">H853+I853-J853</f>
        <v>50</v>
      </c>
      <c r="L853" s="5" t="n">
        <f aca="false">MIN($W$7,J853+K853)</f>
        <v>800</v>
      </c>
      <c r="M853" s="5" t="n">
        <f aca="false">VA_base_426_data!D853</f>
        <v>800</v>
      </c>
      <c r="N853" s="5" t="n">
        <f aca="false">IF(AND(C853=10,E853=1),$W$6,N852-P852)</f>
        <v>0</v>
      </c>
      <c r="O853" s="5" t="n">
        <f aca="false">IF(ABS(M853-L853)&gt;1,MIN(N853/((L853-M853)*24/12.1/1000),D853),D853)</f>
        <v>31</v>
      </c>
      <c r="P853" s="5" t="n">
        <f aca="false">MIN(IF(AND(G853,E853),(L853-M853)*24/12.1*O853/1000,0),N853)</f>
        <v>0</v>
      </c>
      <c r="Q853" s="5" t="n">
        <f aca="false">IF(P853&gt;0,P853/O853*12.1/24*1000+M853,0)</f>
        <v>0</v>
      </c>
      <c r="R853" s="0" t="n">
        <f aca="false">IF(Q853&gt;0,TRUNC(O853),0)</f>
        <v>0</v>
      </c>
      <c r="S853" s="5" t="n">
        <f aca="false">(M853*(D853-R853)+(Q853*R853))/D853</f>
        <v>800</v>
      </c>
      <c r="T853" s="6" t="n">
        <f aca="false">(Q853-M853)*R853*24/12.1/1000</f>
        <v>-0</v>
      </c>
    </row>
    <row r="854" customFormat="false" ht="14.35" hidden="false" customHeight="false" outlineLevel="0" collapsed="false">
      <c r="A854" s="4" t="n">
        <v>33724</v>
      </c>
      <c r="B854" s="15" t="n">
        <f aca="false">IF(C854&lt;=9,YEAR(A854),YEAR(A854)+1)</f>
        <v>1992</v>
      </c>
      <c r="C854" s="15" t="n">
        <f aca="false">MONTH(A854)</f>
        <v>4</v>
      </c>
      <c r="D854" s="15" t="n">
        <f aca="false">DAY(A854)</f>
        <v>30</v>
      </c>
      <c r="E854" s="15" t="n">
        <f aca="false">VLOOKUP(B854,WYT!$A$2:$L$97,12)</f>
        <v>0</v>
      </c>
      <c r="F854" s="15" t="n">
        <f aca="false">IF(C854=$W$5,1,0)</f>
        <v>0</v>
      </c>
      <c r="G854" s="15" t="n">
        <f aca="false">IF(C854=10,0,IF(F854=1,1,G853))</f>
        <v>1</v>
      </c>
      <c r="H854" s="5" t="n">
        <f aca="false">VA_base_426_data!B854</f>
        <v>750</v>
      </c>
      <c r="I854" s="5" t="n">
        <f aca="false">IF(AND(E854=1,OR(C854=4,C854=5)),25*12.1/24/D854*1000,0)</f>
        <v>0</v>
      </c>
      <c r="J854" s="5" t="n">
        <f aca="false">VA_base_426_data!C854</f>
        <v>750</v>
      </c>
      <c r="K854" s="5" t="n">
        <f aca="false">H854+I854-J854</f>
        <v>0</v>
      </c>
      <c r="L854" s="5" t="n">
        <f aca="false">MIN($W$7,J854+K854)</f>
        <v>750</v>
      </c>
      <c r="M854" s="5" t="n">
        <f aca="false">VA_base_426_data!D854</f>
        <v>700</v>
      </c>
      <c r="N854" s="5" t="n">
        <f aca="false">IF(AND(C854=10,E854=1),$W$6,N853-P853)</f>
        <v>0</v>
      </c>
      <c r="O854" s="5" t="n">
        <f aca="false">IF(ABS(M854-L854)&gt;1,MIN(N854/((L854-M854)*24/12.1/1000),D854),D854)</f>
        <v>0</v>
      </c>
      <c r="P854" s="5" t="n">
        <f aca="false">MIN(IF(AND(G854,E854),(L854-M854)*24/12.1*O854/1000,0),N854)</f>
        <v>0</v>
      </c>
      <c r="Q854" s="5" t="n">
        <f aca="false">IF(P854&gt;0,P854/O854*12.1/24*1000+M854,0)</f>
        <v>0</v>
      </c>
      <c r="R854" s="0" t="n">
        <f aca="false">IF(Q854&gt;0,TRUNC(O854),0)</f>
        <v>0</v>
      </c>
      <c r="S854" s="5" t="n">
        <f aca="false">(M854*(D854-R854)+(Q854*R854))/D854</f>
        <v>700</v>
      </c>
      <c r="T854" s="6" t="n">
        <f aca="false">(Q854-M854)*R854*24/12.1/1000</f>
        <v>-0</v>
      </c>
    </row>
    <row r="855" customFormat="false" ht="14.35" hidden="false" customHeight="false" outlineLevel="0" collapsed="false">
      <c r="A855" s="4" t="n">
        <v>33755</v>
      </c>
      <c r="B855" s="15" t="n">
        <f aca="false">IF(C855&lt;=9,YEAR(A855),YEAR(A855)+1)</f>
        <v>1992</v>
      </c>
      <c r="C855" s="15" t="n">
        <f aca="false">MONTH(A855)</f>
        <v>5</v>
      </c>
      <c r="D855" s="15" t="n">
        <f aca="false">DAY(A855)</f>
        <v>31</v>
      </c>
      <c r="E855" s="15" t="n">
        <f aca="false">VLOOKUP(B855,WYT!$A$2:$L$97,12)</f>
        <v>0</v>
      </c>
      <c r="F855" s="15" t="n">
        <f aca="false">IF(C855=$W$5,1,0)</f>
        <v>0</v>
      </c>
      <c r="G855" s="15" t="n">
        <f aca="false">IF(C855=10,0,IF(F855=1,1,G854))</f>
        <v>1</v>
      </c>
      <c r="H855" s="5" t="n">
        <f aca="false">VA_base_426_data!B855</f>
        <v>2452.72605434747</v>
      </c>
      <c r="I855" s="5" t="n">
        <f aca="false">IF(AND(E855=1,OR(C855=4,C855=5)),25*12.1/24/D855*1000,0)</f>
        <v>0</v>
      </c>
      <c r="J855" s="5" t="n">
        <f aca="false">VA_base_426_data!C855</f>
        <v>750</v>
      </c>
      <c r="K855" s="5" t="n">
        <f aca="false">H855+I855-J855</f>
        <v>1702.72605434747</v>
      </c>
      <c r="L855" s="5" t="n">
        <f aca="false">MIN($W$7,J855+K855)</f>
        <v>2000</v>
      </c>
      <c r="M855" s="5" t="n">
        <f aca="false">VA_base_426_data!D855</f>
        <v>700</v>
      </c>
      <c r="N855" s="5" t="n">
        <f aca="false">IF(AND(C855=10,E855=1),$W$6,N854-P854)</f>
        <v>0</v>
      </c>
      <c r="O855" s="5" t="n">
        <f aca="false">IF(ABS(M855-L855)&gt;1,MIN(N855/((L855-M855)*24/12.1/1000),D855),D855)</f>
        <v>0</v>
      </c>
      <c r="P855" s="5" t="n">
        <f aca="false">MIN(IF(AND(G855,E855),(L855-M855)*24/12.1*O855/1000,0),N855)</f>
        <v>0</v>
      </c>
      <c r="Q855" s="5" t="n">
        <f aca="false">IF(P855&gt;0,P855/O855*12.1/24*1000+M855,0)</f>
        <v>0</v>
      </c>
      <c r="R855" s="0" t="n">
        <f aca="false">IF(Q855&gt;0,TRUNC(O855),0)</f>
        <v>0</v>
      </c>
      <c r="S855" s="5" t="n">
        <f aca="false">(M855*(D855-R855)+(Q855*R855))/D855</f>
        <v>700</v>
      </c>
      <c r="T855" s="6" t="n">
        <f aca="false">(Q855-M855)*R855*24/12.1/1000</f>
        <v>-0</v>
      </c>
    </row>
    <row r="856" customFormat="false" ht="14.35" hidden="false" customHeight="false" outlineLevel="0" collapsed="false">
      <c r="A856" s="4" t="n">
        <v>33785</v>
      </c>
      <c r="B856" s="15" t="n">
        <f aca="false">IF(C856&lt;=9,YEAR(A856),YEAR(A856)+1)</f>
        <v>1992</v>
      </c>
      <c r="C856" s="15" t="n">
        <f aca="false">MONTH(A856)</f>
        <v>6</v>
      </c>
      <c r="D856" s="15" t="n">
        <f aca="false">DAY(A856)</f>
        <v>30</v>
      </c>
      <c r="E856" s="15" t="n">
        <f aca="false">VLOOKUP(B856,WYT!$A$2:$L$97,12)</f>
        <v>0</v>
      </c>
      <c r="F856" s="15" t="n">
        <f aca="false">IF(C856=$W$5,1,0)</f>
        <v>0</v>
      </c>
      <c r="G856" s="15" t="n">
        <f aca="false">IF(C856=10,0,IF(F856=1,1,G855))</f>
        <v>1</v>
      </c>
      <c r="H856" s="5" t="n">
        <f aca="false">VA_base_426_data!B856</f>
        <v>3984.75809554355</v>
      </c>
      <c r="I856" s="5" t="n">
        <f aca="false">IF(AND(E856=1,OR(C856=4,C856=5)),25*12.1/24/D856*1000,0)</f>
        <v>0</v>
      </c>
      <c r="J856" s="5" t="n">
        <f aca="false">VA_base_426_data!C856</f>
        <v>750</v>
      </c>
      <c r="K856" s="5" t="n">
        <f aca="false">H856+I856-J856</f>
        <v>3234.75809554355</v>
      </c>
      <c r="L856" s="5" t="n">
        <f aca="false">MIN($W$7,J856+K856)</f>
        <v>2000</v>
      </c>
      <c r="M856" s="5" t="n">
        <f aca="false">VA_base_426_data!D856</f>
        <v>700</v>
      </c>
      <c r="N856" s="5" t="n">
        <f aca="false">IF(AND(C856=10,E856=1),$W$6,N855-P855)</f>
        <v>0</v>
      </c>
      <c r="O856" s="5" t="n">
        <f aca="false">IF(ABS(M856-L856)&gt;1,MIN(N856/((L856-M856)*24/12.1/1000),D856),D856)</f>
        <v>0</v>
      </c>
      <c r="P856" s="5" t="n">
        <f aca="false">MIN(IF(AND(G856,E856),(L856-M856)*24/12.1*O856/1000,0),N856)</f>
        <v>0</v>
      </c>
      <c r="Q856" s="5" t="n">
        <f aca="false">IF(P856&gt;0,P856/O856*12.1/24*1000+M856,0)</f>
        <v>0</v>
      </c>
      <c r="R856" s="0" t="n">
        <f aca="false">IF(Q856&gt;0,TRUNC(O856),0)</f>
        <v>0</v>
      </c>
      <c r="S856" s="5" t="n">
        <f aca="false">(M856*(D856-R856)+(Q856*R856))/D856</f>
        <v>700</v>
      </c>
      <c r="T856" s="6" t="n">
        <f aca="false">(Q856-M856)*R856*24/12.1/1000</f>
        <v>-0</v>
      </c>
    </row>
    <row r="857" customFormat="false" ht="14.35" hidden="false" customHeight="false" outlineLevel="0" collapsed="false">
      <c r="A857" s="4" t="n">
        <v>33816</v>
      </c>
      <c r="B857" s="15" t="n">
        <f aca="false">IF(C857&lt;=9,YEAR(A857),YEAR(A857)+1)</f>
        <v>1992</v>
      </c>
      <c r="C857" s="15" t="n">
        <f aca="false">MONTH(A857)</f>
        <v>7</v>
      </c>
      <c r="D857" s="15" t="n">
        <f aca="false">DAY(A857)</f>
        <v>31</v>
      </c>
      <c r="E857" s="15" t="n">
        <f aca="false">VLOOKUP(B857,WYT!$A$2:$L$97,12)</f>
        <v>0</v>
      </c>
      <c r="F857" s="15" t="n">
        <f aca="false">IF(C857=$W$5,1,0)</f>
        <v>0</v>
      </c>
      <c r="G857" s="15" t="n">
        <f aca="false">IF(C857=10,0,IF(F857=1,1,G856))</f>
        <v>1</v>
      </c>
      <c r="H857" s="5" t="n">
        <f aca="false">VA_base_426_data!B857</f>
        <v>3726.35880402642</v>
      </c>
      <c r="I857" s="5" t="n">
        <f aca="false">IF(AND(E857=1,OR(C857=4,C857=5)),25*12.1/24/D857*1000,0)</f>
        <v>0</v>
      </c>
      <c r="J857" s="5" t="n">
        <f aca="false">VA_base_426_data!C857</f>
        <v>750</v>
      </c>
      <c r="K857" s="5" t="n">
        <f aca="false">H857+I857-J857</f>
        <v>2976.35880402642</v>
      </c>
      <c r="L857" s="5" t="n">
        <f aca="false">MIN($W$7,J857+K857)</f>
        <v>2000</v>
      </c>
      <c r="M857" s="5" t="n">
        <f aca="false">VA_base_426_data!D857</f>
        <v>700</v>
      </c>
      <c r="N857" s="5" t="n">
        <f aca="false">IF(AND(C857=10,E857=1),$W$6,N856-P856)</f>
        <v>0</v>
      </c>
      <c r="O857" s="5" t="n">
        <f aca="false">IF(ABS(M857-L857)&gt;1,MIN(N857/((L857-M857)*24/12.1/1000),D857),D857)</f>
        <v>0</v>
      </c>
      <c r="P857" s="5" t="n">
        <f aca="false">MIN(IF(AND(G857,E857),(L857-M857)*24/12.1*O857/1000,0),N857)</f>
        <v>0</v>
      </c>
      <c r="Q857" s="5" t="n">
        <f aca="false">IF(P857&gt;0,P857/O857*12.1/24*1000+M857,0)</f>
        <v>0</v>
      </c>
      <c r="R857" s="0" t="n">
        <f aca="false">IF(Q857&gt;0,TRUNC(O857),0)</f>
        <v>0</v>
      </c>
      <c r="S857" s="5" t="n">
        <f aca="false">(M857*(D857-R857)+(Q857*R857))/D857</f>
        <v>700</v>
      </c>
      <c r="T857" s="6" t="n">
        <f aca="false">(Q857-M857)*R857*24/12.1/1000</f>
        <v>-0</v>
      </c>
    </row>
    <row r="858" customFormat="false" ht="14.35" hidden="false" customHeight="false" outlineLevel="0" collapsed="false">
      <c r="A858" s="4" t="n">
        <v>33847</v>
      </c>
      <c r="B858" s="15" t="n">
        <f aca="false">IF(C858&lt;=9,YEAR(A858),YEAR(A858)+1)</f>
        <v>1992</v>
      </c>
      <c r="C858" s="15" t="n">
        <f aca="false">MONTH(A858)</f>
        <v>8</v>
      </c>
      <c r="D858" s="15" t="n">
        <f aca="false">DAY(A858)</f>
        <v>31</v>
      </c>
      <c r="E858" s="15" t="n">
        <f aca="false">VLOOKUP(B858,WYT!$A$2:$L$97,12)</f>
        <v>0</v>
      </c>
      <c r="F858" s="15" t="n">
        <f aca="false">IF(C858=$W$5,1,0)</f>
        <v>0</v>
      </c>
      <c r="G858" s="15" t="n">
        <f aca="false">IF(C858=10,0,IF(F858=1,1,G857))</f>
        <v>1</v>
      </c>
      <c r="H858" s="5" t="n">
        <f aca="false">VA_base_426_data!B858</f>
        <v>2004.11627634785</v>
      </c>
      <c r="I858" s="5" t="n">
        <f aca="false">IF(AND(E858=1,OR(C858=4,C858=5)),25*12.1/24/D858*1000,0)</f>
        <v>0</v>
      </c>
      <c r="J858" s="5" t="n">
        <f aca="false">VA_base_426_data!C858</f>
        <v>750</v>
      </c>
      <c r="K858" s="5" t="n">
        <f aca="false">H858+I858-J858</f>
        <v>1254.11627634785</v>
      </c>
      <c r="L858" s="5" t="n">
        <f aca="false">MIN($W$7,J858+K858)</f>
        <v>2000</v>
      </c>
      <c r="M858" s="5" t="n">
        <f aca="false">VA_base_426_data!D858</f>
        <v>700</v>
      </c>
      <c r="N858" s="5" t="n">
        <f aca="false">IF(AND(C858=10,E858=1),$W$6,N857-P857)</f>
        <v>0</v>
      </c>
      <c r="O858" s="5" t="n">
        <f aca="false">IF(ABS(M858-L858)&gt;1,MIN(N858/((L858-M858)*24/12.1/1000),D858),D858)</f>
        <v>0</v>
      </c>
      <c r="P858" s="5" t="n">
        <f aca="false">MIN(IF(AND(G858,E858),(L858-M858)*24/12.1*O858/1000,0),N858)</f>
        <v>0</v>
      </c>
      <c r="Q858" s="5" t="n">
        <f aca="false">IF(P858&gt;0,P858/O858*12.1/24*1000+M858,0)</f>
        <v>0</v>
      </c>
      <c r="R858" s="0" t="n">
        <f aca="false">IF(Q858&gt;0,TRUNC(O858),0)</f>
        <v>0</v>
      </c>
      <c r="S858" s="5" t="n">
        <f aca="false">(M858*(D858-R858)+(Q858*R858))/D858</f>
        <v>700</v>
      </c>
      <c r="T858" s="6" t="n">
        <f aca="false">(Q858-M858)*R858*24/12.1/1000</f>
        <v>-0</v>
      </c>
    </row>
    <row r="859" customFormat="false" ht="14.35" hidden="false" customHeight="false" outlineLevel="0" collapsed="false">
      <c r="A859" s="4" t="n">
        <v>33877</v>
      </c>
      <c r="B859" s="15" t="n">
        <f aca="false">IF(C859&lt;=9,YEAR(A859),YEAR(A859)+1)</f>
        <v>1992</v>
      </c>
      <c r="C859" s="15" t="n">
        <f aca="false">MONTH(A859)</f>
        <v>9</v>
      </c>
      <c r="D859" s="15" t="n">
        <f aca="false">DAY(A859)</f>
        <v>30</v>
      </c>
      <c r="E859" s="15" t="n">
        <f aca="false">VLOOKUP(B859,WYT!$A$2:$L$97,12)</f>
        <v>0</v>
      </c>
      <c r="F859" s="15" t="n">
        <f aca="false">IF(C859=$W$5,1,0)</f>
        <v>0</v>
      </c>
      <c r="G859" s="15" t="n">
        <f aca="false">IF(C859=10,0,IF(F859=1,1,G858))</f>
        <v>1</v>
      </c>
      <c r="H859" s="5" t="n">
        <f aca="false">VA_base_426_data!B859</f>
        <v>2109.27754408336</v>
      </c>
      <c r="I859" s="5" t="n">
        <f aca="false">IF(AND(E859=1,OR(C859=4,C859=5)),25*12.1/24/D859*1000,0)</f>
        <v>0</v>
      </c>
      <c r="J859" s="5" t="n">
        <f aca="false">VA_base_426_data!C859</f>
        <v>750</v>
      </c>
      <c r="K859" s="5" t="n">
        <f aca="false">H859+I859-J859</f>
        <v>1359.27754408336</v>
      </c>
      <c r="L859" s="5" t="n">
        <f aca="false">MIN($W$7,J859+K859)</f>
        <v>2000</v>
      </c>
      <c r="M859" s="5" t="n">
        <f aca="false">VA_base_426_data!D859</f>
        <v>773.3333333</v>
      </c>
      <c r="N859" s="5" t="n">
        <f aca="false">IF(AND(C859=10,E859=1),$W$6,N858-P858)</f>
        <v>0</v>
      </c>
      <c r="O859" s="5" t="n">
        <f aca="false">IF(ABS(M859-L859)&gt;1,MIN(N859/((L859-M859)*24/12.1/1000),D859),D859)</f>
        <v>0</v>
      </c>
      <c r="P859" s="5" t="n">
        <f aca="false">MIN(IF(AND(G859,E859),(L859-M859)*24/12.1*O859/1000,0),N859)</f>
        <v>0</v>
      </c>
      <c r="Q859" s="5" t="n">
        <f aca="false">IF(P859&gt;0,P859/O859*12.1/24*1000+M859,0)</f>
        <v>0</v>
      </c>
      <c r="R859" s="0" t="n">
        <f aca="false">IF(Q859&gt;0,TRUNC(O859),0)</f>
        <v>0</v>
      </c>
      <c r="S859" s="5" t="n">
        <f aca="false">(M859*(D859-R859)+(Q859*R859))/D859</f>
        <v>773.3333333</v>
      </c>
      <c r="T859" s="6" t="n">
        <f aca="false">(Q859-M859)*R859*24/12.1/1000</f>
        <v>-0</v>
      </c>
    </row>
    <row r="860" customFormat="false" ht="14.35" hidden="false" customHeight="false" outlineLevel="0" collapsed="false">
      <c r="A860" s="4" t="n">
        <v>33908</v>
      </c>
      <c r="B860" s="15" t="n">
        <f aca="false">IF(C860&lt;=9,YEAR(A860),YEAR(A860)+1)</f>
        <v>1993</v>
      </c>
      <c r="C860" s="15" t="n">
        <f aca="false">MONTH(A860)</f>
        <v>10</v>
      </c>
      <c r="D860" s="15" t="n">
        <f aca="false">DAY(A860)</f>
        <v>31</v>
      </c>
      <c r="E860" s="15" t="n">
        <f aca="false">VLOOKUP(B860,WYT!$A$2:$L$97,12)</f>
        <v>1</v>
      </c>
      <c r="F860" s="15" t="n">
        <f aca="false">IF(C860=$W$5,1,0)</f>
        <v>0</v>
      </c>
      <c r="G860" s="15" t="n">
        <f aca="false">IF(C860=10,0,IF(F860=1,1,G859))</f>
        <v>0</v>
      </c>
      <c r="H860" s="5" t="n">
        <f aca="false">VA_base_426_data!B860</f>
        <v>2145.82730696136</v>
      </c>
      <c r="I860" s="5" t="n">
        <f aca="false">IF(AND(E860=1,OR(C860=4,C860=5)),25*12.1/24/D860*1000,0)</f>
        <v>0</v>
      </c>
      <c r="J860" s="5" t="n">
        <f aca="false">VA_base_426_data!C860</f>
        <v>900</v>
      </c>
      <c r="K860" s="5" t="n">
        <f aca="false">H860+I860-J860</f>
        <v>1245.82730696136</v>
      </c>
      <c r="L860" s="5" t="n">
        <f aca="false">MIN($W$7,J860+K860)</f>
        <v>2000</v>
      </c>
      <c r="M860" s="5" t="n">
        <f aca="false">VA_base_426_data!D860</f>
        <v>800</v>
      </c>
      <c r="N860" s="5" t="n">
        <f aca="false">IF(AND(C860=10,E860=1),$W$6,N859-P859)</f>
        <v>43</v>
      </c>
      <c r="O860" s="5" t="n">
        <f aca="false">IF(ABS(M860-L860)&gt;1,MIN(N860/((L860-M860)*24/12.1/1000),D860),D860)</f>
        <v>18.0659722222222</v>
      </c>
      <c r="P860" s="5" t="n">
        <f aca="false">MIN(IF(AND(G860,E860),(L860-M860)*24/12.1*O860/1000,0),N860)</f>
        <v>0</v>
      </c>
      <c r="Q860" s="5" t="n">
        <f aca="false">IF(P860&gt;0,P860/O860*12.1/24*1000+M860,0)</f>
        <v>0</v>
      </c>
      <c r="R860" s="0" t="n">
        <f aca="false">IF(Q860&gt;0,TRUNC(O860),0)</f>
        <v>0</v>
      </c>
      <c r="S860" s="5" t="n">
        <f aca="false">(M860*(D860-R860)+(Q860*R860))/D860</f>
        <v>800</v>
      </c>
      <c r="T860" s="6" t="n">
        <f aca="false">(Q860-M860)*R860*24/12.1/1000</f>
        <v>-0</v>
      </c>
    </row>
    <row r="861" customFormat="false" ht="14.35" hidden="false" customHeight="false" outlineLevel="0" collapsed="false">
      <c r="A861" s="4" t="n">
        <v>33938</v>
      </c>
      <c r="B861" s="15" t="n">
        <f aca="false">IF(C861&lt;=9,YEAR(A861),YEAR(A861)+1)</f>
        <v>1993</v>
      </c>
      <c r="C861" s="15" t="n">
        <f aca="false">MONTH(A861)</f>
        <v>11</v>
      </c>
      <c r="D861" s="15" t="n">
        <f aca="false">DAY(A861)</f>
        <v>30</v>
      </c>
      <c r="E861" s="15" t="n">
        <f aca="false">VLOOKUP(B861,WYT!$A$2:$L$97,12)</f>
        <v>1</v>
      </c>
      <c r="F861" s="15" t="n">
        <f aca="false">IF(C861=$W$5,1,0)</f>
        <v>0</v>
      </c>
      <c r="G861" s="15" t="n">
        <f aca="false">IF(C861=10,0,IF(F861=1,1,G860))</f>
        <v>0</v>
      </c>
      <c r="H861" s="5" t="n">
        <f aca="false">VA_base_426_data!B861</f>
        <v>900</v>
      </c>
      <c r="I861" s="5" t="n">
        <f aca="false">IF(AND(E861=1,OR(C861=4,C861=5)),25*12.1/24/D861*1000,0)</f>
        <v>0</v>
      </c>
      <c r="J861" s="5" t="n">
        <f aca="false">VA_base_426_data!C861</f>
        <v>900</v>
      </c>
      <c r="K861" s="5" t="n">
        <f aca="false">H861+I861-J861</f>
        <v>0</v>
      </c>
      <c r="L861" s="5" t="n">
        <f aca="false">MIN($W$7,J861+K861)</f>
        <v>900</v>
      </c>
      <c r="M861" s="5" t="n">
        <f aca="false">VA_base_426_data!D861</f>
        <v>800</v>
      </c>
      <c r="N861" s="5" t="n">
        <f aca="false">IF(AND(C861=10,E861=1),$W$6,N860-P860)</f>
        <v>43</v>
      </c>
      <c r="O861" s="5" t="n">
        <f aca="false">IF(ABS(M861-L861)&gt;1,MIN(N861/((L861-M861)*24/12.1/1000),D861),D861)</f>
        <v>30</v>
      </c>
      <c r="P861" s="5" t="n">
        <f aca="false">MIN(IF(AND(G861,E861),(L861-M861)*24/12.1*O861/1000,0),N861)</f>
        <v>0</v>
      </c>
      <c r="Q861" s="5" t="n">
        <f aca="false">IF(P861&gt;0,P861/O861*12.1/24*1000+M861,0)</f>
        <v>0</v>
      </c>
      <c r="R861" s="0" t="n">
        <f aca="false">IF(Q861&gt;0,TRUNC(O861),0)</f>
        <v>0</v>
      </c>
      <c r="S861" s="5" t="n">
        <f aca="false">(M861*(D861-R861)+(Q861*R861))/D861</f>
        <v>800</v>
      </c>
      <c r="T861" s="6" t="n">
        <f aca="false">(Q861-M861)*R861*24/12.1/1000</f>
        <v>-0</v>
      </c>
    </row>
    <row r="862" customFormat="false" ht="14.35" hidden="false" customHeight="false" outlineLevel="0" collapsed="false">
      <c r="A862" s="4" t="n">
        <v>33969</v>
      </c>
      <c r="B862" s="15" t="n">
        <f aca="false">IF(C862&lt;=9,YEAR(A862),YEAR(A862)+1)</f>
        <v>1993</v>
      </c>
      <c r="C862" s="15" t="n">
        <f aca="false">MONTH(A862)</f>
        <v>12</v>
      </c>
      <c r="D862" s="15" t="n">
        <f aca="false">DAY(A862)</f>
        <v>31</v>
      </c>
      <c r="E862" s="15" t="n">
        <f aca="false">VLOOKUP(B862,WYT!$A$2:$L$97,12)</f>
        <v>1</v>
      </c>
      <c r="F862" s="15" t="n">
        <f aca="false">IF(C862=$W$5,1,0)</f>
        <v>0</v>
      </c>
      <c r="G862" s="15" t="n">
        <f aca="false">IF(C862=10,0,IF(F862=1,1,G861))</f>
        <v>0</v>
      </c>
      <c r="H862" s="5" t="n">
        <f aca="false">VA_base_426_data!B862</f>
        <v>900</v>
      </c>
      <c r="I862" s="5" t="n">
        <f aca="false">IF(AND(E862=1,OR(C862=4,C862=5)),25*12.1/24/D862*1000,0)</f>
        <v>0</v>
      </c>
      <c r="J862" s="5" t="n">
        <f aca="false">VA_base_426_data!C862</f>
        <v>900</v>
      </c>
      <c r="K862" s="5" t="n">
        <f aca="false">H862+I862-J862</f>
        <v>0</v>
      </c>
      <c r="L862" s="5" t="n">
        <f aca="false">MIN($W$7,J862+K862)</f>
        <v>900</v>
      </c>
      <c r="M862" s="5" t="n">
        <f aca="false">VA_base_426_data!D862</f>
        <v>800</v>
      </c>
      <c r="N862" s="5" t="n">
        <f aca="false">IF(AND(C862=10,E862=1),$W$6,N861-P861)</f>
        <v>43</v>
      </c>
      <c r="O862" s="5" t="n">
        <f aca="false">IF(ABS(M862-L862)&gt;1,MIN(N862/((L862-M862)*24/12.1/1000),D862),D862)</f>
        <v>31</v>
      </c>
      <c r="P862" s="5" t="n">
        <f aca="false">MIN(IF(AND(G862,E862),(L862-M862)*24/12.1*O862/1000,0),N862)</f>
        <v>0</v>
      </c>
      <c r="Q862" s="5" t="n">
        <f aca="false">IF(P862&gt;0,P862/O862*12.1/24*1000+M862,0)</f>
        <v>0</v>
      </c>
      <c r="R862" s="0" t="n">
        <f aca="false">IF(Q862&gt;0,TRUNC(O862),0)</f>
        <v>0</v>
      </c>
      <c r="S862" s="5" t="n">
        <f aca="false">(M862*(D862-R862)+(Q862*R862))/D862</f>
        <v>800</v>
      </c>
      <c r="T862" s="6" t="n">
        <f aca="false">(Q862-M862)*R862*24/12.1/1000</f>
        <v>-0</v>
      </c>
    </row>
    <row r="863" customFormat="false" ht="14.35" hidden="false" customHeight="false" outlineLevel="0" collapsed="false">
      <c r="A863" s="4" t="n">
        <v>34000</v>
      </c>
      <c r="B863" s="15" t="n">
        <f aca="false">IF(C863&lt;=9,YEAR(A863),YEAR(A863)+1)</f>
        <v>1993</v>
      </c>
      <c r="C863" s="15" t="n">
        <f aca="false">MONTH(A863)</f>
        <v>1</v>
      </c>
      <c r="D863" s="15" t="n">
        <f aca="false">DAY(A863)</f>
        <v>31</v>
      </c>
      <c r="E863" s="15" t="n">
        <f aca="false">VLOOKUP(B863,WYT!$A$2:$L$97,12)</f>
        <v>1</v>
      </c>
      <c r="F863" s="15" t="n">
        <f aca="false">IF(C863=$W$5,1,0)</f>
        <v>0</v>
      </c>
      <c r="G863" s="15" t="n">
        <f aca="false">IF(C863=10,0,IF(F863=1,1,G862))</f>
        <v>0</v>
      </c>
      <c r="H863" s="5" t="n">
        <f aca="false">VA_base_426_data!B863</f>
        <v>900</v>
      </c>
      <c r="I863" s="5" t="n">
        <f aca="false">IF(AND(E863=1,OR(C863=4,C863=5)),25*12.1/24/D863*1000,0)</f>
        <v>0</v>
      </c>
      <c r="J863" s="5" t="n">
        <f aca="false">VA_base_426_data!C863</f>
        <v>900</v>
      </c>
      <c r="K863" s="5" t="n">
        <f aca="false">H863+I863-J863</f>
        <v>0</v>
      </c>
      <c r="L863" s="5" t="n">
        <f aca="false">MIN($W$7,J863+K863)</f>
        <v>900</v>
      </c>
      <c r="M863" s="5" t="n">
        <f aca="false">VA_base_426_data!D863</f>
        <v>800</v>
      </c>
      <c r="N863" s="5" t="n">
        <f aca="false">IF(AND(C863=10,E863=1),$W$6,N862-P862)</f>
        <v>43</v>
      </c>
      <c r="O863" s="5" t="n">
        <f aca="false">IF(ABS(M863-L863)&gt;1,MIN(N863/((L863-M863)*24/12.1/1000),D863),D863)</f>
        <v>31</v>
      </c>
      <c r="P863" s="5" t="n">
        <f aca="false">MIN(IF(AND(G863,E863),(L863-M863)*24/12.1*O863/1000,0),N863)</f>
        <v>0</v>
      </c>
      <c r="Q863" s="5" t="n">
        <f aca="false">IF(P863&gt;0,P863/O863*12.1/24*1000+M863,0)</f>
        <v>0</v>
      </c>
      <c r="R863" s="0" t="n">
        <f aca="false">IF(Q863&gt;0,TRUNC(O863),0)</f>
        <v>0</v>
      </c>
      <c r="S863" s="5" t="n">
        <f aca="false">(M863*(D863-R863)+(Q863*R863))/D863</f>
        <v>800</v>
      </c>
      <c r="T863" s="6" t="n">
        <f aca="false">(Q863-M863)*R863*24/12.1/1000</f>
        <v>-0</v>
      </c>
    </row>
    <row r="864" customFormat="false" ht="14.35" hidden="false" customHeight="false" outlineLevel="0" collapsed="false">
      <c r="A864" s="4" t="n">
        <v>34028</v>
      </c>
      <c r="B864" s="15" t="n">
        <f aca="false">IF(C864&lt;=9,YEAR(A864),YEAR(A864)+1)</f>
        <v>1993</v>
      </c>
      <c r="C864" s="15" t="n">
        <f aca="false">MONTH(A864)</f>
        <v>2</v>
      </c>
      <c r="D864" s="15" t="n">
        <f aca="false">DAY(A864)</f>
        <v>28</v>
      </c>
      <c r="E864" s="15" t="n">
        <f aca="false">VLOOKUP(B864,WYT!$A$2:$L$97,12)</f>
        <v>1</v>
      </c>
      <c r="F864" s="15" t="n">
        <f aca="false">IF(C864=$W$5,1,0)</f>
        <v>1</v>
      </c>
      <c r="G864" s="15" t="n">
        <f aca="false">IF(C864=10,0,IF(F864=1,1,G863))</f>
        <v>1</v>
      </c>
      <c r="H864" s="5" t="n">
        <f aca="false">VA_base_426_data!B864</f>
        <v>900</v>
      </c>
      <c r="I864" s="5" t="n">
        <f aca="false">IF(AND(E864=1,OR(C864=4,C864=5)),25*12.1/24/D864*1000,0)</f>
        <v>0</v>
      </c>
      <c r="J864" s="5" t="n">
        <f aca="false">VA_base_426_data!C864</f>
        <v>900</v>
      </c>
      <c r="K864" s="5" t="n">
        <f aca="false">H864+I864-J864</f>
        <v>0</v>
      </c>
      <c r="L864" s="5" t="n">
        <f aca="false">MIN($W$7,J864+K864)</f>
        <v>900</v>
      </c>
      <c r="M864" s="5" t="n">
        <f aca="false">VA_base_426_data!D864</f>
        <v>800</v>
      </c>
      <c r="N864" s="5" t="n">
        <f aca="false">IF(AND(C864=10,E864=1),$W$6,N863-P863)</f>
        <v>43</v>
      </c>
      <c r="O864" s="5" t="n">
        <f aca="false">IF(ABS(M864-L864)&gt;1,MIN(N864/((L864-M864)*24/12.1/1000),D864),D864)</f>
        <v>28</v>
      </c>
      <c r="P864" s="5" t="n">
        <f aca="false">MIN(IF(AND(G864,E864),(L864-M864)*24/12.1*O864/1000,0),N864)</f>
        <v>5.55371900826446</v>
      </c>
      <c r="Q864" s="5" t="n">
        <f aca="false">IF(P864&gt;0,P864/O864*12.1/24*1000+M864,0)</f>
        <v>900</v>
      </c>
      <c r="R864" s="0" t="n">
        <f aca="false">IF(Q864&gt;0,TRUNC(O864),0)</f>
        <v>28</v>
      </c>
      <c r="S864" s="5" t="n">
        <f aca="false">(M864*(D864-R864)+(Q864*R864))/D864</f>
        <v>900</v>
      </c>
      <c r="T864" s="6" t="n">
        <f aca="false">(Q864-M864)*R864*24/12.1/1000</f>
        <v>5.55371900826446</v>
      </c>
    </row>
    <row r="865" customFormat="false" ht="14.35" hidden="false" customHeight="false" outlineLevel="0" collapsed="false">
      <c r="A865" s="4" t="n">
        <v>34059</v>
      </c>
      <c r="B865" s="15" t="n">
        <f aca="false">IF(C865&lt;=9,YEAR(A865),YEAR(A865)+1)</f>
        <v>1993</v>
      </c>
      <c r="C865" s="15" t="n">
        <f aca="false">MONTH(A865)</f>
        <v>3</v>
      </c>
      <c r="D865" s="15" t="n">
        <f aca="false">DAY(A865)</f>
        <v>31</v>
      </c>
      <c r="E865" s="15" t="n">
        <f aca="false">VLOOKUP(B865,WYT!$A$2:$L$97,12)</f>
        <v>1</v>
      </c>
      <c r="F865" s="15" t="n">
        <f aca="false">IF(C865=$W$5,1,0)</f>
        <v>0</v>
      </c>
      <c r="G865" s="15" t="n">
        <f aca="false">IF(C865=10,0,IF(F865=1,1,G864))</f>
        <v>1</v>
      </c>
      <c r="H865" s="5" t="n">
        <f aca="false">VA_base_426_data!B865</f>
        <v>800</v>
      </c>
      <c r="I865" s="5" t="n">
        <f aca="false">IF(AND(E865=1,OR(C865=4,C865=5)),25*12.1/24/D865*1000,0)</f>
        <v>0</v>
      </c>
      <c r="J865" s="5" t="n">
        <f aca="false">VA_base_426_data!C865</f>
        <v>750</v>
      </c>
      <c r="K865" s="5" t="n">
        <f aca="false">H865+I865-J865</f>
        <v>50</v>
      </c>
      <c r="L865" s="5" t="n">
        <f aca="false">MIN($W$7,J865+K865)</f>
        <v>800</v>
      </c>
      <c r="M865" s="5" t="n">
        <f aca="false">VA_base_426_data!D865</f>
        <v>800</v>
      </c>
      <c r="N865" s="5" t="n">
        <f aca="false">IF(AND(C865=10,E865=1),$W$6,N864-P864)</f>
        <v>37.4462809917355</v>
      </c>
      <c r="O865" s="5" t="n">
        <f aca="false">IF(ABS(M865-L865)&gt;1,MIN(N865/((L865-M865)*24/12.1/1000),D865),D865)</f>
        <v>31</v>
      </c>
      <c r="P865" s="5" t="n">
        <f aca="false">MIN(IF(AND(G865,E865),(L865-M865)*24/12.1*O865/1000,0),N865)</f>
        <v>0</v>
      </c>
      <c r="Q865" s="5" t="n">
        <f aca="false">IF(P865&gt;0,P865/O865*12.1/24*1000+M865,0)</f>
        <v>0</v>
      </c>
      <c r="R865" s="0" t="n">
        <f aca="false">IF(Q865&gt;0,TRUNC(O865),0)</f>
        <v>0</v>
      </c>
      <c r="S865" s="5" t="n">
        <f aca="false">(M865*(D865-R865)+(Q865*R865))/D865</f>
        <v>800</v>
      </c>
      <c r="T865" s="6" t="n">
        <f aca="false">(Q865-M865)*R865*24/12.1/1000</f>
        <v>-0</v>
      </c>
    </row>
    <row r="866" customFormat="false" ht="14.35" hidden="false" customHeight="false" outlineLevel="0" collapsed="false">
      <c r="A866" s="4" t="n">
        <v>34089</v>
      </c>
      <c r="B866" s="15" t="n">
        <f aca="false">IF(C866&lt;=9,YEAR(A866),YEAR(A866)+1)</f>
        <v>1993</v>
      </c>
      <c r="C866" s="15" t="n">
        <f aca="false">MONTH(A866)</f>
        <v>4</v>
      </c>
      <c r="D866" s="15" t="n">
        <f aca="false">DAY(A866)</f>
        <v>30</v>
      </c>
      <c r="E866" s="15" t="n">
        <f aca="false">VLOOKUP(B866,WYT!$A$2:$L$97,12)</f>
        <v>1</v>
      </c>
      <c r="F866" s="15" t="n">
        <f aca="false">IF(C866=$W$5,1,0)</f>
        <v>0</v>
      </c>
      <c r="G866" s="15" t="n">
        <f aca="false">IF(C866=10,0,IF(F866=1,1,G865))</f>
        <v>1</v>
      </c>
      <c r="H866" s="5" t="n">
        <f aca="false">VA_base_426_data!B866</f>
        <v>1614.14263036315</v>
      </c>
      <c r="I866" s="5" t="n">
        <f aca="false">IF(AND(E866=1,OR(C866=4,C866=5)),25*12.1/24/D866*1000,0)</f>
        <v>420.138888888889</v>
      </c>
      <c r="J866" s="5" t="n">
        <f aca="false">VA_base_426_data!C866</f>
        <v>1000</v>
      </c>
      <c r="K866" s="5" t="n">
        <f aca="false">H866+I866-J866</f>
        <v>1034.28151925204</v>
      </c>
      <c r="L866" s="5" t="n">
        <f aca="false">MIN($W$7,J866+K866)</f>
        <v>2000</v>
      </c>
      <c r="M866" s="5" t="n">
        <f aca="false">VA_base_426_data!D866</f>
        <v>700</v>
      </c>
      <c r="N866" s="5" t="n">
        <f aca="false">IF(AND(C866=10,E866=1),$W$6,N865-P865)</f>
        <v>37.4462809917355</v>
      </c>
      <c r="O866" s="5" t="n">
        <f aca="false">IF(ABS(M866-L866)&gt;1,MIN(N866/((L866-M866)*24/12.1/1000),D866),D866)</f>
        <v>14.5224358974359</v>
      </c>
      <c r="P866" s="5" t="n">
        <f aca="false">MIN(IF(AND(G866,E866),(L866-M866)*24/12.1*O866/1000,0),N866)</f>
        <v>37.4462809917355</v>
      </c>
      <c r="Q866" s="5" t="n">
        <f aca="false">IF(P866&gt;0,P866/O866*12.1/24*1000+M866,0)</f>
        <v>2000</v>
      </c>
      <c r="R866" s="0" t="n">
        <f aca="false">IF(Q866&gt;0,TRUNC(O866),0)</f>
        <v>14</v>
      </c>
      <c r="S866" s="5" t="n">
        <f aca="false">(M866*(D866-R866)+(Q866*R866))/D866</f>
        <v>1306.66666666667</v>
      </c>
      <c r="T866" s="6" t="n">
        <f aca="false">(Q866-M866)*R866*24/12.1/1000</f>
        <v>36.099173553719</v>
      </c>
    </row>
    <row r="867" customFormat="false" ht="14.35" hidden="false" customHeight="false" outlineLevel="0" collapsed="false">
      <c r="A867" s="4" t="n">
        <v>34120</v>
      </c>
      <c r="B867" s="15" t="n">
        <f aca="false">IF(C867&lt;=9,YEAR(A867),YEAR(A867)+1)</f>
        <v>1993</v>
      </c>
      <c r="C867" s="15" t="n">
        <f aca="false">MONTH(A867)</f>
        <v>5</v>
      </c>
      <c r="D867" s="15" t="n">
        <f aca="false">DAY(A867)</f>
        <v>31</v>
      </c>
      <c r="E867" s="15" t="n">
        <f aca="false">VLOOKUP(B867,WYT!$A$2:$L$97,12)</f>
        <v>1</v>
      </c>
      <c r="F867" s="15" t="n">
        <f aca="false">IF(C867=$W$5,1,0)</f>
        <v>0</v>
      </c>
      <c r="G867" s="15" t="n">
        <f aca="false">IF(C867=10,0,IF(F867=1,1,G866))</f>
        <v>1</v>
      </c>
      <c r="H867" s="5" t="n">
        <f aca="false">VA_base_426_data!B867</f>
        <v>7748.61489686635</v>
      </c>
      <c r="I867" s="5" t="n">
        <f aca="false">IF(AND(E867=1,OR(C867=4,C867=5)),25*12.1/24/D867*1000,0)</f>
        <v>406.586021505376</v>
      </c>
      <c r="J867" s="5" t="n">
        <f aca="false">VA_base_426_data!C867</f>
        <v>1000</v>
      </c>
      <c r="K867" s="5" t="n">
        <f aca="false">H867+I867-J867</f>
        <v>7155.20091837173</v>
      </c>
      <c r="L867" s="5" t="n">
        <f aca="false">MIN($W$7,J867+K867)</f>
        <v>2000</v>
      </c>
      <c r="M867" s="5" t="n">
        <f aca="false">VA_base_426_data!D867</f>
        <v>700</v>
      </c>
      <c r="N867" s="5" t="n">
        <f aca="false">IF(AND(C867=10,E867=1),$W$6,N866-P866)</f>
        <v>0</v>
      </c>
      <c r="O867" s="5" t="n">
        <f aca="false">IF(ABS(M867-L867)&gt;1,MIN(N867/((L867-M867)*24/12.1/1000),D867),D867)</f>
        <v>0</v>
      </c>
      <c r="P867" s="5" t="n">
        <f aca="false">MIN(IF(AND(G867,E867),(L867-M867)*24/12.1*O867/1000,0),N867)</f>
        <v>0</v>
      </c>
      <c r="Q867" s="5" t="n">
        <f aca="false">IF(P867&gt;0,P867/O867*12.1/24*1000+M867,0)</f>
        <v>0</v>
      </c>
      <c r="R867" s="0" t="n">
        <f aca="false">IF(Q867&gt;0,TRUNC(O867),0)</f>
        <v>0</v>
      </c>
      <c r="S867" s="5" t="n">
        <f aca="false">(M867*(D867-R867)+(Q867*R867))/D867</f>
        <v>700</v>
      </c>
      <c r="T867" s="6" t="n">
        <f aca="false">(Q867-M867)*R867*24/12.1/1000</f>
        <v>-0</v>
      </c>
    </row>
    <row r="868" customFormat="false" ht="14.35" hidden="false" customHeight="false" outlineLevel="0" collapsed="false">
      <c r="A868" s="4" t="n">
        <v>34150</v>
      </c>
      <c r="B868" s="15" t="n">
        <f aca="false">IF(C868&lt;=9,YEAR(A868),YEAR(A868)+1)</f>
        <v>1993</v>
      </c>
      <c r="C868" s="15" t="n">
        <f aca="false">MONTH(A868)</f>
        <v>6</v>
      </c>
      <c r="D868" s="15" t="n">
        <f aca="false">DAY(A868)</f>
        <v>30</v>
      </c>
      <c r="E868" s="15" t="n">
        <f aca="false">VLOOKUP(B868,WYT!$A$2:$L$97,12)</f>
        <v>1</v>
      </c>
      <c r="F868" s="15" t="n">
        <f aca="false">IF(C868=$W$5,1,0)</f>
        <v>0</v>
      </c>
      <c r="G868" s="15" t="n">
        <f aca="false">IF(C868=10,0,IF(F868=1,1,G867))</f>
        <v>1</v>
      </c>
      <c r="H868" s="5" t="n">
        <f aca="false">VA_base_426_data!B868</f>
        <v>4438.61382529986</v>
      </c>
      <c r="I868" s="5" t="n">
        <f aca="false">IF(AND(E868=1,OR(C868=4,C868=5)),25*12.1/24/D868*1000,0)</f>
        <v>0</v>
      </c>
      <c r="J868" s="5" t="n">
        <f aca="false">VA_base_426_data!C868</f>
        <v>1000</v>
      </c>
      <c r="K868" s="5" t="n">
        <f aca="false">H868+I868-J868</f>
        <v>3438.61382529986</v>
      </c>
      <c r="L868" s="5" t="n">
        <f aca="false">MIN($W$7,J868+K868)</f>
        <v>2000</v>
      </c>
      <c r="M868" s="5" t="n">
        <f aca="false">VA_base_426_data!D868</f>
        <v>700</v>
      </c>
      <c r="N868" s="5" t="n">
        <f aca="false">IF(AND(C868=10,E868=1),$W$6,N867-P867)</f>
        <v>0</v>
      </c>
      <c r="O868" s="5" t="n">
        <f aca="false">IF(ABS(M868-L868)&gt;1,MIN(N868/((L868-M868)*24/12.1/1000),D868),D868)</f>
        <v>0</v>
      </c>
      <c r="P868" s="5" t="n">
        <f aca="false">MIN(IF(AND(G868,E868),(L868-M868)*24/12.1*O868/1000,0),N868)</f>
        <v>0</v>
      </c>
      <c r="Q868" s="5" t="n">
        <f aca="false">IF(P868&gt;0,P868/O868*12.1/24*1000+M868,0)</f>
        <v>0</v>
      </c>
      <c r="R868" s="0" t="n">
        <f aca="false">IF(Q868&gt;0,TRUNC(O868),0)</f>
        <v>0</v>
      </c>
      <c r="S868" s="5" t="n">
        <f aca="false">(M868*(D868-R868)+(Q868*R868))/D868</f>
        <v>700</v>
      </c>
      <c r="T868" s="6" t="n">
        <f aca="false">(Q868-M868)*R868*24/12.1/1000</f>
        <v>-0</v>
      </c>
    </row>
    <row r="869" customFormat="false" ht="14.35" hidden="false" customHeight="false" outlineLevel="0" collapsed="false">
      <c r="A869" s="4" t="n">
        <v>34181</v>
      </c>
      <c r="B869" s="15" t="n">
        <f aca="false">IF(C869&lt;=9,YEAR(A869),YEAR(A869)+1)</f>
        <v>1993</v>
      </c>
      <c r="C869" s="15" t="n">
        <f aca="false">MONTH(A869)</f>
        <v>7</v>
      </c>
      <c r="D869" s="15" t="n">
        <f aca="false">DAY(A869)</f>
        <v>31</v>
      </c>
      <c r="E869" s="15" t="n">
        <f aca="false">VLOOKUP(B869,WYT!$A$2:$L$97,12)</f>
        <v>1</v>
      </c>
      <c r="F869" s="15" t="n">
        <f aca="false">IF(C869=$W$5,1,0)</f>
        <v>0</v>
      </c>
      <c r="G869" s="15" t="n">
        <f aca="false">IF(C869=10,0,IF(F869=1,1,G868))</f>
        <v>1</v>
      </c>
      <c r="H869" s="5" t="n">
        <f aca="false">VA_base_426_data!B869</f>
        <v>8708.00302169375</v>
      </c>
      <c r="I869" s="5" t="n">
        <f aca="false">IF(AND(E869=1,OR(C869=4,C869=5)),25*12.1/24/D869*1000,0)</f>
        <v>0</v>
      </c>
      <c r="J869" s="5" t="n">
        <f aca="false">VA_base_426_data!C869</f>
        <v>1000</v>
      </c>
      <c r="K869" s="5" t="n">
        <f aca="false">H869+I869-J869</f>
        <v>7708.00302169375</v>
      </c>
      <c r="L869" s="5" t="n">
        <f aca="false">MIN($W$7,J869+K869)</f>
        <v>2000</v>
      </c>
      <c r="M869" s="5" t="n">
        <f aca="false">VA_base_426_data!D869</f>
        <v>700</v>
      </c>
      <c r="N869" s="5" t="n">
        <f aca="false">IF(AND(C869=10,E869=1),$W$6,N868-P868)</f>
        <v>0</v>
      </c>
      <c r="O869" s="5" t="n">
        <f aca="false">IF(ABS(M869-L869)&gt;1,MIN(N869/((L869-M869)*24/12.1/1000),D869),D869)</f>
        <v>0</v>
      </c>
      <c r="P869" s="5" t="n">
        <f aca="false">MIN(IF(AND(G869,E869),(L869-M869)*24/12.1*O869/1000,0),N869)</f>
        <v>0</v>
      </c>
      <c r="Q869" s="5" t="n">
        <f aca="false">IF(P869&gt;0,P869/O869*12.1/24*1000+M869,0)</f>
        <v>0</v>
      </c>
      <c r="R869" s="0" t="n">
        <f aca="false">IF(Q869&gt;0,TRUNC(O869),0)</f>
        <v>0</v>
      </c>
      <c r="S869" s="5" t="n">
        <f aca="false">(M869*(D869-R869)+(Q869*R869))/D869</f>
        <v>700</v>
      </c>
      <c r="T869" s="6" t="n">
        <f aca="false">(Q869-M869)*R869*24/12.1/1000</f>
        <v>-0</v>
      </c>
    </row>
    <row r="870" customFormat="false" ht="14.35" hidden="false" customHeight="false" outlineLevel="0" collapsed="false">
      <c r="A870" s="4" t="n">
        <v>34212</v>
      </c>
      <c r="B870" s="15" t="n">
        <f aca="false">IF(C870&lt;=9,YEAR(A870),YEAR(A870)+1)</f>
        <v>1993</v>
      </c>
      <c r="C870" s="15" t="n">
        <f aca="false">MONTH(A870)</f>
        <v>8</v>
      </c>
      <c r="D870" s="15" t="n">
        <f aca="false">DAY(A870)</f>
        <v>31</v>
      </c>
      <c r="E870" s="15" t="n">
        <f aca="false">VLOOKUP(B870,WYT!$A$2:$L$97,12)</f>
        <v>1</v>
      </c>
      <c r="F870" s="15" t="n">
        <f aca="false">IF(C870=$W$5,1,0)</f>
        <v>0</v>
      </c>
      <c r="G870" s="15" t="n">
        <f aca="false">IF(C870=10,0,IF(F870=1,1,G869))</f>
        <v>1</v>
      </c>
      <c r="H870" s="5" t="n">
        <f aca="false">VA_base_426_data!B870</f>
        <v>7818.4249832596</v>
      </c>
      <c r="I870" s="5" t="n">
        <f aca="false">IF(AND(E870=1,OR(C870=4,C870=5)),25*12.1/24/D870*1000,0)</f>
        <v>0</v>
      </c>
      <c r="J870" s="5" t="n">
        <f aca="false">VA_base_426_data!C870</f>
        <v>1000</v>
      </c>
      <c r="K870" s="5" t="n">
        <f aca="false">H870+I870-J870</f>
        <v>6818.4249832596</v>
      </c>
      <c r="L870" s="5" t="n">
        <f aca="false">MIN($W$7,J870+K870)</f>
        <v>2000</v>
      </c>
      <c r="M870" s="5" t="n">
        <f aca="false">VA_base_426_data!D870</f>
        <v>700</v>
      </c>
      <c r="N870" s="5" t="n">
        <f aca="false">IF(AND(C870=10,E870=1),$W$6,N869-P869)</f>
        <v>0</v>
      </c>
      <c r="O870" s="5" t="n">
        <f aca="false">IF(ABS(M870-L870)&gt;1,MIN(N870/((L870-M870)*24/12.1/1000),D870),D870)</f>
        <v>0</v>
      </c>
      <c r="P870" s="5" t="n">
        <f aca="false">MIN(IF(AND(G870,E870),(L870-M870)*24/12.1*O870/1000,0),N870)</f>
        <v>0</v>
      </c>
      <c r="Q870" s="5" t="n">
        <f aca="false">IF(P870&gt;0,P870/O870*12.1/24*1000+M870,0)</f>
        <v>0</v>
      </c>
      <c r="R870" s="0" t="n">
        <f aca="false">IF(Q870&gt;0,TRUNC(O870),0)</f>
        <v>0</v>
      </c>
      <c r="S870" s="5" t="n">
        <f aca="false">(M870*(D870-R870)+(Q870*R870))/D870</f>
        <v>700</v>
      </c>
      <c r="T870" s="6" t="n">
        <f aca="false">(Q870-M870)*R870*24/12.1/1000</f>
        <v>-0</v>
      </c>
    </row>
    <row r="871" customFormat="false" ht="14.35" hidden="false" customHeight="false" outlineLevel="0" collapsed="false">
      <c r="A871" s="4" t="n">
        <v>34242</v>
      </c>
      <c r="B871" s="15" t="n">
        <f aca="false">IF(C871&lt;=9,YEAR(A871),YEAR(A871)+1)</f>
        <v>1993</v>
      </c>
      <c r="C871" s="15" t="n">
        <f aca="false">MONTH(A871)</f>
        <v>9</v>
      </c>
      <c r="D871" s="15" t="n">
        <f aca="false">DAY(A871)</f>
        <v>30</v>
      </c>
      <c r="E871" s="15" t="n">
        <f aca="false">VLOOKUP(B871,WYT!$A$2:$L$97,12)</f>
        <v>1</v>
      </c>
      <c r="F871" s="15" t="n">
        <f aca="false">IF(C871=$W$5,1,0)</f>
        <v>0</v>
      </c>
      <c r="G871" s="15" t="n">
        <f aca="false">IF(C871=10,0,IF(F871=1,1,G870))</f>
        <v>1</v>
      </c>
      <c r="H871" s="5" t="n">
        <f aca="false">VA_base_426_data!B871</f>
        <v>7947.76447635057</v>
      </c>
      <c r="I871" s="5" t="n">
        <f aca="false">IF(AND(E871=1,OR(C871=4,C871=5)),25*12.1/24/D871*1000,0)</f>
        <v>0</v>
      </c>
      <c r="J871" s="5" t="n">
        <f aca="false">VA_base_426_data!C871</f>
        <v>1000</v>
      </c>
      <c r="K871" s="5" t="n">
        <f aca="false">H871+I871-J871</f>
        <v>6947.76447635057</v>
      </c>
      <c r="L871" s="5" t="n">
        <f aca="false">MIN($W$7,J871+K871)</f>
        <v>2000</v>
      </c>
      <c r="M871" s="5" t="n">
        <f aca="false">VA_base_426_data!D871</f>
        <v>773.3333333</v>
      </c>
      <c r="N871" s="5" t="n">
        <f aca="false">IF(AND(C871=10,E871=1),$W$6,N870-P870)</f>
        <v>0</v>
      </c>
      <c r="O871" s="5" t="n">
        <f aca="false">IF(ABS(M871-L871)&gt;1,MIN(N871/((L871-M871)*24/12.1/1000),D871),D871)</f>
        <v>0</v>
      </c>
      <c r="P871" s="5" t="n">
        <f aca="false">MIN(IF(AND(G871,E871),(L871-M871)*24/12.1*O871/1000,0),N871)</f>
        <v>0</v>
      </c>
      <c r="Q871" s="5" t="n">
        <f aca="false">IF(P871&gt;0,P871/O871*12.1/24*1000+M871,0)</f>
        <v>0</v>
      </c>
      <c r="R871" s="0" t="n">
        <f aca="false">IF(Q871&gt;0,TRUNC(O871),0)</f>
        <v>0</v>
      </c>
      <c r="S871" s="5" t="n">
        <f aca="false">(M871*(D871-R871)+(Q871*R871))/D871</f>
        <v>773.3333333</v>
      </c>
      <c r="T871" s="6" t="n">
        <f aca="false">(Q871-M871)*R871*24/12.1/1000</f>
        <v>-0</v>
      </c>
    </row>
    <row r="872" customFormat="false" ht="14.35" hidden="false" customHeight="false" outlineLevel="0" collapsed="false">
      <c r="A872" s="4" t="n">
        <v>34273</v>
      </c>
      <c r="B872" s="15" t="n">
        <f aca="false">IF(C872&lt;=9,YEAR(A872),YEAR(A872)+1)</f>
        <v>1994</v>
      </c>
      <c r="C872" s="15" t="n">
        <f aca="false">MONTH(A872)</f>
        <v>10</v>
      </c>
      <c r="D872" s="15" t="n">
        <f aca="false">DAY(A872)</f>
        <v>31</v>
      </c>
      <c r="E872" s="15" t="n">
        <f aca="false">VLOOKUP(B872,WYT!$A$2:$L$97,12)</f>
        <v>0</v>
      </c>
      <c r="F872" s="15" t="n">
        <f aca="false">IF(C872=$W$5,1,0)</f>
        <v>0</v>
      </c>
      <c r="G872" s="15" t="n">
        <f aca="false">IF(C872=10,0,IF(F872=1,1,G871))</f>
        <v>0</v>
      </c>
      <c r="H872" s="5" t="n">
        <f aca="false">VA_base_426_data!B872</f>
        <v>4000</v>
      </c>
      <c r="I872" s="5" t="n">
        <f aca="false">IF(AND(E872=1,OR(C872=4,C872=5)),25*12.1/24/D872*1000,0)</f>
        <v>0</v>
      </c>
      <c r="J872" s="5" t="n">
        <f aca="false">VA_base_426_data!C872</f>
        <v>1200</v>
      </c>
      <c r="K872" s="5" t="n">
        <f aca="false">H872+I872-J872</f>
        <v>2800</v>
      </c>
      <c r="L872" s="5" t="n">
        <f aca="false">MIN($W$7,J872+K872)</f>
        <v>2000</v>
      </c>
      <c r="M872" s="5" t="n">
        <f aca="false">VA_base_426_data!D872</f>
        <v>800</v>
      </c>
      <c r="N872" s="5" t="n">
        <f aca="false">IF(AND(C872=10,E872=1),$W$6,N871-P871)</f>
        <v>0</v>
      </c>
      <c r="O872" s="5" t="n">
        <f aca="false">IF(ABS(M872-L872)&gt;1,MIN(N872/((L872-M872)*24/12.1/1000),D872),D872)</f>
        <v>0</v>
      </c>
      <c r="P872" s="5" t="n">
        <f aca="false">MIN(IF(AND(G872,E872),(L872-M872)*24/12.1*O872/1000,0),N872)</f>
        <v>0</v>
      </c>
      <c r="Q872" s="5" t="n">
        <f aca="false">IF(P872&gt;0,P872/O872*12.1/24*1000+M872,0)</f>
        <v>0</v>
      </c>
      <c r="R872" s="0" t="n">
        <f aca="false">IF(Q872&gt;0,TRUNC(O872),0)</f>
        <v>0</v>
      </c>
      <c r="S872" s="5" t="n">
        <f aca="false">(M872*(D872-R872)+(Q872*R872))/D872</f>
        <v>800</v>
      </c>
      <c r="T872" s="6" t="n">
        <f aca="false">(Q872-M872)*R872*24/12.1/1000</f>
        <v>-0</v>
      </c>
    </row>
    <row r="873" customFormat="false" ht="14.35" hidden="false" customHeight="false" outlineLevel="0" collapsed="false">
      <c r="A873" s="4" t="n">
        <v>34303</v>
      </c>
      <c r="B873" s="15" t="n">
        <f aca="false">IF(C873&lt;=9,YEAR(A873),YEAR(A873)+1)</f>
        <v>1994</v>
      </c>
      <c r="C873" s="15" t="n">
        <f aca="false">MONTH(A873)</f>
        <v>11</v>
      </c>
      <c r="D873" s="15" t="n">
        <f aca="false">DAY(A873)</f>
        <v>30</v>
      </c>
      <c r="E873" s="15" t="n">
        <f aca="false">VLOOKUP(B873,WYT!$A$2:$L$97,12)</f>
        <v>0</v>
      </c>
      <c r="F873" s="15" t="n">
        <f aca="false">IF(C873=$W$5,1,0)</f>
        <v>0</v>
      </c>
      <c r="G873" s="15" t="n">
        <f aca="false">IF(C873=10,0,IF(F873=1,1,G872))</f>
        <v>0</v>
      </c>
      <c r="H873" s="5" t="n">
        <f aca="false">VA_base_426_data!B873</f>
        <v>2500</v>
      </c>
      <c r="I873" s="5" t="n">
        <f aca="false">IF(AND(E873=1,OR(C873=4,C873=5)),25*12.1/24/D873*1000,0)</f>
        <v>0</v>
      </c>
      <c r="J873" s="5" t="n">
        <f aca="false">VA_base_426_data!C873</f>
        <v>1200</v>
      </c>
      <c r="K873" s="5" t="n">
        <f aca="false">H873+I873-J873</f>
        <v>1300</v>
      </c>
      <c r="L873" s="5" t="n">
        <f aca="false">MIN($W$7,J873+K873)</f>
        <v>2000</v>
      </c>
      <c r="M873" s="5" t="n">
        <f aca="false">VA_base_426_data!D873</f>
        <v>800</v>
      </c>
      <c r="N873" s="5" t="n">
        <f aca="false">IF(AND(C873=10,E873=1),$W$6,N872-P872)</f>
        <v>0</v>
      </c>
      <c r="O873" s="5" t="n">
        <f aca="false">IF(ABS(M873-L873)&gt;1,MIN(N873/((L873-M873)*24/12.1/1000),D873),D873)</f>
        <v>0</v>
      </c>
      <c r="P873" s="5" t="n">
        <f aca="false">MIN(IF(AND(G873,E873),(L873-M873)*24/12.1*O873/1000,0),N873)</f>
        <v>0</v>
      </c>
      <c r="Q873" s="5" t="n">
        <f aca="false">IF(P873&gt;0,P873/O873*12.1/24*1000+M873,0)</f>
        <v>0</v>
      </c>
      <c r="R873" s="0" t="n">
        <f aca="false">IF(Q873&gt;0,TRUNC(O873),0)</f>
        <v>0</v>
      </c>
      <c r="S873" s="5" t="n">
        <f aca="false">(M873*(D873-R873)+(Q873*R873))/D873</f>
        <v>800</v>
      </c>
      <c r="T873" s="6" t="n">
        <f aca="false">(Q873-M873)*R873*24/12.1/1000</f>
        <v>-0</v>
      </c>
    </row>
    <row r="874" customFormat="false" ht="14.35" hidden="false" customHeight="false" outlineLevel="0" collapsed="false">
      <c r="A874" s="4" t="n">
        <v>34334</v>
      </c>
      <c r="B874" s="15" t="n">
        <f aca="false">IF(C874&lt;=9,YEAR(A874),YEAR(A874)+1)</f>
        <v>1994</v>
      </c>
      <c r="C874" s="15" t="n">
        <f aca="false">MONTH(A874)</f>
        <v>12</v>
      </c>
      <c r="D874" s="15" t="n">
        <f aca="false">DAY(A874)</f>
        <v>31</v>
      </c>
      <c r="E874" s="15" t="n">
        <f aca="false">VLOOKUP(B874,WYT!$A$2:$L$97,12)</f>
        <v>0</v>
      </c>
      <c r="F874" s="15" t="n">
        <f aca="false">IF(C874=$W$5,1,0)</f>
        <v>0</v>
      </c>
      <c r="G874" s="15" t="n">
        <f aca="false">IF(C874=10,0,IF(F874=1,1,G873))</f>
        <v>0</v>
      </c>
      <c r="H874" s="5" t="n">
        <f aca="false">VA_base_426_data!B874</f>
        <v>3848.5710498722</v>
      </c>
      <c r="I874" s="5" t="n">
        <f aca="false">IF(AND(E874=1,OR(C874=4,C874=5)),25*12.1/24/D874*1000,0)</f>
        <v>0</v>
      </c>
      <c r="J874" s="5" t="n">
        <f aca="false">VA_base_426_data!C874</f>
        <v>1200</v>
      </c>
      <c r="K874" s="5" t="n">
        <f aca="false">H874+I874-J874</f>
        <v>2648.5710498722</v>
      </c>
      <c r="L874" s="5" t="n">
        <f aca="false">MIN($W$7,J874+K874)</f>
        <v>2000</v>
      </c>
      <c r="M874" s="5" t="n">
        <f aca="false">VA_base_426_data!D874</f>
        <v>800</v>
      </c>
      <c r="N874" s="5" t="n">
        <f aca="false">IF(AND(C874=10,E874=1),$W$6,N873-P873)</f>
        <v>0</v>
      </c>
      <c r="O874" s="5" t="n">
        <f aca="false">IF(ABS(M874-L874)&gt;1,MIN(N874/((L874-M874)*24/12.1/1000),D874),D874)</f>
        <v>0</v>
      </c>
      <c r="P874" s="5" t="n">
        <f aca="false">MIN(IF(AND(G874,E874),(L874-M874)*24/12.1*O874/1000,0),N874)</f>
        <v>0</v>
      </c>
      <c r="Q874" s="5" t="n">
        <f aca="false">IF(P874&gt;0,P874/O874*12.1/24*1000+M874,0)</f>
        <v>0</v>
      </c>
      <c r="R874" s="0" t="n">
        <f aca="false">IF(Q874&gt;0,TRUNC(O874),0)</f>
        <v>0</v>
      </c>
      <c r="S874" s="5" t="n">
        <f aca="false">(M874*(D874-R874)+(Q874*R874))/D874</f>
        <v>800</v>
      </c>
      <c r="T874" s="6" t="n">
        <f aca="false">(Q874-M874)*R874*24/12.1/1000</f>
        <v>-0</v>
      </c>
    </row>
    <row r="875" customFormat="false" ht="14.35" hidden="false" customHeight="false" outlineLevel="0" collapsed="false">
      <c r="A875" s="4" t="n">
        <v>34365</v>
      </c>
      <c r="B875" s="15" t="n">
        <f aca="false">IF(C875&lt;=9,YEAR(A875),YEAR(A875)+1)</f>
        <v>1994</v>
      </c>
      <c r="C875" s="15" t="n">
        <f aca="false">MONTH(A875)</f>
        <v>1</v>
      </c>
      <c r="D875" s="15" t="n">
        <f aca="false">DAY(A875)</f>
        <v>31</v>
      </c>
      <c r="E875" s="15" t="n">
        <f aca="false">VLOOKUP(B875,WYT!$A$2:$L$97,12)</f>
        <v>0</v>
      </c>
      <c r="F875" s="15" t="n">
        <f aca="false">IF(C875=$W$5,1,0)</f>
        <v>0</v>
      </c>
      <c r="G875" s="15" t="n">
        <f aca="false">IF(C875=10,0,IF(F875=1,1,G874))</f>
        <v>0</v>
      </c>
      <c r="H875" s="5" t="n">
        <f aca="false">VA_base_426_data!B875</f>
        <v>1200</v>
      </c>
      <c r="I875" s="5" t="n">
        <f aca="false">IF(AND(E875=1,OR(C875=4,C875=5)),25*12.1/24/D875*1000,0)</f>
        <v>0</v>
      </c>
      <c r="J875" s="5" t="n">
        <f aca="false">VA_base_426_data!C875</f>
        <v>1200</v>
      </c>
      <c r="K875" s="5" t="n">
        <f aca="false">H875+I875-J875</f>
        <v>0</v>
      </c>
      <c r="L875" s="5" t="n">
        <f aca="false">MIN($W$7,J875+K875)</f>
        <v>1200</v>
      </c>
      <c r="M875" s="5" t="n">
        <f aca="false">VA_base_426_data!D875</f>
        <v>800</v>
      </c>
      <c r="N875" s="5" t="n">
        <f aca="false">IF(AND(C875=10,E875=1),$W$6,N874-P874)</f>
        <v>0</v>
      </c>
      <c r="O875" s="5" t="n">
        <f aca="false">IF(ABS(M875-L875)&gt;1,MIN(N875/((L875-M875)*24/12.1/1000),D875),D875)</f>
        <v>0</v>
      </c>
      <c r="P875" s="5" t="n">
        <f aca="false">MIN(IF(AND(G875,E875),(L875-M875)*24/12.1*O875/1000,0),N875)</f>
        <v>0</v>
      </c>
      <c r="Q875" s="5" t="n">
        <f aca="false">IF(P875&gt;0,P875/O875*12.1/24*1000+M875,0)</f>
        <v>0</v>
      </c>
      <c r="R875" s="0" t="n">
        <f aca="false">IF(Q875&gt;0,TRUNC(O875),0)</f>
        <v>0</v>
      </c>
      <c r="S875" s="5" t="n">
        <f aca="false">(M875*(D875-R875)+(Q875*R875))/D875</f>
        <v>800</v>
      </c>
      <c r="T875" s="6" t="n">
        <f aca="false">(Q875-M875)*R875*24/12.1/1000</f>
        <v>-0</v>
      </c>
    </row>
    <row r="876" customFormat="false" ht="14.35" hidden="false" customHeight="false" outlineLevel="0" collapsed="false">
      <c r="A876" s="4" t="n">
        <v>34393</v>
      </c>
      <c r="B876" s="15" t="n">
        <f aca="false">IF(C876&lt;=9,YEAR(A876),YEAR(A876)+1)</f>
        <v>1994</v>
      </c>
      <c r="C876" s="15" t="n">
        <f aca="false">MONTH(A876)</f>
        <v>2</v>
      </c>
      <c r="D876" s="15" t="n">
        <f aca="false">DAY(A876)</f>
        <v>28</v>
      </c>
      <c r="E876" s="15" t="n">
        <f aca="false">VLOOKUP(B876,WYT!$A$2:$L$97,12)</f>
        <v>0</v>
      </c>
      <c r="F876" s="15" t="n">
        <f aca="false">IF(C876=$W$5,1,0)</f>
        <v>1</v>
      </c>
      <c r="G876" s="15" t="n">
        <f aca="false">IF(C876=10,0,IF(F876=1,1,G875))</f>
        <v>1</v>
      </c>
      <c r="H876" s="5" t="n">
        <f aca="false">VA_base_426_data!B876</f>
        <v>1200</v>
      </c>
      <c r="I876" s="5" t="n">
        <f aca="false">IF(AND(E876=1,OR(C876=4,C876=5)),25*12.1/24/D876*1000,0)</f>
        <v>0</v>
      </c>
      <c r="J876" s="5" t="n">
        <f aca="false">VA_base_426_data!C876</f>
        <v>1200</v>
      </c>
      <c r="K876" s="5" t="n">
        <f aca="false">H876+I876-J876</f>
        <v>0</v>
      </c>
      <c r="L876" s="5" t="n">
        <f aca="false">MIN($W$7,J876+K876)</f>
        <v>1200</v>
      </c>
      <c r="M876" s="5" t="n">
        <f aca="false">VA_base_426_data!D876</f>
        <v>800</v>
      </c>
      <c r="N876" s="5" t="n">
        <f aca="false">IF(AND(C876=10,E876=1),$W$6,N875-P875)</f>
        <v>0</v>
      </c>
      <c r="O876" s="5" t="n">
        <f aca="false">IF(ABS(M876-L876)&gt;1,MIN(N876/((L876-M876)*24/12.1/1000),D876),D876)</f>
        <v>0</v>
      </c>
      <c r="P876" s="5" t="n">
        <f aca="false">MIN(IF(AND(G876,E876),(L876-M876)*24/12.1*O876/1000,0),N876)</f>
        <v>0</v>
      </c>
      <c r="Q876" s="5" t="n">
        <f aca="false">IF(P876&gt;0,P876/O876*12.1/24*1000+M876,0)</f>
        <v>0</v>
      </c>
      <c r="R876" s="0" t="n">
        <f aca="false">IF(Q876&gt;0,TRUNC(O876),0)</f>
        <v>0</v>
      </c>
      <c r="S876" s="5" t="n">
        <f aca="false">(M876*(D876-R876)+(Q876*R876))/D876</f>
        <v>800</v>
      </c>
      <c r="T876" s="6" t="n">
        <f aca="false">(Q876-M876)*R876*24/12.1/1000</f>
        <v>-0</v>
      </c>
    </row>
    <row r="877" customFormat="false" ht="14.35" hidden="false" customHeight="false" outlineLevel="0" collapsed="false">
      <c r="A877" s="4" t="n">
        <v>34424</v>
      </c>
      <c r="B877" s="15" t="n">
        <f aca="false">IF(C877&lt;=9,YEAR(A877),YEAR(A877)+1)</f>
        <v>1994</v>
      </c>
      <c r="C877" s="15" t="n">
        <f aca="false">MONTH(A877)</f>
        <v>3</v>
      </c>
      <c r="D877" s="15" t="n">
        <f aca="false">DAY(A877)</f>
        <v>31</v>
      </c>
      <c r="E877" s="15" t="n">
        <f aca="false">VLOOKUP(B877,WYT!$A$2:$L$97,12)</f>
        <v>0</v>
      </c>
      <c r="F877" s="15" t="n">
        <f aca="false">IF(C877=$W$5,1,0)</f>
        <v>0</v>
      </c>
      <c r="G877" s="15" t="n">
        <f aca="false">IF(C877=10,0,IF(F877=1,1,G876))</f>
        <v>1</v>
      </c>
      <c r="H877" s="5" t="n">
        <f aca="false">VA_base_426_data!B877</f>
        <v>1000</v>
      </c>
      <c r="I877" s="5" t="n">
        <f aca="false">IF(AND(E877=1,OR(C877=4,C877=5)),25*12.1/24/D877*1000,0)</f>
        <v>0</v>
      </c>
      <c r="J877" s="5" t="n">
        <f aca="false">VA_base_426_data!C877</f>
        <v>1000</v>
      </c>
      <c r="K877" s="5" t="n">
        <f aca="false">H877+I877-J877</f>
        <v>0</v>
      </c>
      <c r="L877" s="5" t="n">
        <f aca="false">MIN($W$7,J877+K877)</f>
        <v>1000</v>
      </c>
      <c r="M877" s="5" t="n">
        <f aca="false">VA_base_426_data!D877</f>
        <v>800</v>
      </c>
      <c r="N877" s="5" t="n">
        <f aca="false">IF(AND(C877=10,E877=1),$W$6,N876-P876)</f>
        <v>0</v>
      </c>
      <c r="O877" s="5" t="n">
        <f aca="false">IF(ABS(M877-L877)&gt;1,MIN(N877/((L877-M877)*24/12.1/1000),D877),D877)</f>
        <v>0</v>
      </c>
      <c r="P877" s="5" t="n">
        <f aca="false">MIN(IF(AND(G877,E877),(L877-M877)*24/12.1*O877/1000,0),N877)</f>
        <v>0</v>
      </c>
      <c r="Q877" s="5" t="n">
        <f aca="false">IF(P877&gt;0,P877/O877*12.1/24*1000+M877,0)</f>
        <v>0</v>
      </c>
      <c r="R877" s="0" t="n">
        <f aca="false">IF(Q877&gt;0,TRUNC(O877),0)</f>
        <v>0</v>
      </c>
      <c r="S877" s="5" t="n">
        <f aca="false">(M877*(D877-R877)+(Q877*R877))/D877</f>
        <v>800</v>
      </c>
      <c r="T877" s="6" t="n">
        <f aca="false">(Q877-M877)*R877*24/12.1/1000</f>
        <v>-0</v>
      </c>
    </row>
    <row r="878" customFormat="false" ht="14.35" hidden="false" customHeight="false" outlineLevel="0" collapsed="false">
      <c r="A878" s="4" t="n">
        <v>34454</v>
      </c>
      <c r="B878" s="15" t="n">
        <f aca="false">IF(C878&lt;=9,YEAR(A878),YEAR(A878)+1)</f>
        <v>1994</v>
      </c>
      <c r="C878" s="15" t="n">
        <f aca="false">MONTH(A878)</f>
        <v>4</v>
      </c>
      <c r="D878" s="15" t="n">
        <f aca="false">DAY(A878)</f>
        <v>30</v>
      </c>
      <c r="E878" s="15" t="n">
        <f aca="false">VLOOKUP(B878,WYT!$A$2:$L$97,12)</f>
        <v>0</v>
      </c>
      <c r="F878" s="15" t="n">
        <f aca="false">IF(C878=$W$5,1,0)</f>
        <v>0</v>
      </c>
      <c r="G878" s="15" t="n">
        <f aca="false">IF(C878=10,0,IF(F878=1,1,G877))</f>
        <v>1</v>
      </c>
      <c r="H878" s="5" t="n">
        <f aca="false">VA_base_426_data!B878</f>
        <v>999.999999999992</v>
      </c>
      <c r="I878" s="5" t="n">
        <f aca="false">IF(AND(E878=1,OR(C878=4,C878=5)),25*12.1/24/D878*1000,0)</f>
        <v>0</v>
      </c>
      <c r="J878" s="5" t="n">
        <f aca="false">VA_base_426_data!C878</f>
        <v>1000</v>
      </c>
      <c r="K878" s="5" t="n">
        <f aca="false">H878+I878-J878</f>
        <v>-8.18545231595635E-012</v>
      </c>
      <c r="L878" s="5" t="n">
        <f aca="false">MIN($W$7,J878+K878)</f>
        <v>999.999999999992</v>
      </c>
      <c r="M878" s="5" t="n">
        <f aca="false">VA_base_426_data!D878</f>
        <v>700</v>
      </c>
      <c r="N878" s="5" t="n">
        <f aca="false">IF(AND(C878=10,E878=1),$W$6,N877-P877)</f>
        <v>0</v>
      </c>
      <c r="O878" s="5" t="n">
        <f aca="false">IF(ABS(M878-L878)&gt;1,MIN(N878/((L878-M878)*24/12.1/1000),D878),D878)</f>
        <v>0</v>
      </c>
      <c r="P878" s="5" t="n">
        <f aca="false">MIN(IF(AND(G878,E878),(L878-M878)*24/12.1*O878/1000,0),N878)</f>
        <v>0</v>
      </c>
      <c r="Q878" s="5" t="n">
        <f aca="false">IF(P878&gt;0,P878/O878*12.1/24*1000+M878,0)</f>
        <v>0</v>
      </c>
      <c r="R878" s="0" t="n">
        <f aca="false">IF(Q878&gt;0,TRUNC(O878),0)</f>
        <v>0</v>
      </c>
      <c r="S878" s="5" t="n">
        <f aca="false">(M878*(D878-R878)+(Q878*R878))/D878</f>
        <v>700</v>
      </c>
      <c r="T878" s="6" t="n">
        <f aca="false">(Q878-M878)*R878*24/12.1/1000</f>
        <v>-0</v>
      </c>
    </row>
    <row r="879" customFormat="false" ht="14.35" hidden="false" customHeight="false" outlineLevel="0" collapsed="false">
      <c r="A879" s="4" t="n">
        <v>34485</v>
      </c>
      <c r="B879" s="15" t="n">
        <f aca="false">IF(C879&lt;=9,YEAR(A879),YEAR(A879)+1)</f>
        <v>1994</v>
      </c>
      <c r="C879" s="15" t="n">
        <f aca="false">MONTH(A879)</f>
        <v>5</v>
      </c>
      <c r="D879" s="15" t="n">
        <f aca="false">DAY(A879)</f>
        <v>31</v>
      </c>
      <c r="E879" s="15" t="n">
        <f aca="false">VLOOKUP(B879,WYT!$A$2:$L$97,12)</f>
        <v>0</v>
      </c>
      <c r="F879" s="15" t="n">
        <f aca="false">IF(C879=$W$5,1,0)</f>
        <v>0</v>
      </c>
      <c r="G879" s="15" t="n">
        <f aca="false">IF(C879=10,0,IF(F879=1,1,G878))</f>
        <v>1</v>
      </c>
      <c r="H879" s="5" t="n">
        <f aca="false">VA_base_426_data!B879</f>
        <v>999.999999999998</v>
      </c>
      <c r="I879" s="5" t="n">
        <f aca="false">IF(AND(E879=1,OR(C879=4,C879=5)),25*12.1/24/D879*1000,0)</f>
        <v>0</v>
      </c>
      <c r="J879" s="5" t="n">
        <f aca="false">VA_base_426_data!C879</f>
        <v>1000</v>
      </c>
      <c r="K879" s="5" t="n">
        <f aca="false">H879+I879-J879</f>
        <v>0</v>
      </c>
      <c r="L879" s="5" t="n">
        <f aca="false">MIN($W$7,J879+K879)</f>
        <v>1000</v>
      </c>
      <c r="M879" s="5" t="n">
        <f aca="false">VA_base_426_data!D879</f>
        <v>700</v>
      </c>
      <c r="N879" s="5" t="n">
        <f aca="false">IF(AND(C879=10,E879=1),$W$6,N878-P878)</f>
        <v>0</v>
      </c>
      <c r="O879" s="5" t="n">
        <f aca="false">IF(ABS(M879-L879)&gt;1,MIN(N879/((L879-M879)*24/12.1/1000),D879),D879)</f>
        <v>0</v>
      </c>
      <c r="P879" s="5" t="n">
        <f aca="false">MIN(IF(AND(G879,E879),(L879-M879)*24/12.1*O879/1000,0),N879)</f>
        <v>0</v>
      </c>
      <c r="Q879" s="5" t="n">
        <f aca="false">IF(P879&gt;0,P879/O879*12.1/24*1000+M879,0)</f>
        <v>0</v>
      </c>
      <c r="R879" s="0" t="n">
        <f aca="false">IF(Q879&gt;0,TRUNC(O879),0)</f>
        <v>0</v>
      </c>
      <c r="S879" s="5" t="n">
        <f aca="false">(M879*(D879-R879)+(Q879*R879))/D879</f>
        <v>700</v>
      </c>
      <c r="T879" s="6" t="n">
        <f aca="false">(Q879-M879)*R879*24/12.1/1000</f>
        <v>-0</v>
      </c>
    </row>
    <row r="880" customFormat="false" ht="14.35" hidden="false" customHeight="false" outlineLevel="0" collapsed="false">
      <c r="A880" s="4" t="n">
        <v>34515</v>
      </c>
      <c r="B880" s="15" t="n">
        <f aca="false">IF(C880&lt;=9,YEAR(A880),YEAR(A880)+1)</f>
        <v>1994</v>
      </c>
      <c r="C880" s="15" t="n">
        <f aca="false">MONTH(A880)</f>
        <v>6</v>
      </c>
      <c r="D880" s="15" t="n">
        <f aca="false">DAY(A880)</f>
        <v>30</v>
      </c>
      <c r="E880" s="15" t="n">
        <f aca="false">VLOOKUP(B880,WYT!$A$2:$L$97,12)</f>
        <v>0</v>
      </c>
      <c r="F880" s="15" t="n">
        <f aca="false">IF(C880=$W$5,1,0)</f>
        <v>0</v>
      </c>
      <c r="G880" s="15" t="n">
        <f aca="false">IF(C880=10,0,IF(F880=1,1,G879))</f>
        <v>1</v>
      </c>
      <c r="H880" s="5" t="n">
        <f aca="false">VA_base_426_data!B880</f>
        <v>4661.91332769234</v>
      </c>
      <c r="I880" s="5" t="n">
        <f aca="false">IF(AND(E880=1,OR(C880=4,C880=5)),25*12.1/24/D880*1000,0)</f>
        <v>0</v>
      </c>
      <c r="J880" s="5" t="n">
        <f aca="false">VA_base_426_data!C880</f>
        <v>1000</v>
      </c>
      <c r="K880" s="5" t="n">
        <f aca="false">H880+I880-J880</f>
        <v>3661.91332769234</v>
      </c>
      <c r="L880" s="5" t="n">
        <f aca="false">MIN($W$7,J880+K880)</f>
        <v>2000</v>
      </c>
      <c r="M880" s="5" t="n">
        <f aca="false">VA_base_426_data!D880</f>
        <v>700</v>
      </c>
      <c r="N880" s="5" t="n">
        <f aca="false">IF(AND(C880=10,E880=1),$W$6,N879-P879)</f>
        <v>0</v>
      </c>
      <c r="O880" s="5" t="n">
        <f aca="false">IF(ABS(M880-L880)&gt;1,MIN(N880/((L880-M880)*24/12.1/1000),D880),D880)</f>
        <v>0</v>
      </c>
      <c r="P880" s="5" t="n">
        <f aca="false">MIN(IF(AND(G880,E880),(L880-M880)*24/12.1*O880/1000,0),N880)</f>
        <v>0</v>
      </c>
      <c r="Q880" s="5" t="n">
        <f aca="false">IF(P880&gt;0,P880/O880*12.1/24*1000+M880,0)</f>
        <v>0</v>
      </c>
      <c r="R880" s="0" t="n">
        <f aca="false">IF(Q880&gt;0,TRUNC(O880),0)</f>
        <v>0</v>
      </c>
      <c r="S880" s="5" t="n">
        <f aca="false">(M880*(D880-R880)+(Q880*R880))/D880</f>
        <v>700</v>
      </c>
      <c r="T880" s="6" t="n">
        <f aca="false">(Q880-M880)*R880*24/12.1/1000</f>
        <v>-0</v>
      </c>
    </row>
    <row r="881" customFormat="false" ht="14.35" hidden="false" customHeight="false" outlineLevel="0" collapsed="false">
      <c r="A881" s="4" t="n">
        <v>34546</v>
      </c>
      <c r="B881" s="15" t="n">
        <f aca="false">IF(C881&lt;=9,YEAR(A881),YEAR(A881)+1)</f>
        <v>1994</v>
      </c>
      <c r="C881" s="15" t="n">
        <f aca="false">MONTH(A881)</f>
        <v>7</v>
      </c>
      <c r="D881" s="15" t="n">
        <f aca="false">DAY(A881)</f>
        <v>31</v>
      </c>
      <c r="E881" s="15" t="n">
        <f aca="false">VLOOKUP(B881,WYT!$A$2:$L$97,12)</f>
        <v>0</v>
      </c>
      <c r="F881" s="15" t="n">
        <f aca="false">IF(C881=$W$5,1,0)</f>
        <v>0</v>
      </c>
      <c r="G881" s="15" t="n">
        <f aca="false">IF(C881=10,0,IF(F881=1,1,G880))</f>
        <v>1</v>
      </c>
      <c r="H881" s="5" t="n">
        <f aca="false">VA_base_426_data!B881</f>
        <v>3368.15629084208</v>
      </c>
      <c r="I881" s="5" t="n">
        <f aca="false">IF(AND(E881=1,OR(C881=4,C881=5)),25*12.1/24/D881*1000,0)</f>
        <v>0</v>
      </c>
      <c r="J881" s="5" t="n">
        <f aca="false">VA_base_426_data!C881</f>
        <v>1000</v>
      </c>
      <c r="K881" s="5" t="n">
        <f aca="false">H881+I881-J881</f>
        <v>2368.15629084208</v>
      </c>
      <c r="L881" s="5" t="n">
        <f aca="false">MIN($W$7,J881+K881)</f>
        <v>2000</v>
      </c>
      <c r="M881" s="5" t="n">
        <f aca="false">VA_base_426_data!D881</f>
        <v>700</v>
      </c>
      <c r="N881" s="5" t="n">
        <f aca="false">IF(AND(C881=10,E881=1),$W$6,N880-P880)</f>
        <v>0</v>
      </c>
      <c r="O881" s="5" t="n">
        <f aca="false">IF(ABS(M881-L881)&gt;1,MIN(N881/((L881-M881)*24/12.1/1000),D881),D881)</f>
        <v>0</v>
      </c>
      <c r="P881" s="5" t="n">
        <f aca="false">MIN(IF(AND(G881,E881),(L881-M881)*24/12.1*O881/1000,0),N881)</f>
        <v>0</v>
      </c>
      <c r="Q881" s="5" t="n">
        <f aca="false">IF(P881&gt;0,P881/O881*12.1/24*1000+M881,0)</f>
        <v>0</v>
      </c>
      <c r="R881" s="0" t="n">
        <f aca="false">IF(Q881&gt;0,TRUNC(O881),0)</f>
        <v>0</v>
      </c>
      <c r="S881" s="5" t="n">
        <f aca="false">(M881*(D881-R881)+(Q881*R881))/D881</f>
        <v>700</v>
      </c>
      <c r="T881" s="6" t="n">
        <f aca="false">(Q881-M881)*R881*24/12.1/1000</f>
        <v>-0</v>
      </c>
    </row>
    <row r="882" customFormat="false" ht="14.35" hidden="false" customHeight="false" outlineLevel="0" collapsed="false">
      <c r="A882" s="4" t="n">
        <v>34577</v>
      </c>
      <c r="B882" s="15" t="n">
        <f aca="false">IF(C882&lt;=9,YEAR(A882),YEAR(A882)+1)</f>
        <v>1994</v>
      </c>
      <c r="C882" s="15" t="n">
        <f aca="false">MONTH(A882)</f>
        <v>8</v>
      </c>
      <c r="D882" s="15" t="n">
        <f aca="false">DAY(A882)</f>
        <v>31</v>
      </c>
      <c r="E882" s="15" t="n">
        <f aca="false">VLOOKUP(B882,WYT!$A$2:$L$97,12)</f>
        <v>0</v>
      </c>
      <c r="F882" s="15" t="n">
        <f aca="false">IF(C882=$W$5,1,0)</f>
        <v>0</v>
      </c>
      <c r="G882" s="15" t="n">
        <f aca="false">IF(C882=10,0,IF(F882=1,1,G881))</f>
        <v>1</v>
      </c>
      <c r="H882" s="5" t="n">
        <f aca="false">VA_base_426_data!B882</f>
        <v>1756.45766330784</v>
      </c>
      <c r="I882" s="5" t="n">
        <f aca="false">IF(AND(E882=1,OR(C882=4,C882=5)),25*12.1/24/D882*1000,0)</f>
        <v>0</v>
      </c>
      <c r="J882" s="5" t="n">
        <f aca="false">VA_base_426_data!C882</f>
        <v>1000</v>
      </c>
      <c r="K882" s="5" t="n">
        <f aca="false">H882+I882-J882</f>
        <v>756.457663307837</v>
      </c>
      <c r="L882" s="5" t="n">
        <f aca="false">MIN($W$7,J882+K882)</f>
        <v>1756.45766330784</v>
      </c>
      <c r="M882" s="5" t="n">
        <f aca="false">VA_base_426_data!D882</f>
        <v>700</v>
      </c>
      <c r="N882" s="5" t="n">
        <f aca="false">IF(AND(C882=10,E882=1),$W$6,N881-P881)</f>
        <v>0</v>
      </c>
      <c r="O882" s="5" t="n">
        <f aca="false">IF(ABS(M882-L882)&gt;1,MIN(N882/((L882-M882)*24/12.1/1000),D882),D882)</f>
        <v>0</v>
      </c>
      <c r="P882" s="5" t="n">
        <f aca="false">MIN(IF(AND(G882,E882),(L882-M882)*24/12.1*O882/1000,0),N882)</f>
        <v>0</v>
      </c>
      <c r="Q882" s="5" t="n">
        <f aca="false">IF(P882&gt;0,P882/O882*12.1/24*1000+M882,0)</f>
        <v>0</v>
      </c>
      <c r="R882" s="0" t="n">
        <f aca="false">IF(Q882&gt;0,TRUNC(O882),0)</f>
        <v>0</v>
      </c>
      <c r="S882" s="5" t="n">
        <f aca="false">(M882*(D882-R882)+(Q882*R882))/D882</f>
        <v>700</v>
      </c>
      <c r="T882" s="6" t="n">
        <f aca="false">(Q882-M882)*R882*24/12.1/1000</f>
        <v>-0</v>
      </c>
    </row>
    <row r="883" customFormat="false" ht="14.35" hidden="false" customHeight="false" outlineLevel="0" collapsed="false">
      <c r="A883" s="4" t="n">
        <v>34607</v>
      </c>
      <c r="B883" s="15" t="n">
        <f aca="false">IF(C883&lt;=9,YEAR(A883),YEAR(A883)+1)</f>
        <v>1994</v>
      </c>
      <c r="C883" s="15" t="n">
        <f aca="false">MONTH(A883)</f>
        <v>9</v>
      </c>
      <c r="D883" s="15" t="n">
        <f aca="false">DAY(A883)</f>
        <v>30</v>
      </c>
      <c r="E883" s="15" t="n">
        <f aca="false">VLOOKUP(B883,WYT!$A$2:$L$97,12)</f>
        <v>0</v>
      </c>
      <c r="F883" s="15" t="n">
        <f aca="false">IF(C883=$W$5,1,0)</f>
        <v>0</v>
      </c>
      <c r="G883" s="15" t="n">
        <f aca="false">IF(C883=10,0,IF(F883=1,1,G882))</f>
        <v>1</v>
      </c>
      <c r="H883" s="5" t="n">
        <f aca="false">VA_base_426_data!B883</f>
        <v>2306.4538794238</v>
      </c>
      <c r="I883" s="5" t="n">
        <f aca="false">IF(AND(E883=1,OR(C883=4,C883=5)),25*12.1/24/D883*1000,0)</f>
        <v>0</v>
      </c>
      <c r="J883" s="5" t="n">
        <f aca="false">VA_base_426_data!C883</f>
        <v>1000</v>
      </c>
      <c r="K883" s="5" t="n">
        <f aca="false">H883+I883-J883</f>
        <v>1306.4538794238</v>
      </c>
      <c r="L883" s="5" t="n">
        <f aca="false">MIN($W$7,J883+K883)</f>
        <v>2000</v>
      </c>
      <c r="M883" s="5" t="n">
        <f aca="false">VA_base_426_data!D883</f>
        <v>773.3333333</v>
      </c>
      <c r="N883" s="5" t="n">
        <f aca="false">IF(AND(C883=10,E883=1),$W$6,N882-P882)</f>
        <v>0</v>
      </c>
      <c r="O883" s="5" t="n">
        <f aca="false">IF(ABS(M883-L883)&gt;1,MIN(N883/((L883-M883)*24/12.1/1000),D883),D883)</f>
        <v>0</v>
      </c>
      <c r="P883" s="5" t="n">
        <f aca="false">MIN(IF(AND(G883,E883),(L883-M883)*24/12.1*O883/1000,0),N883)</f>
        <v>0</v>
      </c>
      <c r="Q883" s="5" t="n">
        <f aca="false">IF(P883&gt;0,P883/O883*12.1/24*1000+M883,0)</f>
        <v>0</v>
      </c>
      <c r="R883" s="0" t="n">
        <f aca="false">IF(Q883&gt;0,TRUNC(O883),0)</f>
        <v>0</v>
      </c>
      <c r="S883" s="5" t="n">
        <f aca="false">(M883*(D883-R883)+(Q883*R883))/D883</f>
        <v>773.3333333</v>
      </c>
      <c r="T883" s="6" t="n">
        <f aca="false">(Q883-M883)*R883*24/12.1/1000</f>
        <v>-0</v>
      </c>
    </row>
    <row r="884" customFormat="false" ht="14.35" hidden="false" customHeight="false" outlineLevel="0" collapsed="false">
      <c r="A884" s="4" t="n">
        <v>34638</v>
      </c>
      <c r="B884" s="15" t="n">
        <f aca="false">IF(C884&lt;=9,YEAR(A884),YEAR(A884)+1)</f>
        <v>1995</v>
      </c>
      <c r="C884" s="15" t="n">
        <f aca="false">MONTH(A884)</f>
        <v>10</v>
      </c>
      <c r="D884" s="15" t="n">
        <f aca="false">DAY(A884)</f>
        <v>31</v>
      </c>
      <c r="E884" s="15" t="n">
        <f aca="false">VLOOKUP(B884,WYT!$A$2:$L$97,12)</f>
        <v>0</v>
      </c>
      <c r="F884" s="15" t="n">
        <f aca="false">IF(C884=$W$5,1,0)</f>
        <v>0</v>
      </c>
      <c r="G884" s="15" t="n">
        <f aca="false">IF(C884=10,0,IF(F884=1,1,G883))</f>
        <v>0</v>
      </c>
      <c r="H884" s="5" t="n">
        <f aca="false">VA_base_426_data!B884</f>
        <v>1895.3853746163</v>
      </c>
      <c r="I884" s="5" t="n">
        <f aca="false">IF(AND(E884=1,OR(C884=4,C884=5)),25*12.1/24/D884*1000,0)</f>
        <v>0</v>
      </c>
      <c r="J884" s="5" t="n">
        <f aca="false">VA_base_426_data!C884</f>
        <v>1200</v>
      </c>
      <c r="K884" s="5" t="n">
        <f aca="false">H884+I884-J884</f>
        <v>695.3853746163</v>
      </c>
      <c r="L884" s="5" t="n">
        <f aca="false">MIN($W$7,J884+K884)</f>
        <v>1895.3853746163</v>
      </c>
      <c r="M884" s="5" t="n">
        <f aca="false">VA_base_426_data!D884</f>
        <v>800</v>
      </c>
      <c r="N884" s="5" t="n">
        <f aca="false">IF(AND(C884=10,E884=1),$W$6,N883-P883)</f>
        <v>0</v>
      </c>
      <c r="O884" s="5" t="n">
        <f aca="false">IF(ABS(M884-L884)&gt;1,MIN(N884/((L884-M884)*24/12.1/1000),D884),D884)</f>
        <v>0</v>
      </c>
      <c r="P884" s="5" t="n">
        <f aca="false">MIN(IF(AND(G884,E884),(L884-M884)*24/12.1*O884/1000,0),N884)</f>
        <v>0</v>
      </c>
      <c r="Q884" s="5" t="n">
        <f aca="false">IF(P884&gt;0,P884/O884*12.1/24*1000+M884,0)</f>
        <v>0</v>
      </c>
      <c r="R884" s="0" t="n">
        <f aca="false">IF(Q884&gt;0,TRUNC(O884),0)</f>
        <v>0</v>
      </c>
      <c r="S884" s="5" t="n">
        <f aca="false">(M884*(D884-R884)+(Q884*R884))/D884</f>
        <v>800</v>
      </c>
      <c r="T884" s="6" t="n">
        <f aca="false">(Q884-M884)*R884*24/12.1/1000</f>
        <v>-0</v>
      </c>
    </row>
    <row r="885" customFormat="false" ht="14.35" hidden="false" customHeight="false" outlineLevel="0" collapsed="false">
      <c r="A885" s="4" t="n">
        <v>34668</v>
      </c>
      <c r="B885" s="15" t="n">
        <f aca="false">IF(C885&lt;=9,YEAR(A885),YEAR(A885)+1)</f>
        <v>1995</v>
      </c>
      <c r="C885" s="15" t="n">
        <f aca="false">MONTH(A885)</f>
        <v>11</v>
      </c>
      <c r="D885" s="15" t="n">
        <f aca="false">DAY(A885)</f>
        <v>30</v>
      </c>
      <c r="E885" s="15" t="n">
        <f aca="false">VLOOKUP(B885,WYT!$A$2:$L$97,12)</f>
        <v>0</v>
      </c>
      <c r="F885" s="15" t="n">
        <f aca="false">IF(C885=$W$5,1,0)</f>
        <v>0</v>
      </c>
      <c r="G885" s="15" t="n">
        <f aca="false">IF(C885=10,0,IF(F885=1,1,G884))</f>
        <v>0</v>
      </c>
      <c r="H885" s="5" t="n">
        <f aca="false">VA_base_426_data!B885</f>
        <v>1200</v>
      </c>
      <c r="I885" s="5" t="n">
        <f aca="false">IF(AND(E885=1,OR(C885=4,C885=5)),25*12.1/24/D885*1000,0)</f>
        <v>0</v>
      </c>
      <c r="J885" s="5" t="n">
        <f aca="false">VA_base_426_data!C885</f>
        <v>1200</v>
      </c>
      <c r="K885" s="5" t="n">
        <f aca="false">H885+I885-J885</f>
        <v>0</v>
      </c>
      <c r="L885" s="5" t="n">
        <f aca="false">MIN($W$7,J885+K885)</f>
        <v>1200</v>
      </c>
      <c r="M885" s="5" t="n">
        <f aca="false">VA_base_426_data!D885</f>
        <v>800</v>
      </c>
      <c r="N885" s="5" t="n">
        <f aca="false">IF(AND(C885=10,E885=1),$W$6,N884-P884)</f>
        <v>0</v>
      </c>
      <c r="O885" s="5" t="n">
        <f aca="false">IF(ABS(M885-L885)&gt;1,MIN(N885/((L885-M885)*24/12.1/1000),D885),D885)</f>
        <v>0</v>
      </c>
      <c r="P885" s="5" t="n">
        <f aca="false">MIN(IF(AND(G885,E885),(L885-M885)*24/12.1*O885/1000,0),N885)</f>
        <v>0</v>
      </c>
      <c r="Q885" s="5" t="n">
        <f aca="false">IF(P885&gt;0,P885/O885*12.1/24*1000+M885,0)</f>
        <v>0</v>
      </c>
      <c r="R885" s="0" t="n">
        <f aca="false">IF(Q885&gt;0,TRUNC(O885),0)</f>
        <v>0</v>
      </c>
      <c r="S885" s="5" t="n">
        <f aca="false">(M885*(D885-R885)+(Q885*R885))/D885</f>
        <v>800</v>
      </c>
      <c r="T885" s="6" t="n">
        <f aca="false">(Q885-M885)*R885*24/12.1/1000</f>
        <v>-0</v>
      </c>
    </row>
    <row r="886" customFormat="false" ht="14.35" hidden="false" customHeight="false" outlineLevel="0" collapsed="false">
      <c r="A886" s="4" t="n">
        <v>34699</v>
      </c>
      <c r="B886" s="15" t="n">
        <f aca="false">IF(C886&lt;=9,YEAR(A886),YEAR(A886)+1)</f>
        <v>1995</v>
      </c>
      <c r="C886" s="15" t="n">
        <f aca="false">MONTH(A886)</f>
        <v>12</v>
      </c>
      <c r="D886" s="15" t="n">
        <f aca="false">DAY(A886)</f>
        <v>31</v>
      </c>
      <c r="E886" s="15" t="n">
        <f aca="false">VLOOKUP(B886,WYT!$A$2:$L$97,12)</f>
        <v>0</v>
      </c>
      <c r="F886" s="15" t="n">
        <f aca="false">IF(C886=$W$5,1,0)</f>
        <v>0</v>
      </c>
      <c r="G886" s="15" t="n">
        <f aca="false">IF(C886=10,0,IF(F886=1,1,G885))</f>
        <v>0</v>
      </c>
      <c r="H886" s="5" t="n">
        <f aca="false">VA_base_426_data!B886</f>
        <v>1200</v>
      </c>
      <c r="I886" s="5" t="n">
        <f aca="false">IF(AND(E886=1,OR(C886=4,C886=5)),25*12.1/24/D886*1000,0)</f>
        <v>0</v>
      </c>
      <c r="J886" s="5" t="n">
        <f aca="false">VA_base_426_data!C886</f>
        <v>1200</v>
      </c>
      <c r="K886" s="5" t="n">
        <f aca="false">H886+I886-J886</f>
        <v>0</v>
      </c>
      <c r="L886" s="5" t="n">
        <f aca="false">MIN($W$7,J886+K886)</f>
        <v>1200</v>
      </c>
      <c r="M886" s="5" t="n">
        <f aca="false">VA_base_426_data!D886</f>
        <v>800</v>
      </c>
      <c r="N886" s="5" t="n">
        <f aca="false">IF(AND(C886=10,E886=1),$W$6,N885-P885)</f>
        <v>0</v>
      </c>
      <c r="O886" s="5" t="n">
        <f aca="false">IF(ABS(M886-L886)&gt;1,MIN(N886/((L886-M886)*24/12.1/1000),D886),D886)</f>
        <v>0</v>
      </c>
      <c r="P886" s="5" t="n">
        <f aca="false">MIN(IF(AND(G886,E886),(L886-M886)*24/12.1*O886/1000,0),N886)</f>
        <v>0</v>
      </c>
      <c r="Q886" s="5" t="n">
        <f aca="false">IF(P886&gt;0,P886/O886*12.1/24*1000+M886,0)</f>
        <v>0</v>
      </c>
      <c r="R886" s="0" t="n">
        <f aca="false">IF(Q886&gt;0,TRUNC(O886),0)</f>
        <v>0</v>
      </c>
      <c r="S886" s="5" t="n">
        <f aca="false">(M886*(D886-R886)+(Q886*R886))/D886</f>
        <v>800</v>
      </c>
      <c r="T886" s="6" t="n">
        <f aca="false">(Q886-M886)*R886*24/12.1/1000</f>
        <v>-0</v>
      </c>
    </row>
    <row r="887" customFormat="false" ht="14.35" hidden="false" customHeight="false" outlineLevel="0" collapsed="false">
      <c r="A887" s="4" t="n">
        <v>34730</v>
      </c>
      <c r="B887" s="15" t="n">
        <f aca="false">IF(C887&lt;=9,YEAR(A887),YEAR(A887)+1)</f>
        <v>1995</v>
      </c>
      <c r="C887" s="15" t="n">
        <f aca="false">MONTH(A887)</f>
        <v>1</v>
      </c>
      <c r="D887" s="15" t="n">
        <f aca="false">DAY(A887)</f>
        <v>31</v>
      </c>
      <c r="E887" s="15" t="n">
        <f aca="false">VLOOKUP(B887,WYT!$A$2:$L$97,12)</f>
        <v>0</v>
      </c>
      <c r="F887" s="15" t="n">
        <f aca="false">IF(C887=$W$5,1,0)</f>
        <v>0</v>
      </c>
      <c r="G887" s="15" t="n">
        <f aca="false">IF(C887=10,0,IF(F887=1,1,G886))</f>
        <v>0</v>
      </c>
      <c r="H887" s="5" t="n">
        <f aca="false">VA_base_426_data!B887</f>
        <v>1200</v>
      </c>
      <c r="I887" s="5" t="n">
        <f aca="false">IF(AND(E887=1,OR(C887=4,C887=5)),25*12.1/24/D887*1000,0)</f>
        <v>0</v>
      </c>
      <c r="J887" s="5" t="n">
        <f aca="false">VA_base_426_data!C887</f>
        <v>1200</v>
      </c>
      <c r="K887" s="5" t="n">
        <f aca="false">H887+I887-J887</f>
        <v>0</v>
      </c>
      <c r="L887" s="5" t="n">
        <f aca="false">MIN($W$7,J887+K887)</f>
        <v>1200</v>
      </c>
      <c r="M887" s="5" t="n">
        <f aca="false">VA_base_426_data!D887</f>
        <v>800</v>
      </c>
      <c r="N887" s="5" t="n">
        <f aca="false">IF(AND(C887=10,E887=1),$W$6,N886-P886)</f>
        <v>0</v>
      </c>
      <c r="O887" s="5" t="n">
        <f aca="false">IF(ABS(M887-L887)&gt;1,MIN(N887/((L887-M887)*24/12.1/1000),D887),D887)</f>
        <v>0</v>
      </c>
      <c r="P887" s="5" t="n">
        <f aca="false">MIN(IF(AND(G887,E887),(L887-M887)*24/12.1*O887/1000,0),N887)</f>
        <v>0</v>
      </c>
      <c r="Q887" s="5" t="n">
        <f aca="false">IF(P887&gt;0,P887/O887*12.1/24*1000+M887,0)</f>
        <v>0</v>
      </c>
      <c r="R887" s="0" t="n">
        <f aca="false">IF(Q887&gt;0,TRUNC(O887),0)</f>
        <v>0</v>
      </c>
      <c r="S887" s="5" t="n">
        <f aca="false">(M887*(D887-R887)+(Q887*R887))/D887</f>
        <v>800</v>
      </c>
      <c r="T887" s="6" t="n">
        <f aca="false">(Q887-M887)*R887*24/12.1/1000</f>
        <v>-0</v>
      </c>
    </row>
    <row r="888" customFormat="false" ht="14.35" hidden="false" customHeight="false" outlineLevel="0" collapsed="false">
      <c r="A888" s="4" t="n">
        <v>34758</v>
      </c>
      <c r="B888" s="15" t="n">
        <f aca="false">IF(C888&lt;=9,YEAR(A888),YEAR(A888)+1)</f>
        <v>1995</v>
      </c>
      <c r="C888" s="15" t="n">
        <f aca="false">MONTH(A888)</f>
        <v>2</v>
      </c>
      <c r="D888" s="15" t="n">
        <f aca="false">DAY(A888)</f>
        <v>28</v>
      </c>
      <c r="E888" s="15" t="n">
        <f aca="false">VLOOKUP(B888,WYT!$A$2:$L$97,12)</f>
        <v>0</v>
      </c>
      <c r="F888" s="15" t="n">
        <f aca="false">IF(C888=$W$5,1,0)</f>
        <v>1</v>
      </c>
      <c r="G888" s="15" t="n">
        <f aca="false">IF(C888=10,0,IF(F888=1,1,G887))</f>
        <v>1</v>
      </c>
      <c r="H888" s="5" t="n">
        <f aca="false">VA_base_426_data!B888</f>
        <v>1200</v>
      </c>
      <c r="I888" s="5" t="n">
        <f aca="false">IF(AND(E888=1,OR(C888=4,C888=5)),25*12.1/24/D888*1000,0)</f>
        <v>0</v>
      </c>
      <c r="J888" s="5" t="n">
        <f aca="false">VA_base_426_data!C888</f>
        <v>1200</v>
      </c>
      <c r="K888" s="5" t="n">
        <f aca="false">H888+I888-J888</f>
        <v>0</v>
      </c>
      <c r="L888" s="5" t="n">
        <f aca="false">MIN($W$7,J888+K888)</f>
        <v>1200</v>
      </c>
      <c r="M888" s="5" t="n">
        <f aca="false">VA_base_426_data!D888</f>
        <v>800</v>
      </c>
      <c r="N888" s="5" t="n">
        <f aca="false">IF(AND(C888=10,E888=1),$W$6,N887-P887)</f>
        <v>0</v>
      </c>
      <c r="O888" s="5" t="n">
        <f aca="false">IF(ABS(M888-L888)&gt;1,MIN(N888/((L888-M888)*24/12.1/1000),D888),D888)</f>
        <v>0</v>
      </c>
      <c r="P888" s="5" t="n">
        <f aca="false">MIN(IF(AND(G888,E888),(L888-M888)*24/12.1*O888/1000,0),N888)</f>
        <v>0</v>
      </c>
      <c r="Q888" s="5" t="n">
        <f aca="false">IF(P888&gt;0,P888/O888*12.1/24*1000+M888,0)</f>
        <v>0</v>
      </c>
      <c r="R888" s="0" t="n">
        <f aca="false">IF(Q888&gt;0,TRUNC(O888),0)</f>
        <v>0</v>
      </c>
      <c r="S888" s="5" t="n">
        <f aca="false">(M888*(D888-R888)+(Q888*R888))/D888</f>
        <v>800</v>
      </c>
      <c r="T888" s="6" t="n">
        <f aca="false">(Q888-M888)*R888*24/12.1/1000</f>
        <v>-0</v>
      </c>
    </row>
    <row r="889" customFormat="false" ht="14.35" hidden="false" customHeight="false" outlineLevel="0" collapsed="false">
      <c r="A889" s="4" t="n">
        <v>34789</v>
      </c>
      <c r="B889" s="15" t="n">
        <f aca="false">IF(C889&lt;=9,YEAR(A889),YEAR(A889)+1)</f>
        <v>1995</v>
      </c>
      <c r="C889" s="15" t="n">
        <f aca="false">MONTH(A889)</f>
        <v>3</v>
      </c>
      <c r="D889" s="15" t="n">
        <f aca="false">DAY(A889)</f>
        <v>31</v>
      </c>
      <c r="E889" s="15" t="n">
        <f aca="false">VLOOKUP(B889,WYT!$A$2:$L$97,12)</f>
        <v>0</v>
      </c>
      <c r="F889" s="15" t="n">
        <f aca="false">IF(C889=$W$5,1,0)</f>
        <v>0</v>
      </c>
      <c r="G889" s="15" t="n">
        <f aca="false">IF(C889=10,0,IF(F889=1,1,G888))</f>
        <v>1</v>
      </c>
      <c r="H889" s="5" t="n">
        <f aca="false">VA_base_426_data!B889</f>
        <v>33227.6876041039</v>
      </c>
      <c r="I889" s="5" t="n">
        <f aca="false">IF(AND(E889=1,OR(C889=4,C889=5)),25*12.1/24/D889*1000,0)</f>
        <v>0</v>
      </c>
      <c r="J889" s="5" t="n">
        <f aca="false">VA_base_426_data!C889</f>
        <v>1000</v>
      </c>
      <c r="K889" s="5" t="n">
        <f aca="false">H889+I889-J889</f>
        <v>32227.6876041039</v>
      </c>
      <c r="L889" s="5" t="n">
        <f aca="false">MIN($W$7,J889+K889)</f>
        <v>2000</v>
      </c>
      <c r="M889" s="5" t="n">
        <f aca="false">VA_base_426_data!D889</f>
        <v>800</v>
      </c>
      <c r="N889" s="5" t="n">
        <f aca="false">IF(AND(C889=10,E889=1),$W$6,N888-P888)</f>
        <v>0</v>
      </c>
      <c r="O889" s="5" t="n">
        <f aca="false">IF(ABS(M889-L889)&gt;1,MIN(N889/((L889-M889)*24/12.1/1000),D889),D889)</f>
        <v>0</v>
      </c>
      <c r="P889" s="5" t="n">
        <f aca="false">MIN(IF(AND(G889,E889),(L889-M889)*24/12.1*O889/1000,0),N889)</f>
        <v>0</v>
      </c>
      <c r="Q889" s="5" t="n">
        <f aca="false">IF(P889&gt;0,P889/O889*12.1/24*1000+M889,0)</f>
        <v>0</v>
      </c>
      <c r="R889" s="0" t="n">
        <f aca="false">IF(Q889&gt;0,TRUNC(O889),0)</f>
        <v>0</v>
      </c>
      <c r="S889" s="5" t="n">
        <f aca="false">(M889*(D889-R889)+(Q889*R889))/D889</f>
        <v>800</v>
      </c>
      <c r="T889" s="6" t="n">
        <f aca="false">(Q889-M889)*R889*24/12.1/1000</f>
        <v>-0</v>
      </c>
    </row>
    <row r="890" customFormat="false" ht="14.35" hidden="false" customHeight="false" outlineLevel="0" collapsed="false">
      <c r="A890" s="4" t="n">
        <v>34819</v>
      </c>
      <c r="B890" s="15" t="n">
        <f aca="false">IF(C890&lt;=9,YEAR(A890),YEAR(A890)+1)</f>
        <v>1995</v>
      </c>
      <c r="C890" s="15" t="n">
        <f aca="false">MONTH(A890)</f>
        <v>4</v>
      </c>
      <c r="D890" s="15" t="n">
        <f aca="false">DAY(A890)</f>
        <v>30</v>
      </c>
      <c r="E890" s="15" t="n">
        <f aca="false">VLOOKUP(B890,WYT!$A$2:$L$97,12)</f>
        <v>0</v>
      </c>
      <c r="F890" s="15" t="n">
        <f aca="false">IF(C890=$W$5,1,0)</f>
        <v>0</v>
      </c>
      <c r="G890" s="15" t="n">
        <f aca="false">IF(C890=10,0,IF(F890=1,1,G889))</f>
        <v>1</v>
      </c>
      <c r="H890" s="5" t="n">
        <f aca="false">VA_base_426_data!B890</f>
        <v>12888.2071738022</v>
      </c>
      <c r="I890" s="5" t="n">
        <f aca="false">IF(AND(E890=1,OR(C890=4,C890=5)),25*12.1/24/D890*1000,0)</f>
        <v>0</v>
      </c>
      <c r="J890" s="5" t="n">
        <f aca="false">VA_base_426_data!C890</f>
        <v>1000</v>
      </c>
      <c r="K890" s="5" t="n">
        <f aca="false">H890+I890-J890</f>
        <v>11888.2071738022</v>
      </c>
      <c r="L890" s="5" t="n">
        <f aca="false">MIN($W$7,J890+K890)</f>
        <v>2000</v>
      </c>
      <c r="M890" s="5" t="n">
        <f aca="false">VA_base_426_data!D890</f>
        <v>700</v>
      </c>
      <c r="N890" s="5" t="n">
        <f aca="false">IF(AND(C890=10,E890=1),$W$6,N889-P889)</f>
        <v>0</v>
      </c>
      <c r="O890" s="5" t="n">
        <f aca="false">IF(ABS(M890-L890)&gt;1,MIN(N890/((L890-M890)*24/12.1/1000),D890),D890)</f>
        <v>0</v>
      </c>
      <c r="P890" s="5" t="n">
        <f aca="false">MIN(IF(AND(G890,E890),(L890-M890)*24/12.1*O890/1000,0),N890)</f>
        <v>0</v>
      </c>
      <c r="Q890" s="5" t="n">
        <f aca="false">IF(P890&gt;0,P890/O890*12.1/24*1000+M890,0)</f>
        <v>0</v>
      </c>
      <c r="R890" s="0" t="n">
        <f aca="false">IF(Q890&gt;0,TRUNC(O890),0)</f>
        <v>0</v>
      </c>
      <c r="S890" s="5" t="n">
        <f aca="false">(M890*(D890-R890)+(Q890*R890))/D890</f>
        <v>700</v>
      </c>
      <c r="T890" s="6" t="n">
        <f aca="false">(Q890-M890)*R890*24/12.1/1000</f>
        <v>-0</v>
      </c>
    </row>
    <row r="891" customFormat="false" ht="14.35" hidden="false" customHeight="false" outlineLevel="0" collapsed="false">
      <c r="A891" s="4" t="n">
        <v>34850</v>
      </c>
      <c r="B891" s="15" t="n">
        <f aca="false">IF(C891&lt;=9,YEAR(A891),YEAR(A891)+1)</f>
        <v>1995</v>
      </c>
      <c r="C891" s="15" t="n">
        <f aca="false">MONTH(A891)</f>
        <v>5</v>
      </c>
      <c r="D891" s="15" t="n">
        <f aca="false">DAY(A891)</f>
        <v>31</v>
      </c>
      <c r="E891" s="15" t="n">
        <f aca="false">VLOOKUP(B891,WYT!$A$2:$L$97,12)</f>
        <v>0</v>
      </c>
      <c r="F891" s="15" t="n">
        <f aca="false">IF(C891=$W$5,1,0)</f>
        <v>0</v>
      </c>
      <c r="G891" s="15" t="n">
        <f aca="false">IF(C891=10,0,IF(F891=1,1,G890))</f>
        <v>1</v>
      </c>
      <c r="H891" s="5" t="n">
        <f aca="false">VA_base_426_data!B891</f>
        <v>18235.5025872454</v>
      </c>
      <c r="I891" s="5" t="n">
        <f aca="false">IF(AND(E891=1,OR(C891=4,C891=5)),25*12.1/24/D891*1000,0)</f>
        <v>0</v>
      </c>
      <c r="J891" s="5" t="n">
        <f aca="false">VA_base_426_data!C891</f>
        <v>1000</v>
      </c>
      <c r="K891" s="5" t="n">
        <f aca="false">H891+I891-J891</f>
        <v>17235.5025872454</v>
      </c>
      <c r="L891" s="5" t="n">
        <f aca="false">MIN($W$7,J891+K891)</f>
        <v>2000</v>
      </c>
      <c r="M891" s="5" t="n">
        <f aca="false">VA_base_426_data!D891</f>
        <v>700</v>
      </c>
      <c r="N891" s="5" t="n">
        <f aca="false">IF(AND(C891=10,E891=1),$W$6,N890-P890)</f>
        <v>0</v>
      </c>
      <c r="O891" s="5" t="n">
        <f aca="false">IF(ABS(M891-L891)&gt;1,MIN(N891/((L891-M891)*24/12.1/1000),D891),D891)</f>
        <v>0</v>
      </c>
      <c r="P891" s="5" t="n">
        <f aca="false">MIN(IF(AND(G891,E891),(L891-M891)*24/12.1*O891/1000,0),N891)</f>
        <v>0</v>
      </c>
      <c r="Q891" s="5" t="n">
        <f aca="false">IF(P891&gt;0,P891/O891*12.1/24*1000+M891,0)</f>
        <v>0</v>
      </c>
      <c r="R891" s="0" t="n">
        <f aca="false">IF(Q891&gt;0,TRUNC(O891),0)</f>
        <v>0</v>
      </c>
      <c r="S891" s="5" t="n">
        <f aca="false">(M891*(D891-R891)+(Q891*R891))/D891</f>
        <v>700</v>
      </c>
      <c r="T891" s="6" t="n">
        <f aca="false">(Q891-M891)*R891*24/12.1/1000</f>
        <v>-0</v>
      </c>
    </row>
    <row r="892" customFormat="false" ht="14.35" hidden="false" customHeight="false" outlineLevel="0" collapsed="false">
      <c r="A892" s="4" t="n">
        <v>34880</v>
      </c>
      <c r="B892" s="15" t="n">
        <f aca="false">IF(C892&lt;=9,YEAR(A892),YEAR(A892)+1)</f>
        <v>1995</v>
      </c>
      <c r="C892" s="15" t="n">
        <f aca="false">MONTH(A892)</f>
        <v>6</v>
      </c>
      <c r="D892" s="15" t="n">
        <f aca="false">DAY(A892)</f>
        <v>30</v>
      </c>
      <c r="E892" s="15" t="n">
        <f aca="false">VLOOKUP(B892,WYT!$A$2:$L$97,12)</f>
        <v>0</v>
      </c>
      <c r="F892" s="15" t="n">
        <f aca="false">IF(C892=$W$5,1,0)</f>
        <v>0</v>
      </c>
      <c r="G892" s="15" t="n">
        <f aca="false">IF(C892=10,0,IF(F892=1,1,G891))</f>
        <v>1</v>
      </c>
      <c r="H892" s="5" t="n">
        <f aca="false">VA_base_426_data!B892</f>
        <v>10955.3663933271</v>
      </c>
      <c r="I892" s="5" t="n">
        <f aca="false">IF(AND(E892=1,OR(C892=4,C892=5)),25*12.1/24/D892*1000,0)</f>
        <v>0</v>
      </c>
      <c r="J892" s="5" t="n">
        <f aca="false">VA_base_426_data!C892</f>
        <v>1000</v>
      </c>
      <c r="K892" s="5" t="n">
        <f aca="false">H892+I892-J892</f>
        <v>9955.36639332708</v>
      </c>
      <c r="L892" s="5" t="n">
        <f aca="false">MIN($W$7,J892+K892)</f>
        <v>2000</v>
      </c>
      <c r="M892" s="5" t="n">
        <f aca="false">VA_base_426_data!D892</f>
        <v>700</v>
      </c>
      <c r="N892" s="5" t="n">
        <f aca="false">IF(AND(C892=10,E892=1),$W$6,N891-P891)</f>
        <v>0</v>
      </c>
      <c r="O892" s="5" t="n">
        <f aca="false">IF(ABS(M892-L892)&gt;1,MIN(N892/((L892-M892)*24/12.1/1000),D892),D892)</f>
        <v>0</v>
      </c>
      <c r="P892" s="5" t="n">
        <f aca="false">MIN(IF(AND(G892,E892),(L892-M892)*24/12.1*O892/1000,0),N892)</f>
        <v>0</v>
      </c>
      <c r="Q892" s="5" t="n">
        <f aca="false">IF(P892&gt;0,P892/O892*12.1/24*1000+M892,0)</f>
        <v>0</v>
      </c>
      <c r="R892" s="0" t="n">
        <f aca="false">IF(Q892&gt;0,TRUNC(O892),0)</f>
        <v>0</v>
      </c>
      <c r="S892" s="5" t="n">
        <f aca="false">(M892*(D892-R892)+(Q892*R892))/D892</f>
        <v>700</v>
      </c>
      <c r="T892" s="6" t="n">
        <f aca="false">(Q892-M892)*R892*24/12.1/1000</f>
        <v>-0</v>
      </c>
    </row>
    <row r="893" customFormat="false" ht="14.35" hidden="false" customHeight="false" outlineLevel="0" collapsed="false">
      <c r="A893" s="4" t="n">
        <v>34911</v>
      </c>
      <c r="B893" s="15" t="n">
        <f aca="false">IF(C893&lt;=9,YEAR(A893),YEAR(A893)+1)</f>
        <v>1995</v>
      </c>
      <c r="C893" s="15" t="n">
        <f aca="false">MONTH(A893)</f>
        <v>7</v>
      </c>
      <c r="D893" s="15" t="n">
        <f aca="false">DAY(A893)</f>
        <v>31</v>
      </c>
      <c r="E893" s="15" t="n">
        <f aca="false">VLOOKUP(B893,WYT!$A$2:$L$97,12)</f>
        <v>0</v>
      </c>
      <c r="F893" s="15" t="n">
        <f aca="false">IF(C893=$W$5,1,0)</f>
        <v>0</v>
      </c>
      <c r="G893" s="15" t="n">
        <f aca="false">IF(C893=10,0,IF(F893=1,1,G892))</f>
        <v>1</v>
      </c>
      <c r="H893" s="5" t="n">
        <f aca="false">VA_base_426_data!B893</f>
        <v>2362.43406113248</v>
      </c>
      <c r="I893" s="5" t="n">
        <f aca="false">IF(AND(E893=1,OR(C893=4,C893=5)),25*12.1/24/D893*1000,0)</f>
        <v>0</v>
      </c>
      <c r="J893" s="5" t="n">
        <f aca="false">VA_base_426_data!C893</f>
        <v>1000</v>
      </c>
      <c r="K893" s="5" t="n">
        <f aca="false">H893+I893-J893</f>
        <v>1362.43406113248</v>
      </c>
      <c r="L893" s="5" t="n">
        <f aca="false">MIN($W$7,J893+K893)</f>
        <v>2000</v>
      </c>
      <c r="M893" s="5" t="n">
        <f aca="false">VA_base_426_data!D893</f>
        <v>700</v>
      </c>
      <c r="N893" s="5" t="n">
        <f aca="false">IF(AND(C893=10,E893=1),$W$6,N892-P892)</f>
        <v>0</v>
      </c>
      <c r="O893" s="5" t="n">
        <f aca="false">IF(ABS(M893-L893)&gt;1,MIN(N893/((L893-M893)*24/12.1/1000),D893),D893)</f>
        <v>0</v>
      </c>
      <c r="P893" s="5" t="n">
        <f aca="false">MIN(IF(AND(G893,E893),(L893-M893)*24/12.1*O893/1000,0),N893)</f>
        <v>0</v>
      </c>
      <c r="Q893" s="5" t="n">
        <f aca="false">IF(P893&gt;0,P893/O893*12.1/24*1000+M893,0)</f>
        <v>0</v>
      </c>
      <c r="R893" s="0" t="n">
        <f aca="false">IF(Q893&gt;0,TRUNC(O893),0)</f>
        <v>0</v>
      </c>
      <c r="S893" s="5" t="n">
        <f aca="false">(M893*(D893-R893)+(Q893*R893))/D893</f>
        <v>700</v>
      </c>
      <c r="T893" s="6" t="n">
        <f aca="false">(Q893-M893)*R893*24/12.1/1000</f>
        <v>-0</v>
      </c>
    </row>
    <row r="894" customFormat="false" ht="14.35" hidden="false" customHeight="false" outlineLevel="0" collapsed="false">
      <c r="A894" s="4" t="n">
        <v>34942</v>
      </c>
      <c r="B894" s="15" t="n">
        <f aca="false">IF(C894&lt;=9,YEAR(A894),YEAR(A894)+1)</f>
        <v>1995</v>
      </c>
      <c r="C894" s="15" t="n">
        <f aca="false">MONTH(A894)</f>
        <v>8</v>
      </c>
      <c r="D894" s="15" t="n">
        <f aca="false">DAY(A894)</f>
        <v>31</v>
      </c>
      <c r="E894" s="15" t="n">
        <f aca="false">VLOOKUP(B894,WYT!$A$2:$L$97,12)</f>
        <v>0</v>
      </c>
      <c r="F894" s="15" t="n">
        <f aca="false">IF(C894=$W$5,1,0)</f>
        <v>0</v>
      </c>
      <c r="G894" s="15" t="n">
        <f aca="false">IF(C894=10,0,IF(F894=1,1,G893))</f>
        <v>1</v>
      </c>
      <c r="H894" s="5" t="n">
        <f aca="false">VA_base_426_data!B894</f>
        <v>1701.48748912356</v>
      </c>
      <c r="I894" s="5" t="n">
        <f aca="false">IF(AND(E894=1,OR(C894=4,C894=5)),25*12.1/24/D894*1000,0)</f>
        <v>0</v>
      </c>
      <c r="J894" s="5" t="n">
        <f aca="false">VA_base_426_data!C894</f>
        <v>1000</v>
      </c>
      <c r="K894" s="5" t="n">
        <f aca="false">H894+I894-J894</f>
        <v>701.487489123565</v>
      </c>
      <c r="L894" s="5" t="n">
        <f aca="false">MIN($W$7,J894+K894)</f>
        <v>1701.48748912356</v>
      </c>
      <c r="M894" s="5" t="n">
        <f aca="false">VA_base_426_data!D894</f>
        <v>700</v>
      </c>
      <c r="N894" s="5" t="n">
        <f aca="false">IF(AND(C894=10,E894=1),$W$6,N893-P893)</f>
        <v>0</v>
      </c>
      <c r="O894" s="5" t="n">
        <f aca="false">IF(ABS(M894-L894)&gt;1,MIN(N894/((L894-M894)*24/12.1/1000),D894),D894)</f>
        <v>0</v>
      </c>
      <c r="P894" s="5" t="n">
        <f aca="false">MIN(IF(AND(G894,E894),(L894-M894)*24/12.1*O894/1000,0),N894)</f>
        <v>0</v>
      </c>
      <c r="Q894" s="5" t="n">
        <f aca="false">IF(P894&gt;0,P894/O894*12.1/24*1000+M894,0)</f>
        <v>0</v>
      </c>
      <c r="R894" s="0" t="n">
        <f aca="false">IF(Q894&gt;0,TRUNC(O894),0)</f>
        <v>0</v>
      </c>
      <c r="S894" s="5" t="n">
        <f aca="false">(M894*(D894-R894)+(Q894*R894))/D894</f>
        <v>700</v>
      </c>
      <c r="T894" s="6" t="n">
        <f aca="false">(Q894-M894)*R894*24/12.1/1000</f>
        <v>-0</v>
      </c>
    </row>
    <row r="895" customFormat="false" ht="14.35" hidden="false" customHeight="false" outlineLevel="0" collapsed="false">
      <c r="A895" s="4" t="n">
        <v>34972</v>
      </c>
      <c r="B895" s="15" t="n">
        <f aca="false">IF(C895&lt;=9,YEAR(A895),YEAR(A895)+1)</f>
        <v>1995</v>
      </c>
      <c r="C895" s="15" t="n">
        <f aca="false">MONTH(A895)</f>
        <v>9</v>
      </c>
      <c r="D895" s="15" t="n">
        <f aca="false">DAY(A895)</f>
        <v>30</v>
      </c>
      <c r="E895" s="15" t="n">
        <f aca="false">VLOOKUP(B895,WYT!$A$2:$L$97,12)</f>
        <v>0</v>
      </c>
      <c r="F895" s="15" t="n">
        <f aca="false">IF(C895=$W$5,1,0)</f>
        <v>0</v>
      </c>
      <c r="G895" s="15" t="n">
        <f aca="false">IF(C895=10,0,IF(F895=1,1,G894))</f>
        <v>1</v>
      </c>
      <c r="H895" s="5" t="n">
        <f aca="false">VA_base_426_data!B895</f>
        <v>7234.83769166153</v>
      </c>
      <c r="I895" s="5" t="n">
        <f aca="false">IF(AND(E895=1,OR(C895=4,C895=5)),25*12.1/24/D895*1000,0)</f>
        <v>0</v>
      </c>
      <c r="J895" s="5" t="n">
        <f aca="false">VA_base_426_data!C895</f>
        <v>1000</v>
      </c>
      <c r="K895" s="5" t="n">
        <f aca="false">H895+I895-J895</f>
        <v>6234.83769166153</v>
      </c>
      <c r="L895" s="5" t="n">
        <f aca="false">MIN($W$7,J895+K895)</f>
        <v>2000</v>
      </c>
      <c r="M895" s="5" t="n">
        <f aca="false">VA_base_426_data!D895</f>
        <v>773.3333333</v>
      </c>
      <c r="N895" s="5" t="n">
        <f aca="false">IF(AND(C895=10,E895=1),$W$6,N894-P894)</f>
        <v>0</v>
      </c>
      <c r="O895" s="5" t="n">
        <f aca="false">IF(ABS(M895-L895)&gt;1,MIN(N895/((L895-M895)*24/12.1/1000),D895),D895)</f>
        <v>0</v>
      </c>
      <c r="P895" s="5" t="n">
        <f aca="false">MIN(IF(AND(G895,E895),(L895-M895)*24/12.1*O895/1000,0),N895)</f>
        <v>0</v>
      </c>
      <c r="Q895" s="5" t="n">
        <f aca="false">IF(P895&gt;0,P895/O895*12.1/24*1000+M895,0)</f>
        <v>0</v>
      </c>
      <c r="R895" s="0" t="n">
        <f aca="false">IF(Q895&gt;0,TRUNC(O895),0)</f>
        <v>0</v>
      </c>
      <c r="S895" s="5" t="n">
        <f aca="false">(M895*(D895-R895)+(Q895*R895))/D895</f>
        <v>773.3333333</v>
      </c>
      <c r="T895" s="6" t="n">
        <f aca="false">(Q895-M895)*R895*24/12.1/1000</f>
        <v>-0</v>
      </c>
    </row>
    <row r="896" customFormat="false" ht="14.35" hidden="false" customHeight="false" outlineLevel="0" collapsed="false">
      <c r="A896" s="4" t="n">
        <v>35003</v>
      </c>
      <c r="B896" s="15" t="n">
        <f aca="false">IF(C896&lt;=9,YEAR(A896),YEAR(A896)+1)</f>
        <v>1996</v>
      </c>
      <c r="C896" s="15" t="n">
        <f aca="false">MONTH(A896)</f>
        <v>10</v>
      </c>
      <c r="D896" s="15" t="n">
        <f aca="false">DAY(A896)</f>
        <v>31</v>
      </c>
      <c r="E896" s="15" t="n">
        <f aca="false">VLOOKUP(B896,WYT!$A$2:$L$97,12)</f>
        <v>0</v>
      </c>
      <c r="F896" s="15" t="n">
        <f aca="false">IF(C896=$W$5,1,0)</f>
        <v>0</v>
      </c>
      <c r="G896" s="15" t="n">
        <f aca="false">IF(C896=10,0,IF(F896=1,1,G895))</f>
        <v>0</v>
      </c>
      <c r="H896" s="5" t="n">
        <f aca="false">VA_base_426_data!B896</f>
        <v>4000</v>
      </c>
      <c r="I896" s="5" t="n">
        <f aca="false">IF(AND(E896=1,OR(C896=4,C896=5)),25*12.1/24/D896*1000,0)</f>
        <v>0</v>
      </c>
      <c r="J896" s="5" t="n">
        <f aca="false">VA_base_426_data!C896</f>
        <v>1700</v>
      </c>
      <c r="K896" s="5" t="n">
        <f aca="false">H896+I896-J896</f>
        <v>2300</v>
      </c>
      <c r="L896" s="5" t="n">
        <f aca="false">MIN($W$7,J896+K896)</f>
        <v>2000</v>
      </c>
      <c r="M896" s="5" t="n">
        <f aca="false">VA_base_426_data!D896</f>
        <v>800</v>
      </c>
      <c r="N896" s="5" t="n">
        <f aca="false">IF(AND(C896=10,E896=1),$W$6,N895-P895)</f>
        <v>0</v>
      </c>
      <c r="O896" s="5" t="n">
        <f aca="false">IF(ABS(M896-L896)&gt;1,MIN(N896/((L896-M896)*24/12.1/1000),D896),D896)</f>
        <v>0</v>
      </c>
      <c r="P896" s="5" t="n">
        <f aca="false">MIN(IF(AND(G896,E896),(L896-M896)*24/12.1*O896/1000,0),N896)</f>
        <v>0</v>
      </c>
      <c r="Q896" s="5" t="n">
        <f aca="false">IF(P896&gt;0,P896/O896*12.1/24*1000+M896,0)</f>
        <v>0</v>
      </c>
      <c r="R896" s="0" t="n">
        <f aca="false">IF(Q896&gt;0,TRUNC(O896),0)</f>
        <v>0</v>
      </c>
      <c r="S896" s="5" t="n">
        <f aca="false">(M896*(D896-R896)+(Q896*R896))/D896</f>
        <v>800</v>
      </c>
      <c r="T896" s="6" t="n">
        <f aca="false">(Q896-M896)*R896*24/12.1/1000</f>
        <v>-0</v>
      </c>
    </row>
    <row r="897" customFormat="false" ht="14.35" hidden="false" customHeight="false" outlineLevel="0" collapsed="false">
      <c r="A897" s="4" t="n">
        <v>35033</v>
      </c>
      <c r="B897" s="15" t="n">
        <f aca="false">IF(C897&lt;=9,YEAR(A897),YEAR(A897)+1)</f>
        <v>1996</v>
      </c>
      <c r="C897" s="15" t="n">
        <f aca="false">MONTH(A897)</f>
        <v>11</v>
      </c>
      <c r="D897" s="15" t="n">
        <f aca="false">DAY(A897)</f>
        <v>30</v>
      </c>
      <c r="E897" s="15" t="n">
        <f aca="false">VLOOKUP(B897,WYT!$A$2:$L$97,12)</f>
        <v>0</v>
      </c>
      <c r="F897" s="15" t="n">
        <f aca="false">IF(C897=$W$5,1,0)</f>
        <v>0</v>
      </c>
      <c r="G897" s="15" t="n">
        <f aca="false">IF(C897=10,0,IF(F897=1,1,G896))</f>
        <v>0</v>
      </c>
      <c r="H897" s="5" t="n">
        <f aca="false">VA_base_426_data!B897</f>
        <v>2500</v>
      </c>
      <c r="I897" s="5" t="n">
        <f aca="false">IF(AND(E897=1,OR(C897=4,C897=5)),25*12.1/24/D897*1000,0)</f>
        <v>0</v>
      </c>
      <c r="J897" s="5" t="n">
        <f aca="false">VA_base_426_data!C897</f>
        <v>1700</v>
      </c>
      <c r="K897" s="5" t="n">
        <f aca="false">H897+I897-J897</f>
        <v>800</v>
      </c>
      <c r="L897" s="5" t="n">
        <f aca="false">MIN($W$7,J897+K897)</f>
        <v>2000</v>
      </c>
      <c r="M897" s="5" t="n">
        <f aca="false">VA_base_426_data!D897</f>
        <v>800</v>
      </c>
      <c r="N897" s="5" t="n">
        <f aca="false">IF(AND(C897=10,E897=1),$W$6,N896-P896)</f>
        <v>0</v>
      </c>
      <c r="O897" s="5" t="n">
        <f aca="false">IF(ABS(M897-L897)&gt;1,MIN(N897/((L897-M897)*24/12.1/1000),D897),D897)</f>
        <v>0</v>
      </c>
      <c r="P897" s="5" t="n">
        <f aca="false">MIN(IF(AND(G897,E897),(L897-M897)*24/12.1*O897/1000,0),N897)</f>
        <v>0</v>
      </c>
      <c r="Q897" s="5" t="n">
        <f aca="false">IF(P897&gt;0,P897/O897*12.1/24*1000+M897,0)</f>
        <v>0</v>
      </c>
      <c r="R897" s="0" t="n">
        <f aca="false">IF(Q897&gt;0,TRUNC(O897),0)</f>
        <v>0</v>
      </c>
      <c r="S897" s="5" t="n">
        <f aca="false">(M897*(D897-R897)+(Q897*R897))/D897</f>
        <v>800</v>
      </c>
      <c r="T897" s="6" t="n">
        <f aca="false">(Q897-M897)*R897*24/12.1/1000</f>
        <v>-0</v>
      </c>
    </row>
    <row r="898" customFormat="false" ht="14.35" hidden="false" customHeight="false" outlineLevel="0" collapsed="false">
      <c r="A898" s="4" t="n">
        <v>35064</v>
      </c>
      <c r="B898" s="15" t="n">
        <f aca="false">IF(C898&lt;=9,YEAR(A898),YEAR(A898)+1)</f>
        <v>1996</v>
      </c>
      <c r="C898" s="15" t="n">
        <f aca="false">MONTH(A898)</f>
        <v>12</v>
      </c>
      <c r="D898" s="15" t="n">
        <f aca="false">DAY(A898)</f>
        <v>31</v>
      </c>
      <c r="E898" s="15" t="n">
        <f aca="false">VLOOKUP(B898,WYT!$A$2:$L$97,12)</f>
        <v>0</v>
      </c>
      <c r="F898" s="15" t="n">
        <f aca="false">IF(C898=$W$5,1,0)</f>
        <v>0</v>
      </c>
      <c r="G898" s="15" t="n">
        <f aca="false">IF(C898=10,0,IF(F898=1,1,G897))</f>
        <v>0</v>
      </c>
      <c r="H898" s="5" t="n">
        <f aca="false">VA_base_426_data!B898</f>
        <v>1700</v>
      </c>
      <c r="I898" s="5" t="n">
        <f aca="false">IF(AND(E898=1,OR(C898=4,C898=5)),25*12.1/24/D898*1000,0)</f>
        <v>0</v>
      </c>
      <c r="J898" s="5" t="n">
        <f aca="false">VA_base_426_data!C898</f>
        <v>1700</v>
      </c>
      <c r="K898" s="5" t="n">
        <f aca="false">H898+I898-J898</f>
        <v>0</v>
      </c>
      <c r="L898" s="5" t="n">
        <f aca="false">MIN($W$7,J898+K898)</f>
        <v>1700</v>
      </c>
      <c r="M898" s="5" t="n">
        <f aca="false">VA_base_426_data!D898</f>
        <v>800</v>
      </c>
      <c r="N898" s="5" t="n">
        <f aca="false">IF(AND(C898=10,E898=1),$W$6,N897-P897)</f>
        <v>0</v>
      </c>
      <c r="O898" s="5" t="n">
        <f aca="false">IF(ABS(M898-L898)&gt;1,MIN(N898/((L898-M898)*24/12.1/1000),D898),D898)</f>
        <v>0</v>
      </c>
      <c r="P898" s="5" t="n">
        <f aca="false">MIN(IF(AND(G898,E898),(L898-M898)*24/12.1*O898/1000,0),N898)</f>
        <v>0</v>
      </c>
      <c r="Q898" s="5" t="n">
        <f aca="false">IF(P898&gt;0,P898/O898*12.1/24*1000+M898,0)</f>
        <v>0</v>
      </c>
      <c r="R898" s="0" t="n">
        <f aca="false">IF(Q898&gt;0,TRUNC(O898),0)</f>
        <v>0</v>
      </c>
      <c r="S898" s="5" t="n">
        <f aca="false">(M898*(D898-R898)+(Q898*R898))/D898</f>
        <v>800</v>
      </c>
      <c r="T898" s="6" t="n">
        <f aca="false">(Q898-M898)*R898*24/12.1/1000</f>
        <v>-0</v>
      </c>
    </row>
    <row r="899" customFormat="false" ht="14.35" hidden="false" customHeight="false" outlineLevel="0" collapsed="false">
      <c r="A899" s="4" t="n">
        <v>35095</v>
      </c>
      <c r="B899" s="15" t="n">
        <f aca="false">IF(C899&lt;=9,YEAR(A899),YEAR(A899)+1)</f>
        <v>1996</v>
      </c>
      <c r="C899" s="15" t="n">
        <f aca="false">MONTH(A899)</f>
        <v>1</v>
      </c>
      <c r="D899" s="15" t="n">
        <f aca="false">DAY(A899)</f>
        <v>31</v>
      </c>
      <c r="E899" s="15" t="n">
        <f aca="false">VLOOKUP(B899,WYT!$A$2:$L$97,12)</f>
        <v>0</v>
      </c>
      <c r="F899" s="15" t="n">
        <f aca="false">IF(C899=$W$5,1,0)</f>
        <v>0</v>
      </c>
      <c r="G899" s="15" t="n">
        <f aca="false">IF(C899=10,0,IF(F899=1,1,G898))</f>
        <v>0</v>
      </c>
      <c r="H899" s="5" t="n">
        <f aca="false">VA_base_426_data!B899</f>
        <v>8650.34009117156</v>
      </c>
      <c r="I899" s="5" t="n">
        <f aca="false">IF(AND(E899=1,OR(C899=4,C899=5)),25*12.1/24/D899*1000,0)</f>
        <v>0</v>
      </c>
      <c r="J899" s="5" t="n">
        <f aca="false">VA_base_426_data!C899</f>
        <v>1700</v>
      </c>
      <c r="K899" s="5" t="n">
        <f aca="false">H899+I899-J899</f>
        <v>6950.34009117156</v>
      </c>
      <c r="L899" s="5" t="n">
        <f aca="false">MIN($W$7,J899+K899)</f>
        <v>2000</v>
      </c>
      <c r="M899" s="5" t="n">
        <f aca="false">VA_base_426_data!D899</f>
        <v>800</v>
      </c>
      <c r="N899" s="5" t="n">
        <f aca="false">IF(AND(C899=10,E899=1),$W$6,N898-P898)</f>
        <v>0</v>
      </c>
      <c r="O899" s="5" t="n">
        <f aca="false">IF(ABS(M899-L899)&gt;1,MIN(N899/((L899-M899)*24/12.1/1000),D899),D899)</f>
        <v>0</v>
      </c>
      <c r="P899" s="5" t="n">
        <f aca="false">MIN(IF(AND(G899,E899),(L899-M899)*24/12.1*O899/1000,0),N899)</f>
        <v>0</v>
      </c>
      <c r="Q899" s="5" t="n">
        <f aca="false">IF(P899&gt;0,P899/O899*12.1/24*1000+M899,0)</f>
        <v>0</v>
      </c>
      <c r="R899" s="0" t="n">
        <f aca="false">IF(Q899&gt;0,TRUNC(O899),0)</f>
        <v>0</v>
      </c>
      <c r="S899" s="5" t="n">
        <f aca="false">(M899*(D899-R899)+(Q899*R899))/D899</f>
        <v>800</v>
      </c>
      <c r="T899" s="6" t="n">
        <f aca="false">(Q899-M899)*R899*24/12.1/1000</f>
        <v>-0</v>
      </c>
    </row>
    <row r="900" customFormat="false" ht="14.35" hidden="false" customHeight="false" outlineLevel="0" collapsed="false">
      <c r="A900" s="4" t="n">
        <v>35124</v>
      </c>
      <c r="B900" s="15" t="n">
        <f aca="false">IF(C900&lt;=9,YEAR(A900),YEAR(A900)+1)</f>
        <v>1996</v>
      </c>
      <c r="C900" s="15" t="n">
        <f aca="false">MONTH(A900)</f>
        <v>2</v>
      </c>
      <c r="D900" s="15" t="n">
        <f aca="false">DAY(A900)</f>
        <v>29</v>
      </c>
      <c r="E900" s="15" t="n">
        <f aca="false">VLOOKUP(B900,WYT!$A$2:$L$97,12)</f>
        <v>0</v>
      </c>
      <c r="F900" s="15" t="n">
        <f aca="false">IF(C900=$W$5,1,0)</f>
        <v>1</v>
      </c>
      <c r="G900" s="15" t="n">
        <f aca="false">IF(C900=10,0,IF(F900=1,1,G899))</f>
        <v>1</v>
      </c>
      <c r="H900" s="5" t="n">
        <f aca="false">VA_base_426_data!B900</f>
        <v>21189.3437196751</v>
      </c>
      <c r="I900" s="5" t="n">
        <f aca="false">IF(AND(E900=1,OR(C900=4,C900=5)),25*12.1/24/D900*1000,0)</f>
        <v>0</v>
      </c>
      <c r="J900" s="5" t="n">
        <f aca="false">VA_base_426_data!C900</f>
        <v>1700</v>
      </c>
      <c r="K900" s="5" t="n">
        <f aca="false">H900+I900-J900</f>
        <v>19489.3437196751</v>
      </c>
      <c r="L900" s="5" t="n">
        <f aca="false">MIN($W$7,J900+K900)</f>
        <v>2000</v>
      </c>
      <c r="M900" s="5" t="n">
        <f aca="false">VA_base_426_data!D900</f>
        <v>800</v>
      </c>
      <c r="N900" s="5" t="n">
        <f aca="false">IF(AND(C900=10,E900=1),$W$6,N899-P899)</f>
        <v>0</v>
      </c>
      <c r="O900" s="5" t="n">
        <f aca="false">IF(ABS(M900-L900)&gt;1,MIN(N900/((L900-M900)*24/12.1/1000),D900),D900)</f>
        <v>0</v>
      </c>
      <c r="P900" s="5" t="n">
        <f aca="false">MIN(IF(AND(G900,E900),(L900-M900)*24/12.1*O900/1000,0),N900)</f>
        <v>0</v>
      </c>
      <c r="Q900" s="5" t="n">
        <f aca="false">IF(P900&gt;0,P900/O900*12.1/24*1000+M900,0)</f>
        <v>0</v>
      </c>
      <c r="R900" s="0" t="n">
        <f aca="false">IF(Q900&gt;0,TRUNC(O900),0)</f>
        <v>0</v>
      </c>
      <c r="S900" s="5" t="n">
        <f aca="false">(M900*(D900-R900)+(Q900*R900))/D900</f>
        <v>800</v>
      </c>
      <c r="T900" s="6" t="n">
        <f aca="false">(Q900-M900)*R900*24/12.1/1000</f>
        <v>-0</v>
      </c>
    </row>
    <row r="901" customFormat="false" ht="14.35" hidden="false" customHeight="false" outlineLevel="0" collapsed="false">
      <c r="A901" s="4" t="n">
        <v>35155</v>
      </c>
      <c r="B901" s="15" t="n">
        <f aca="false">IF(C901&lt;=9,YEAR(A901),YEAR(A901)+1)</f>
        <v>1996</v>
      </c>
      <c r="C901" s="15" t="n">
        <f aca="false">MONTH(A901)</f>
        <v>3</v>
      </c>
      <c r="D901" s="15" t="n">
        <f aca="false">DAY(A901)</f>
        <v>31</v>
      </c>
      <c r="E901" s="15" t="n">
        <f aca="false">VLOOKUP(B901,WYT!$A$2:$L$97,12)</f>
        <v>0</v>
      </c>
      <c r="F901" s="15" t="n">
        <f aca="false">IF(C901=$W$5,1,0)</f>
        <v>0</v>
      </c>
      <c r="G901" s="15" t="n">
        <f aca="false">IF(C901=10,0,IF(F901=1,1,G900))</f>
        <v>1</v>
      </c>
      <c r="H901" s="5" t="n">
        <f aca="false">VA_base_426_data!B901</f>
        <v>10126.8199483875</v>
      </c>
      <c r="I901" s="5" t="n">
        <f aca="false">IF(AND(E901=1,OR(C901=4,C901=5)),25*12.1/24/D901*1000,0)</f>
        <v>0</v>
      </c>
      <c r="J901" s="5" t="n">
        <f aca="false">VA_base_426_data!C901</f>
        <v>1700</v>
      </c>
      <c r="K901" s="5" t="n">
        <f aca="false">H901+I901-J901</f>
        <v>8426.81994838745</v>
      </c>
      <c r="L901" s="5" t="n">
        <f aca="false">MIN($W$7,J901+K901)</f>
        <v>2000</v>
      </c>
      <c r="M901" s="5" t="n">
        <f aca="false">VA_base_426_data!D901</f>
        <v>800</v>
      </c>
      <c r="N901" s="5" t="n">
        <f aca="false">IF(AND(C901=10,E901=1),$W$6,N900-P900)</f>
        <v>0</v>
      </c>
      <c r="O901" s="5" t="n">
        <f aca="false">IF(ABS(M901-L901)&gt;1,MIN(N901/((L901-M901)*24/12.1/1000),D901),D901)</f>
        <v>0</v>
      </c>
      <c r="P901" s="5" t="n">
        <f aca="false">MIN(IF(AND(G901,E901),(L901-M901)*24/12.1*O901/1000,0),N901)</f>
        <v>0</v>
      </c>
      <c r="Q901" s="5" t="n">
        <f aca="false">IF(P901&gt;0,P901/O901*12.1/24*1000+M901,0)</f>
        <v>0</v>
      </c>
      <c r="R901" s="0" t="n">
        <f aca="false">IF(Q901&gt;0,TRUNC(O901),0)</f>
        <v>0</v>
      </c>
      <c r="S901" s="5" t="n">
        <f aca="false">(M901*(D901-R901)+(Q901*R901))/D901</f>
        <v>800</v>
      </c>
      <c r="T901" s="6" t="n">
        <f aca="false">(Q901-M901)*R901*24/12.1/1000</f>
        <v>-0</v>
      </c>
    </row>
    <row r="902" customFormat="false" ht="14.35" hidden="false" customHeight="false" outlineLevel="0" collapsed="false">
      <c r="A902" s="4" t="n">
        <v>35185</v>
      </c>
      <c r="B902" s="15" t="n">
        <f aca="false">IF(C902&lt;=9,YEAR(A902),YEAR(A902)+1)</f>
        <v>1996</v>
      </c>
      <c r="C902" s="15" t="n">
        <f aca="false">MONTH(A902)</f>
        <v>4</v>
      </c>
      <c r="D902" s="15" t="n">
        <f aca="false">DAY(A902)</f>
        <v>30</v>
      </c>
      <c r="E902" s="15" t="n">
        <f aca="false">VLOOKUP(B902,WYT!$A$2:$L$97,12)</f>
        <v>0</v>
      </c>
      <c r="F902" s="15" t="n">
        <f aca="false">IF(C902=$W$5,1,0)</f>
        <v>0</v>
      </c>
      <c r="G902" s="15" t="n">
        <f aca="false">IF(C902=10,0,IF(F902=1,1,G901))</f>
        <v>1</v>
      </c>
      <c r="H902" s="5" t="n">
        <f aca="false">VA_base_426_data!B902</f>
        <v>6701.85977077552</v>
      </c>
      <c r="I902" s="5" t="n">
        <f aca="false">IF(AND(E902=1,OR(C902=4,C902=5)),25*12.1/24/D902*1000,0)</f>
        <v>0</v>
      </c>
      <c r="J902" s="5" t="n">
        <f aca="false">VA_base_426_data!C902</f>
        <v>1000</v>
      </c>
      <c r="K902" s="5" t="n">
        <f aca="false">H902+I902-J902</f>
        <v>5701.85977077552</v>
      </c>
      <c r="L902" s="5" t="n">
        <f aca="false">MIN($W$7,J902+K902)</f>
        <v>2000</v>
      </c>
      <c r="M902" s="5" t="n">
        <f aca="false">VA_base_426_data!D902</f>
        <v>700</v>
      </c>
      <c r="N902" s="5" t="n">
        <f aca="false">IF(AND(C902=10,E902=1),$W$6,N901-P901)</f>
        <v>0</v>
      </c>
      <c r="O902" s="5" t="n">
        <f aca="false">IF(ABS(M902-L902)&gt;1,MIN(N902/((L902-M902)*24/12.1/1000),D902),D902)</f>
        <v>0</v>
      </c>
      <c r="P902" s="5" t="n">
        <f aca="false">MIN(IF(AND(G902,E902),(L902-M902)*24/12.1*O902/1000,0),N902)</f>
        <v>0</v>
      </c>
      <c r="Q902" s="5" t="n">
        <f aca="false">IF(P902&gt;0,P902/O902*12.1/24*1000+M902,0)</f>
        <v>0</v>
      </c>
      <c r="R902" s="0" t="n">
        <f aca="false">IF(Q902&gt;0,TRUNC(O902),0)</f>
        <v>0</v>
      </c>
      <c r="S902" s="5" t="n">
        <f aca="false">(M902*(D902-R902)+(Q902*R902))/D902</f>
        <v>700</v>
      </c>
      <c r="T902" s="6" t="n">
        <f aca="false">(Q902-M902)*R902*24/12.1/1000</f>
        <v>-0</v>
      </c>
    </row>
    <row r="903" customFormat="false" ht="14.35" hidden="false" customHeight="false" outlineLevel="0" collapsed="false">
      <c r="A903" s="4" t="n">
        <v>35216</v>
      </c>
      <c r="B903" s="15" t="n">
        <f aca="false">IF(C903&lt;=9,YEAR(A903),YEAR(A903)+1)</f>
        <v>1996</v>
      </c>
      <c r="C903" s="15" t="n">
        <f aca="false">MONTH(A903)</f>
        <v>5</v>
      </c>
      <c r="D903" s="15" t="n">
        <f aca="false">DAY(A903)</f>
        <v>31</v>
      </c>
      <c r="E903" s="15" t="n">
        <f aca="false">VLOOKUP(B903,WYT!$A$2:$L$97,12)</f>
        <v>0</v>
      </c>
      <c r="F903" s="15" t="n">
        <f aca="false">IF(C903=$W$5,1,0)</f>
        <v>0</v>
      </c>
      <c r="G903" s="15" t="n">
        <f aca="false">IF(C903=10,0,IF(F903=1,1,G902))</f>
        <v>1</v>
      </c>
      <c r="H903" s="5" t="n">
        <f aca="false">VA_base_426_data!B903</f>
        <v>10423.7961666891</v>
      </c>
      <c r="I903" s="5" t="n">
        <f aca="false">IF(AND(E903=1,OR(C903=4,C903=5)),25*12.1/24/D903*1000,0)</f>
        <v>0</v>
      </c>
      <c r="J903" s="5" t="n">
        <f aca="false">VA_base_426_data!C903</f>
        <v>1000</v>
      </c>
      <c r="K903" s="5" t="n">
        <f aca="false">H903+I903-J903</f>
        <v>9423.79616668906</v>
      </c>
      <c r="L903" s="5" t="n">
        <f aca="false">MIN($W$7,J903+K903)</f>
        <v>2000</v>
      </c>
      <c r="M903" s="5" t="n">
        <f aca="false">VA_base_426_data!D903</f>
        <v>700</v>
      </c>
      <c r="N903" s="5" t="n">
        <f aca="false">IF(AND(C903=10,E903=1),$W$6,N902-P902)</f>
        <v>0</v>
      </c>
      <c r="O903" s="5" t="n">
        <f aca="false">IF(ABS(M903-L903)&gt;1,MIN(N903/((L903-M903)*24/12.1/1000),D903),D903)</f>
        <v>0</v>
      </c>
      <c r="P903" s="5" t="n">
        <f aca="false">MIN(IF(AND(G903,E903),(L903-M903)*24/12.1*O903/1000,0),N903)</f>
        <v>0</v>
      </c>
      <c r="Q903" s="5" t="n">
        <f aca="false">IF(P903&gt;0,P903/O903*12.1/24*1000+M903,0)</f>
        <v>0</v>
      </c>
      <c r="R903" s="0" t="n">
        <f aca="false">IF(Q903&gt;0,TRUNC(O903),0)</f>
        <v>0</v>
      </c>
      <c r="S903" s="5" t="n">
        <f aca="false">(M903*(D903-R903)+(Q903*R903))/D903</f>
        <v>700</v>
      </c>
      <c r="T903" s="6" t="n">
        <f aca="false">(Q903-M903)*R903*24/12.1/1000</f>
        <v>-0</v>
      </c>
    </row>
    <row r="904" customFormat="false" ht="14.35" hidden="false" customHeight="false" outlineLevel="0" collapsed="false">
      <c r="A904" s="4" t="n">
        <v>35246</v>
      </c>
      <c r="B904" s="15" t="n">
        <f aca="false">IF(C904&lt;=9,YEAR(A904),YEAR(A904)+1)</f>
        <v>1996</v>
      </c>
      <c r="C904" s="15" t="n">
        <f aca="false">MONTH(A904)</f>
        <v>6</v>
      </c>
      <c r="D904" s="15" t="n">
        <f aca="false">DAY(A904)</f>
        <v>30</v>
      </c>
      <c r="E904" s="15" t="n">
        <f aca="false">VLOOKUP(B904,WYT!$A$2:$L$97,12)</f>
        <v>0</v>
      </c>
      <c r="F904" s="15" t="n">
        <f aca="false">IF(C904=$W$5,1,0)</f>
        <v>0</v>
      </c>
      <c r="G904" s="15" t="n">
        <f aca="false">IF(C904=10,0,IF(F904=1,1,G903))</f>
        <v>1</v>
      </c>
      <c r="H904" s="5" t="n">
        <f aca="false">VA_base_426_data!B904</f>
        <v>2347.48218316849</v>
      </c>
      <c r="I904" s="5" t="n">
        <f aca="false">IF(AND(E904=1,OR(C904=4,C904=5)),25*12.1/24/D904*1000,0)</f>
        <v>0</v>
      </c>
      <c r="J904" s="5" t="n">
        <f aca="false">VA_base_426_data!C904</f>
        <v>1000</v>
      </c>
      <c r="K904" s="5" t="n">
        <f aca="false">H904+I904-J904</f>
        <v>1347.48218316849</v>
      </c>
      <c r="L904" s="5" t="n">
        <f aca="false">MIN($W$7,J904+K904)</f>
        <v>2000</v>
      </c>
      <c r="M904" s="5" t="n">
        <f aca="false">VA_base_426_data!D904</f>
        <v>700</v>
      </c>
      <c r="N904" s="5" t="n">
        <f aca="false">IF(AND(C904=10,E904=1),$W$6,N903-P903)</f>
        <v>0</v>
      </c>
      <c r="O904" s="5" t="n">
        <f aca="false">IF(ABS(M904-L904)&gt;1,MIN(N904/((L904-M904)*24/12.1/1000),D904),D904)</f>
        <v>0</v>
      </c>
      <c r="P904" s="5" t="n">
        <f aca="false">MIN(IF(AND(G904,E904),(L904-M904)*24/12.1*O904/1000,0),N904)</f>
        <v>0</v>
      </c>
      <c r="Q904" s="5" t="n">
        <f aca="false">IF(P904&gt;0,P904/O904*12.1/24*1000+M904,0)</f>
        <v>0</v>
      </c>
      <c r="R904" s="0" t="n">
        <f aca="false">IF(Q904&gt;0,TRUNC(O904),0)</f>
        <v>0</v>
      </c>
      <c r="S904" s="5" t="n">
        <f aca="false">(M904*(D904-R904)+(Q904*R904))/D904</f>
        <v>700</v>
      </c>
      <c r="T904" s="6" t="n">
        <f aca="false">(Q904-M904)*R904*24/12.1/1000</f>
        <v>-0</v>
      </c>
    </row>
    <row r="905" customFormat="false" ht="14.35" hidden="false" customHeight="false" outlineLevel="0" collapsed="false">
      <c r="A905" s="4" t="n">
        <v>35277</v>
      </c>
      <c r="B905" s="15" t="n">
        <f aca="false">IF(C905&lt;=9,YEAR(A905),YEAR(A905)+1)</f>
        <v>1996</v>
      </c>
      <c r="C905" s="15" t="n">
        <f aca="false">MONTH(A905)</f>
        <v>7</v>
      </c>
      <c r="D905" s="15" t="n">
        <f aca="false">DAY(A905)</f>
        <v>31</v>
      </c>
      <c r="E905" s="15" t="n">
        <f aca="false">VLOOKUP(B905,WYT!$A$2:$L$97,12)</f>
        <v>0</v>
      </c>
      <c r="F905" s="15" t="n">
        <f aca="false">IF(C905=$W$5,1,0)</f>
        <v>0</v>
      </c>
      <c r="G905" s="15" t="n">
        <f aca="false">IF(C905=10,0,IF(F905=1,1,G904))</f>
        <v>1</v>
      </c>
      <c r="H905" s="5" t="n">
        <f aca="false">VA_base_426_data!B905</f>
        <v>8473.19410372385</v>
      </c>
      <c r="I905" s="5" t="n">
        <f aca="false">IF(AND(E905=1,OR(C905=4,C905=5)),25*12.1/24/D905*1000,0)</f>
        <v>0</v>
      </c>
      <c r="J905" s="5" t="n">
        <f aca="false">VA_base_426_data!C905</f>
        <v>1000</v>
      </c>
      <c r="K905" s="5" t="n">
        <f aca="false">H905+I905-J905</f>
        <v>7473.19410372385</v>
      </c>
      <c r="L905" s="5" t="n">
        <f aca="false">MIN($W$7,J905+K905)</f>
        <v>2000</v>
      </c>
      <c r="M905" s="5" t="n">
        <f aca="false">VA_base_426_data!D905</f>
        <v>700</v>
      </c>
      <c r="N905" s="5" t="n">
        <f aca="false">IF(AND(C905=10,E905=1),$W$6,N904-P904)</f>
        <v>0</v>
      </c>
      <c r="O905" s="5" t="n">
        <f aca="false">IF(ABS(M905-L905)&gt;1,MIN(N905/((L905-M905)*24/12.1/1000),D905),D905)</f>
        <v>0</v>
      </c>
      <c r="P905" s="5" t="n">
        <f aca="false">MIN(IF(AND(G905,E905),(L905-M905)*24/12.1*O905/1000,0),N905)</f>
        <v>0</v>
      </c>
      <c r="Q905" s="5" t="n">
        <f aca="false">IF(P905&gt;0,P905/O905*12.1/24*1000+M905,0)</f>
        <v>0</v>
      </c>
      <c r="R905" s="0" t="n">
        <f aca="false">IF(Q905&gt;0,TRUNC(O905),0)</f>
        <v>0</v>
      </c>
      <c r="S905" s="5" t="n">
        <f aca="false">(M905*(D905-R905)+(Q905*R905))/D905</f>
        <v>700</v>
      </c>
      <c r="T905" s="6" t="n">
        <f aca="false">(Q905-M905)*R905*24/12.1/1000</f>
        <v>-0</v>
      </c>
    </row>
    <row r="906" customFormat="false" ht="14.35" hidden="false" customHeight="false" outlineLevel="0" collapsed="false">
      <c r="A906" s="4" t="n">
        <v>35308</v>
      </c>
      <c r="B906" s="15" t="n">
        <f aca="false">IF(C906&lt;=9,YEAR(A906),YEAR(A906)+1)</f>
        <v>1996</v>
      </c>
      <c r="C906" s="15" t="n">
        <f aca="false">MONTH(A906)</f>
        <v>8</v>
      </c>
      <c r="D906" s="15" t="n">
        <f aca="false">DAY(A906)</f>
        <v>31</v>
      </c>
      <c r="E906" s="15" t="n">
        <f aca="false">VLOOKUP(B906,WYT!$A$2:$L$97,12)</f>
        <v>0</v>
      </c>
      <c r="F906" s="15" t="n">
        <f aca="false">IF(C906=$W$5,1,0)</f>
        <v>0</v>
      </c>
      <c r="G906" s="15" t="n">
        <f aca="false">IF(C906=10,0,IF(F906=1,1,G905))</f>
        <v>1</v>
      </c>
      <c r="H906" s="5" t="n">
        <f aca="false">VA_base_426_data!B906</f>
        <v>5150.18879070058</v>
      </c>
      <c r="I906" s="5" t="n">
        <f aca="false">IF(AND(E906=1,OR(C906=4,C906=5)),25*12.1/24/D906*1000,0)</f>
        <v>0</v>
      </c>
      <c r="J906" s="5" t="n">
        <f aca="false">VA_base_426_data!C906</f>
        <v>1000</v>
      </c>
      <c r="K906" s="5" t="n">
        <f aca="false">H906+I906-J906</f>
        <v>4150.18879070058</v>
      </c>
      <c r="L906" s="5" t="n">
        <f aca="false">MIN($W$7,J906+K906)</f>
        <v>2000</v>
      </c>
      <c r="M906" s="5" t="n">
        <f aca="false">VA_base_426_data!D906</f>
        <v>700</v>
      </c>
      <c r="N906" s="5" t="n">
        <f aca="false">IF(AND(C906=10,E906=1),$W$6,N905-P905)</f>
        <v>0</v>
      </c>
      <c r="O906" s="5" t="n">
        <f aca="false">IF(ABS(M906-L906)&gt;1,MIN(N906/((L906-M906)*24/12.1/1000),D906),D906)</f>
        <v>0</v>
      </c>
      <c r="P906" s="5" t="n">
        <f aca="false">MIN(IF(AND(G906,E906),(L906-M906)*24/12.1*O906/1000,0),N906)</f>
        <v>0</v>
      </c>
      <c r="Q906" s="5" t="n">
        <f aca="false">IF(P906&gt;0,P906/O906*12.1/24*1000+M906,0)</f>
        <v>0</v>
      </c>
      <c r="R906" s="0" t="n">
        <f aca="false">IF(Q906&gt;0,TRUNC(O906),0)</f>
        <v>0</v>
      </c>
      <c r="S906" s="5" t="n">
        <f aca="false">(M906*(D906-R906)+(Q906*R906))/D906</f>
        <v>700</v>
      </c>
      <c r="T906" s="6" t="n">
        <f aca="false">(Q906-M906)*R906*24/12.1/1000</f>
        <v>-0</v>
      </c>
    </row>
    <row r="907" customFormat="false" ht="14.35" hidden="false" customHeight="false" outlineLevel="0" collapsed="false">
      <c r="A907" s="4" t="n">
        <v>35338</v>
      </c>
      <c r="B907" s="15" t="n">
        <f aca="false">IF(C907&lt;=9,YEAR(A907),YEAR(A907)+1)</f>
        <v>1996</v>
      </c>
      <c r="C907" s="15" t="n">
        <f aca="false">MONTH(A907)</f>
        <v>9</v>
      </c>
      <c r="D907" s="15" t="n">
        <f aca="false">DAY(A907)</f>
        <v>30</v>
      </c>
      <c r="E907" s="15" t="n">
        <f aca="false">VLOOKUP(B907,WYT!$A$2:$L$97,12)</f>
        <v>0</v>
      </c>
      <c r="F907" s="15" t="n">
        <f aca="false">IF(C907=$W$5,1,0)</f>
        <v>0</v>
      </c>
      <c r="G907" s="15" t="n">
        <f aca="false">IF(C907=10,0,IF(F907=1,1,G906))</f>
        <v>1</v>
      </c>
      <c r="H907" s="5" t="n">
        <f aca="false">VA_base_426_data!B907</f>
        <v>8916.003920251</v>
      </c>
      <c r="I907" s="5" t="n">
        <f aca="false">IF(AND(E907=1,OR(C907=4,C907=5)),25*12.1/24/D907*1000,0)</f>
        <v>0</v>
      </c>
      <c r="J907" s="5" t="n">
        <f aca="false">VA_base_426_data!C907</f>
        <v>1000</v>
      </c>
      <c r="K907" s="5" t="n">
        <f aca="false">H907+I907-J907</f>
        <v>7916.003920251</v>
      </c>
      <c r="L907" s="5" t="n">
        <f aca="false">MIN($W$7,J907+K907)</f>
        <v>2000</v>
      </c>
      <c r="M907" s="5" t="n">
        <f aca="false">VA_base_426_data!D907</f>
        <v>773.3333333</v>
      </c>
      <c r="N907" s="5" t="n">
        <f aca="false">IF(AND(C907=10,E907=1),$W$6,N906-P906)</f>
        <v>0</v>
      </c>
      <c r="O907" s="5" t="n">
        <f aca="false">IF(ABS(M907-L907)&gt;1,MIN(N907/((L907-M907)*24/12.1/1000),D907),D907)</f>
        <v>0</v>
      </c>
      <c r="P907" s="5" t="n">
        <f aca="false">MIN(IF(AND(G907,E907),(L907-M907)*24/12.1*O907/1000,0),N907)</f>
        <v>0</v>
      </c>
      <c r="Q907" s="5" t="n">
        <f aca="false">IF(P907&gt;0,P907/O907*12.1/24*1000+M907,0)</f>
        <v>0</v>
      </c>
      <c r="R907" s="0" t="n">
        <f aca="false">IF(Q907&gt;0,TRUNC(O907),0)</f>
        <v>0</v>
      </c>
      <c r="S907" s="5" t="n">
        <f aca="false">(M907*(D907-R907)+(Q907*R907))/D907</f>
        <v>773.3333333</v>
      </c>
      <c r="T907" s="6" t="n">
        <f aca="false">(Q907-M907)*R907*24/12.1/1000</f>
        <v>-0</v>
      </c>
    </row>
    <row r="908" customFormat="false" ht="14.35" hidden="false" customHeight="false" outlineLevel="0" collapsed="false">
      <c r="A908" s="4" t="n">
        <v>35369</v>
      </c>
      <c r="B908" s="15" t="n">
        <f aca="false">IF(C908&lt;=9,YEAR(A908),YEAR(A908)+1)</f>
        <v>1997</v>
      </c>
      <c r="C908" s="15" t="n">
        <f aca="false">MONTH(A908)</f>
        <v>10</v>
      </c>
      <c r="D908" s="15" t="n">
        <f aca="false">DAY(A908)</f>
        <v>31</v>
      </c>
      <c r="E908" s="15" t="n">
        <f aca="false">VLOOKUP(B908,WYT!$A$2:$L$97,12)</f>
        <v>0</v>
      </c>
      <c r="F908" s="15" t="n">
        <f aca="false">IF(C908=$W$5,1,0)</f>
        <v>0</v>
      </c>
      <c r="G908" s="15" t="n">
        <f aca="false">IF(C908=10,0,IF(F908=1,1,G907))</f>
        <v>0</v>
      </c>
      <c r="H908" s="5" t="n">
        <f aca="false">VA_base_426_data!B908</f>
        <v>4000</v>
      </c>
      <c r="I908" s="5" t="n">
        <f aca="false">IF(AND(E908=1,OR(C908=4,C908=5)),25*12.1/24/D908*1000,0)</f>
        <v>0</v>
      </c>
      <c r="J908" s="5" t="n">
        <f aca="false">VA_base_426_data!C908</f>
        <v>1700</v>
      </c>
      <c r="K908" s="5" t="n">
        <f aca="false">H908+I908-J908</f>
        <v>2300</v>
      </c>
      <c r="L908" s="5" t="n">
        <f aca="false">MIN($W$7,J908+K908)</f>
        <v>2000</v>
      </c>
      <c r="M908" s="5" t="n">
        <f aca="false">VA_base_426_data!D908</f>
        <v>800</v>
      </c>
      <c r="N908" s="5" t="n">
        <f aca="false">IF(AND(C908=10,E908=1),$W$6,N907-P907)</f>
        <v>0</v>
      </c>
      <c r="O908" s="5" t="n">
        <f aca="false">IF(ABS(M908-L908)&gt;1,MIN(N908/((L908-M908)*24/12.1/1000),D908),D908)</f>
        <v>0</v>
      </c>
      <c r="P908" s="5" t="n">
        <f aca="false">MIN(IF(AND(G908,E908),(L908-M908)*24/12.1*O908/1000,0),N908)</f>
        <v>0</v>
      </c>
      <c r="Q908" s="5" t="n">
        <f aca="false">IF(P908&gt;0,P908/O908*12.1/24*1000+M908,0)</f>
        <v>0</v>
      </c>
      <c r="R908" s="0" t="n">
        <f aca="false">IF(Q908&gt;0,TRUNC(O908),0)</f>
        <v>0</v>
      </c>
      <c r="S908" s="5" t="n">
        <f aca="false">(M908*(D908-R908)+(Q908*R908))/D908</f>
        <v>800</v>
      </c>
      <c r="T908" s="6" t="n">
        <f aca="false">(Q908-M908)*R908*24/12.1/1000</f>
        <v>-0</v>
      </c>
    </row>
    <row r="909" customFormat="false" ht="14.35" hidden="false" customHeight="false" outlineLevel="0" collapsed="false">
      <c r="A909" s="4" t="n">
        <v>35399</v>
      </c>
      <c r="B909" s="15" t="n">
        <f aca="false">IF(C909&lt;=9,YEAR(A909),YEAR(A909)+1)</f>
        <v>1997</v>
      </c>
      <c r="C909" s="15" t="n">
        <f aca="false">MONTH(A909)</f>
        <v>11</v>
      </c>
      <c r="D909" s="15" t="n">
        <f aca="false">DAY(A909)</f>
        <v>30</v>
      </c>
      <c r="E909" s="15" t="n">
        <f aca="false">VLOOKUP(B909,WYT!$A$2:$L$97,12)</f>
        <v>0</v>
      </c>
      <c r="F909" s="15" t="n">
        <f aca="false">IF(C909=$W$5,1,0)</f>
        <v>0</v>
      </c>
      <c r="G909" s="15" t="n">
        <f aca="false">IF(C909=10,0,IF(F909=1,1,G908))</f>
        <v>0</v>
      </c>
      <c r="H909" s="5" t="n">
        <f aca="false">VA_base_426_data!B909</f>
        <v>2500</v>
      </c>
      <c r="I909" s="5" t="n">
        <f aca="false">IF(AND(E909=1,OR(C909=4,C909=5)),25*12.1/24/D909*1000,0)</f>
        <v>0</v>
      </c>
      <c r="J909" s="5" t="n">
        <f aca="false">VA_base_426_data!C909</f>
        <v>1700</v>
      </c>
      <c r="K909" s="5" t="n">
        <f aca="false">H909+I909-J909</f>
        <v>800</v>
      </c>
      <c r="L909" s="5" t="n">
        <f aca="false">MIN($W$7,J909+K909)</f>
        <v>2000</v>
      </c>
      <c r="M909" s="5" t="n">
        <f aca="false">VA_base_426_data!D909</f>
        <v>800</v>
      </c>
      <c r="N909" s="5" t="n">
        <f aca="false">IF(AND(C909=10,E909=1),$W$6,N908-P908)</f>
        <v>0</v>
      </c>
      <c r="O909" s="5" t="n">
        <f aca="false">IF(ABS(M909-L909)&gt;1,MIN(N909/((L909-M909)*24/12.1/1000),D909),D909)</f>
        <v>0</v>
      </c>
      <c r="P909" s="5" t="n">
        <f aca="false">MIN(IF(AND(G909,E909),(L909-M909)*24/12.1*O909/1000,0),N909)</f>
        <v>0</v>
      </c>
      <c r="Q909" s="5" t="n">
        <f aca="false">IF(P909&gt;0,P909/O909*12.1/24*1000+M909,0)</f>
        <v>0</v>
      </c>
      <c r="R909" s="0" t="n">
        <f aca="false">IF(Q909&gt;0,TRUNC(O909),0)</f>
        <v>0</v>
      </c>
      <c r="S909" s="5" t="n">
        <f aca="false">(M909*(D909-R909)+(Q909*R909))/D909</f>
        <v>800</v>
      </c>
      <c r="T909" s="6" t="n">
        <f aca="false">(Q909-M909)*R909*24/12.1/1000</f>
        <v>-0</v>
      </c>
    </row>
    <row r="910" customFormat="false" ht="14.35" hidden="false" customHeight="false" outlineLevel="0" collapsed="false">
      <c r="A910" s="4" t="n">
        <v>35430</v>
      </c>
      <c r="B910" s="15" t="n">
        <f aca="false">IF(C910&lt;=9,YEAR(A910),YEAR(A910)+1)</f>
        <v>1997</v>
      </c>
      <c r="C910" s="15" t="n">
        <f aca="false">MONTH(A910)</f>
        <v>12</v>
      </c>
      <c r="D910" s="15" t="n">
        <f aca="false">DAY(A910)</f>
        <v>31</v>
      </c>
      <c r="E910" s="15" t="n">
        <f aca="false">VLOOKUP(B910,WYT!$A$2:$L$97,12)</f>
        <v>0</v>
      </c>
      <c r="F910" s="15" t="n">
        <f aca="false">IF(C910=$W$5,1,0)</f>
        <v>0</v>
      </c>
      <c r="G910" s="15" t="n">
        <f aca="false">IF(C910=10,0,IF(F910=1,1,G909))</f>
        <v>0</v>
      </c>
      <c r="H910" s="5" t="n">
        <f aca="false">VA_base_426_data!B910</f>
        <v>9664.91392648856</v>
      </c>
      <c r="I910" s="5" t="n">
        <f aca="false">IF(AND(E910=1,OR(C910=4,C910=5)),25*12.1/24/D910*1000,0)</f>
        <v>0</v>
      </c>
      <c r="J910" s="5" t="n">
        <f aca="false">VA_base_426_data!C910</f>
        <v>1700</v>
      </c>
      <c r="K910" s="5" t="n">
        <f aca="false">H910+I910-J910</f>
        <v>7964.91392648856</v>
      </c>
      <c r="L910" s="5" t="n">
        <f aca="false">MIN($W$7,J910+K910)</f>
        <v>2000</v>
      </c>
      <c r="M910" s="5" t="n">
        <f aca="false">VA_base_426_data!D910</f>
        <v>800</v>
      </c>
      <c r="N910" s="5" t="n">
        <f aca="false">IF(AND(C910=10,E910=1),$W$6,N909-P909)</f>
        <v>0</v>
      </c>
      <c r="O910" s="5" t="n">
        <f aca="false">IF(ABS(M910-L910)&gt;1,MIN(N910/((L910-M910)*24/12.1/1000),D910),D910)</f>
        <v>0</v>
      </c>
      <c r="P910" s="5" t="n">
        <f aca="false">MIN(IF(AND(G910,E910),(L910-M910)*24/12.1*O910/1000,0),N910)</f>
        <v>0</v>
      </c>
      <c r="Q910" s="5" t="n">
        <f aca="false">IF(P910&gt;0,P910/O910*12.1/24*1000+M910,0)</f>
        <v>0</v>
      </c>
      <c r="R910" s="0" t="n">
        <f aca="false">IF(Q910&gt;0,TRUNC(O910),0)</f>
        <v>0</v>
      </c>
      <c r="S910" s="5" t="n">
        <f aca="false">(M910*(D910-R910)+(Q910*R910))/D910</f>
        <v>800</v>
      </c>
      <c r="T910" s="6" t="n">
        <f aca="false">(Q910-M910)*R910*24/12.1/1000</f>
        <v>-0</v>
      </c>
    </row>
    <row r="911" customFormat="false" ht="14.35" hidden="false" customHeight="false" outlineLevel="0" collapsed="false">
      <c r="A911" s="4" t="n">
        <v>35461</v>
      </c>
      <c r="B911" s="15" t="n">
        <f aca="false">IF(C911&lt;=9,YEAR(A911),YEAR(A911)+1)</f>
        <v>1997</v>
      </c>
      <c r="C911" s="15" t="n">
        <f aca="false">MONTH(A911)</f>
        <v>1</v>
      </c>
      <c r="D911" s="15" t="n">
        <f aca="false">DAY(A911)</f>
        <v>31</v>
      </c>
      <c r="E911" s="15" t="n">
        <f aca="false">VLOOKUP(B911,WYT!$A$2:$L$97,12)</f>
        <v>0</v>
      </c>
      <c r="F911" s="15" t="n">
        <f aca="false">IF(C911=$W$5,1,0)</f>
        <v>0</v>
      </c>
      <c r="G911" s="15" t="n">
        <f aca="false">IF(C911=10,0,IF(F911=1,1,G910))</f>
        <v>0</v>
      </c>
      <c r="H911" s="5" t="n">
        <f aca="false">VA_base_426_data!B911</f>
        <v>40890.0183542848</v>
      </c>
      <c r="I911" s="5" t="n">
        <f aca="false">IF(AND(E911=1,OR(C911=4,C911=5)),25*12.1/24/D911*1000,0)</f>
        <v>0</v>
      </c>
      <c r="J911" s="5" t="n">
        <f aca="false">VA_base_426_data!C911</f>
        <v>1700</v>
      </c>
      <c r="K911" s="5" t="n">
        <f aca="false">H911+I911-J911</f>
        <v>39190.0183542848</v>
      </c>
      <c r="L911" s="5" t="n">
        <f aca="false">MIN($W$7,J911+K911)</f>
        <v>2000</v>
      </c>
      <c r="M911" s="5" t="n">
        <f aca="false">VA_base_426_data!D911</f>
        <v>800</v>
      </c>
      <c r="N911" s="5" t="n">
        <f aca="false">IF(AND(C911=10,E911=1),$W$6,N910-P910)</f>
        <v>0</v>
      </c>
      <c r="O911" s="5" t="n">
        <f aca="false">IF(ABS(M911-L911)&gt;1,MIN(N911/((L911-M911)*24/12.1/1000),D911),D911)</f>
        <v>0</v>
      </c>
      <c r="P911" s="5" t="n">
        <f aca="false">MIN(IF(AND(G911,E911),(L911-M911)*24/12.1*O911/1000,0),N911)</f>
        <v>0</v>
      </c>
      <c r="Q911" s="5" t="n">
        <f aca="false">IF(P911&gt;0,P911/O911*12.1/24*1000+M911,0)</f>
        <v>0</v>
      </c>
      <c r="R911" s="0" t="n">
        <f aca="false">IF(Q911&gt;0,TRUNC(O911),0)</f>
        <v>0</v>
      </c>
      <c r="S911" s="5" t="n">
        <f aca="false">(M911*(D911-R911)+(Q911*R911))/D911</f>
        <v>800</v>
      </c>
      <c r="T911" s="6" t="n">
        <f aca="false">(Q911-M911)*R911*24/12.1/1000</f>
        <v>-0</v>
      </c>
    </row>
    <row r="912" customFormat="false" ht="14.35" hidden="false" customHeight="false" outlineLevel="0" collapsed="false">
      <c r="A912" s="4" t="n">
        <v>35489</v>
      </c>
      <c r="B912" s="15" t="n">
        <f aca="false">IF(C912&lt;=9,YEAR(A912),YEAR(A912)+1)</f>
        <v>1997</v>
      </c>
      <c r="C912" s="15" t="n">
        <f aca="false">MONTH(A912)</f>
        <v>2</v>
      </c>
      <c r="D912" s="15" t="n">
        <f aca="false">DAY(A912)</f>
        <v>28</v>
      </c>
      <c r="E912" s="15" t="n">
        <f aca="false">VLOOKUP(B912,WYT!$A$2:$L$97,12)</f>
        <v>0</v>
      </c>
      <c r="F912" s="15" t="n">
        <f aca="false">IF(C912=$W$5,1,0)</f>
        <v>1</v>
      </c>
      <c r="G912" s="15" t="n">
        <f aca="false">IF(C912=10,0,IF(F912=1,1,G911))</f>
        <v>1</v>
      </c>
      <c r="H912" s="5" t="n">
        <f aca="false">VA_base_426_data!B912</f>
        <v>10284.8186752877</v>
      </c>
      <c r="I912" s="5" t="n">
        <f aca="false">IF(AND(E912=1,OR(C912=4,C912=5)),25*12.1/24/D912*1000,0)</f>
        <v>0</v>
      </c>
      <c r="J912" s="5" t="n">
        <f aca="false">VA_base_426_data!C912</f>
        <v>1700</v>
      </c>
      <c r="K912" s="5" t="n">
        <f aca="false">H912+I912-J912</f>
        <v>8584.81867528769</v>
      </c>
      <c r="L912" s="5" t="n">
        <f aca="false">MIN($W$7,J912+K912)</f>
        <v>2000</v>
      </c>
      <c r="M912" s="5" t="n">
        <f aca="false">VA_base_426_data!D912</f>
        <v>800</v>
      </c>
      <c r="N912" s="5" t="n">
        <f aca="false">IF(AND(C912=10,E912=1),$W$6,N911-P911)</f>
        <v>0</v>
      </c>
      <c r="O912" s="5" t="n">
        <f aca="false">IF(ABS(M912-L912)&gt;1,MIN(N912/((L912-M912)*24/12.1/1000),D912),D912)</f>
        <v>0</v>
      </c>
      <c r="P912" s="5" t="n">
        <f aca="false">MIN(IF(AND(G912,E912),(L912-M912)*24/12.1*O912/1000,0),N912)</f>
        <v>0</v>
      </c>
      <c r="Q912" s="5" t="n">
        <f aca="false">IF(P912&gt;0,P912/O912*12.1/24*1000+M912,0)</f>
        <v>0</v>
      </c>
      <c r="R912" s="0" t="n">
        <f aca="false">IF(Q912&gt;0,TRUNC(O912),0)</f>
        <v>0</v>
      </c>
      <c r="S912" s="5" t="n">
        <f aca="false">(M912*(D912-R912)+(Q912*R912))/D912</f>
        <v>800</v>
      </c>
      <c r="T912" s="6" t="n">
        <f aca="false">(Q912-M912)*R912*24/12.1/1000</f>
        <v>-0</v>
      </c>
    </row>
    <row r="913" customFormat="false" ht="14.35" hidden="false" customHeight="false" outlineLevel="0" collapsed="false">
      <c r="A913" s="4" t="n">
        <v>35520</v>
      </c>
      <c r="B913" s="15" t="n">
        <f aca="false">IF(C913&lt;=9,YEAR(A913),YEAR(A913)+1)</f>
        <v>1997</v>
      </c>
      <c r="C913" s="15" t="n">
        <f aca="false">MONTH(A913)</f>
        <v>3</v>
      </c>
      <c r="D913" s="15" t="n">
        <f aca="false">DAY(A913)</f>
        <v>31</v>
      </c>
      <c r="E913" s="15" t="n">
        <f aca="false">VLOOKUP(B913,WYT!$A$2:$L$97,12)</f>
        <v>0</v>
      </c>
      <c r="F913" s="15" t="n">
        <f aca="false">IF(C913=$W$5,1,0)</f>
        <v>0</v>
      </c>
      <c r="G913" s="15" t="n">
        <f aca="false">IF(C913=10,0,IF(F913=1,1,G912))</f>
        <v>1</v>
      </c>
      <c r="H913" s="5" t="n">
        <f aca="false">VA_base_426_data!B913</f>
        <v>5297.28315604152</v>
      </c>
      <c r="I913" s="5" t="n">
        <f aca="false">IF(AND(E913=1,OR(C913=4,C913=5)),25*12.1/24/D913*1000,0)</f>
        <v>0</v>
      </c>
      <c r="J913" s="5" t="n">
        <f aca="false">VA_base_426_data!C913</f>
        <v>1700</v>
      </c>
      <c r="K913" s="5" t="n">
        <f aca="false">H913+I913-J913</f>
        <v>3597.28315604152</v>
      </c>
      <c r="L913" s="5" t="n">
        <f aca="false">MIN($W$7,J913+K913)</f>
        <v>2000</v>
      </c>
      <c r="M913" s="5" t="n">
        <f aca="false">VA_base_426_data!D913</f>
        <v>800</v>
      </c>
      <c r="N913" s="5" t="n">
        <f aca="false">IF(AND(C913=10,E913=1),$W$6,N912-P912)</f>
        <v>0</v>
      </c>
      <c r="O913" s="5" t="n">
        <f aca="false">IF(ABS(M913-L913)&gt;1,MIN(N913/((L913-M913)*24/12.1/1000),D913),D913)</f>
        <v>0</v>
      </c>
      <c r="P913" s="5" t="n">
        <f aca="false">MIN(IF(AND(G913,E913),(L913-M913)*24/12.1*O913/1000,0),N913)</f>
        <v>0</v>
      </c>
      <c r="Q913" s="5" t="n">
        <f aca="false">IF(P913&gt;0,P913/O913*12.1/24*1000+M913,0)</f>
        <v>0</v>
      </c>
      <c r="R913" s="0" t="n">
        <f aca="false">IF(Q913&gt;0,TRUNC(O913),0)</f>
        <v>0</v>
      </c>
      <c r="S913" s="5" t="n">
        <f aca="false">(M913*(D913-R913)+(Q913*R913))/D913</f>
        <v>800</v>
      </c>
      <c r="T913" s="6" t="n">
        <f aca="false">(Q913-M913)*R913*24/12.1/1000</f>
        <v>-0</v>
      </c>
    </row>
    <row r="914" customFormat="false" ht="14.35" hidden="false" customHeight="false" outlineLevel="0" collapsed="false">
      <c r="A914" s="4" t="n">
        <v>35550</v>
      </c>
      <c r="B914" s="15" t="n">
        <f aca="false">IF(C914&lt;=9,YEAR(A914),YEAR(A914)+1)</f>
        <v>1997</v>
      </c>
      <c r="C914" s="15" t="n">
        <f aca="false">MONTH(A914)</f>
        <v>4</v>
      </c>
      <c r="D914" s="15" t="n">
        <f aca="false">DAY(A914)</f>
        <v>30</v>
      </c>
      <c r="E914" s="15" t="n">
        <f aca="false">VLOOKUP(B914,WYT!$A$2:$L$97,12)</f>
        <v>0</v>
      </c>
      <c r="F914" s="15" t="n">
        <f aca="false">IF(C914=$W$5,1,0)</f>
        <v>0</v>
      </c>
      <c r="G914" s="15" t="n">
        <f aca="false">IF(C914=10,0,IF(F914=1,1,G913))</f>
        <v>1</v>
      </c>
      <c r="H914" s="5" t="n">
        <f aca="false">VA_base_426_data!B914</f>
        <v>1000</v>
      </c>
      <c r="I914" s="5" t="n">
        <f aca="false">IF(AND(E914=1,OR(C914=4,C914=5)),25*12.1/24/D914*1000,0)</f>
        <v>0</v>
      </c>
      <c r="J914" s="5" t="n">
        <f aca="false">VA_base_426_data!C914</f>
        <v>1000</v>
      </c>
      <c r="K914" s="5" t="n">
        <f aca="false">H914+I914-J914</f>
        <v>0</v>
      </c>
      <c r="L914" s="5" t="n">
        <f aca="false">MIN($W$7,J914+K914)</f>
        <v>1000</v>
      </c>
      <c r="M914" s="5" t="n">
        <f aca="false">VA_base_426_data!D914</f>
        <v>700</v>
      </c>
      <c r="N914" s="5" t="n">
        <f aca="false">IF(AND(C914=10,E914=1),$W$6,N913-P913)</f>
        <v>0</v>
      </c>
      <c r="O914" s="5" t="n">
        <f aca="false">IF(ABS(M914-L914)&gt;1,MIN(N914/((L914-M914)*24/12.1/1000),D914),D914)</f>
        <v>0</v>
      </c>
      <c r="P914" s="5" t="n">
        <f aca="false">MIN(IF(AND(G914,E914),(L914-M914)*24/12.1*O914/1000,0),N914)</f>
        <v>0</v>
      </c>
      <c r="Q914" s="5" t="n">
        <f aca="false">IF(P914&gt;0,P914/O914*12.1/24*1000+M914,0)</f>
        <v>0</v>
      </c>
      <c r="R914" s="0" t="n">
        <f aca="false">IF(Q914&gt;0,TRUNC(O914),0)</f>
        <v>0</v>
      </c>
      <c r="S914" s="5" t="n">
        <f aca="false">(M914*(D914-R914)+(Q914*R914))/D914</f>
        <v>700</v>
      </c>
      <c r="T914" s="6" t="n">
        <f aca="false">(Q914-M914)*R914*24/12.1/1000</f>
        <v>-0</v>
      </c>
    </row>
    <row r="915" customFormat="false" ht="14.35" hidden="false" customHeight="false" outlineLevel="0" collapsed="false">
      <c r="A915" s="4" t="n">
        <v>35581</v>
      </c>
      <c r="B915" s="15" t="n">
        <f aca="false">IF(C915&lt;=9,YEAR(A915),YEAR(A915)+1)</f>
        <v>1997</v>
      </c>
      <c r="C915" s="15" t="n">
        <f aca="false">MONTH(A915)</f>
        <v>5</v>
      </c>
      <c r="D915" s="15" t="n">
        <f aca="false">DAY(A915)</f>
        <v>31</v>
      </c>
      <c r="E915" s="15" t="n">
        <f aca="false">VLOOKUP(B915,WYT!$A$2:$L$97,12)</f>
        <v>0</v>
      </c>
      <c r="F915" s="15" t="n">
        <f aca="false">IF(C915=$W$5,1,0)</f>
        <v>0</v>
      </c>
      <c r="G915" s="15" t="n">
        <f aca="false">IF(C915=10,0,IF(F915=1,1,G914))</f>
        <v>1</v>
      </c>
      <c r="H915" s="5" t="n">
        <f aca="false">VA_base_426_data!B915</f>
        <v>1000</v>
      </c>
      <c r="I915" s="5" t="n">
        <f aca="false">IF(AND(E915=1,OR(C915=4,C915=5)),25*12.1/24/D915*1000,0)</f>
        <v>0</v>
      </c>
      <c r="J915" s="5" t="n">
        <f aca="false">VA_base_426_data!C915</f>
        <v>1000</v>
      </c>
      <c r="K915" s="5" t="n">
        <f aca="false">H915+I915-J915</f>
        <v>0</v>
      </c>
      <c r="L915" s="5" t="n">
        <f aca="false">MIN($W$7,J915+K915)</f>
        <v>1000</v>
      </c>
      <c r="M915" s="5" t="n">
        <f aca="false">VA_base_426_data!D915</f>
        <v>700</v>
      </c>
      <c r="N915" s="5" t="n">
        <f aca="false">IF(AND(C915=10,E915=1),$W$6,N914-P914)</f>
        <v>0</v>
      </c>
      <c r="O915" s="5" t="n">
        <f aca="false">IF(ABS(M915-L915)&gt;1,MIN(N915/((L915-M915)*24/12.1/1000),D915),D915)</f>
        <v>0</v>
      </c>
      <c r="P915" s="5" t="n">
        <f aca="false">MIN(IF(AND(G915,E915),(L915-M915)*24/12.1*O915/1000,0),N915)</f>
        <v>0</v>
      </c>
      <c r="Q915" s="5" t="n">
        <f aca="false">IF(P915&gt;0,P915/O915*12.1/24*1000+M915,0)</f>
        <v>0</v>
      </c>
      <c r="R915" s="0" t="n">
        <f aca="false">IF(Q915&gt;0,TRUNC(O915),0)</f>
        <v>0</v>
      </c>
      <c r="S915" s="5" t="n">
        <f aca="false">(M915*(D915-R915)+(Q915*R915))/D915</f>
        <v>700</v>
      </c>
      <c r="T915" s="6" t="n">
        <f aca="false">(Q915-M915)*R915*24/12.1/1000</f>
        <v>-0</v>
      </c>
    </row>
    <row r="916" customFormat="false" ht="14.35" hidden="false" customHeight="false" outlineLevel="0" collapsed="false">
      <c r="A916" s="4" t="n">
        <v>35611</v>
      </c>
      <c r="B916" s="15" t="n">
        <f aca="false">IF(C916&lt;=9,YEAR(A916),YEAR(A916)+1)</f>
        <v>1997</v>
      </c>
      <c r="C916" s="15" t="n">
        <f aca="false">MONTH(A916)</f>
        <v>6</v>
      </c>
      <c r="D916" s="15" t="n">
        <f aca="false">DAY(A916)</f>
        <v>30</v>
      </c>
      <c r="E916" s="15" t="n">
        <f aca="false">VLOOKUP(B916,WYT!$A$2:$L$97,12)</f>
        <v>0</v>
      </c>
      <c r="F916" s="15" t="n">
        <f aca="false">IF(C916=$W$5,1,0)</f>
        <v>0</v>
      </c>
      <c r="G916" s="15" t="n">
        <f aca="false">IF(C916=10,0,IF(F916=1,1,G915))</f>
        <v>1</v>
      </c>
      <c r="H916" s="5" t="n">
        <f aca="false">VA_base_426_data!B916</f>
        <v>2629.04191317341</v>
      </c>
      <c r="I916" s="5" t="n">
        <f aca="false">IF(AND(E916=1,OR(C916=4,C916=5)),25*12.1/24/D916*1000,0)</f>
        <v>0</v>
      </c>
      <c r="J916" s="5" t="n">
        <f aca="false">VA_base_426_data!C916</f>
        <v>1000</v>
      </c>
      <c r="K916" s="5" t="n">
        <f aca="false">H916+I916-J916</f>
        <v>1629.04191317341</v>
      </c>
      <c r="L916" s="5" t="n">
        <f aca="false">MIN($W$7,J916+K916)</f>
        <v>2000</v>
      </c>
      <c r="M916" s="5" t="n">
        <f aca="false">VA_base_426_data!D916</f>
        <v>700</v>
      </c>
      <c r="N916" s="5" t="n">
        <f aca="false">IF(AND(C916=10,E916=1),$W$6,N915-P915)</f>
        <v>0</v>
      </c>
      <c r="O916" s="5" t="n">
        <f aca="false">IF(ABS(M916-L916)&gt;1,MIN(N916/((L916-M916)*24/12.1/1000),D916),D916)</f>
        <v>0</v>
      </c>
      <c r="P916" s="5" t="n">
        <f aca="false">MIN(IF(AND(G916,E916),(L916-M916)*24/12.1*O916/1000,0),N916)</f>
        <v>0</v>
      </c>
      <c r="Q916" s="5" t="n">
        <f aca="false">IF(P916&gt;0,P916/O916*12.1/24*1000+M916,0)</f>
        <v>0</v>
      </c>
      <c r="R916" s="0" t="n">
        <f aca="false">IF(Q916&gt;0,TRUNC(O916),0)</f>
        <v>0</v>
      </c>
      <c r="S916" s="5" t="n">
        <f aca="false">(M916*(D916-R916)+(Q916*R916))/D916</f>
        <v>700</v>
      </c>
      <c r="T916" s="6" t="n">
        <f aca="false">(Q916-M916)*R916*24/12.1/1000</f>
        <v>-0</v>
      </c>
    </row>
    <row r="917" customFormat="false" ht="14.35" hidden="false" customHeight="false" outlineLevel="0" collapsed="false">
      <c r="A917" s="4" t="n">
        <v>35642</v>
      </c>
      <c r="B917" s="15" t="n">
        <f aca="false">IF(C917&lt;=9,YEAR(A917),YEAR(A917)+1)</f>
        <v>1997</v>
      </c>
      <c r="C917" s="15" t="n">
        <f aca="false">MONTH(A917)</f>
        <v>7</v>
      </c>
      <c r="D917" s="15" t="n">
        <f aca="false">DAY(A917)</f>
        <v>31</v>
      </c>
      <c r="E917" s="15" t="n">
        <f aca="false">VLOOKUP(B917,WYT!$A$2:$L$97,12)</f>
        <v>0</v>
      </c>
      <c r="F917" s="15" t="n">
        <f aca="false">IF(C917=$W$5,1,0)</f>
        <v>0</v>
      </c>
      <c r="G917" s="15" t="n">
        <f aca="false">IF(C917=10,0,IF(F917=1,1,G916))</f>
        <v>1</v>
      </c>
      <c r="H917" s="5" t="n">
        <f aca="false">VA_base_426_data!B917</f>
        <v>7886.51147486741</v>
      </c>
      <c r="I917" s="5" t="n">
        <f aca="false">IF(AND(E917=1,OR(C917=4,C917=5)),25*12.1/24/D917*1000,0)</f>
        <v>0</v>
      </c>
      <c r="J917" s="5" t="n">
        <f aca="false">VA_base_426_data!C917</f>
        <v>1000</v>
      </c>
      <c r="K917" s="5" t="n">
        <f aca="false">H917+I917-J917</f>
        <v>6886.51147486741</v>
      </c>
      <c r="L917" s="5" t="n">
        <f aca="false">MIN($W$7,J917+K917)</f>
        <v>2000</v>
      </c>
      <c r="M917" s="5" t="n">
        <f aca="false">VA_base_426_data!D917</f>
        <v>700</v>
      </c>
      <c r="N917" s="5" t="n">
        <f aca="false">IF(AND(C917=10,E917=1),$W$6,N916-P916)</f>
        <v>0</v>
      </c>
      <c r="O917" s="5" t="n">
        <f aca="false">IF(ABS(M917-L917)&gt;1,MIN(N917/((L917-M917)*24/12.1/1000),D917),D917)</f>
        <v>0</v>
      </c>
      <c r="P917" s="5" t="n">
        <f aca="false">MIN(IF(AND(G917,E917),(L917-M917)*24/12.1*O917/1000,0),N917)</f>
        <v>0</v>
      </c>
      <c r="Q917" s="5" t="n">
        <f aca="false">IF(P917&gt;0,P917/O917*12.1/24*1000+M917,0)</f>
        <v>0</v>
      </c>
      <c r="R917" s="0" t="n">
        <f aca="false">IF(Q917&gt;0,TRUNC(O917),0)</f>
        <v>0</v>
      </c>
      <c r="S917" s="5" t="n">
        <f aca="false">(M917*(D917-R917)+(Q917*R917))/D917</f>
        <v>700</v>
      </c>
      <c r="T917" s="6" t="n">
        <f aca="false">(Q917-M917)*R917*24/12.1/1000</f>
        <v>-0</v>
      </c>
    </row>
    <row r="918" customFormat="false" ht="14.35" hidden="false" customHeight="false" outlineLevel="0" collapsed="false">
      <c r="A918" s="4" t="n">
        <v>35673</v>
      </c>
      <c r="B918" s="15" t="n">
        <f aca="false">IF(C918&lt;=9,YEAR(A918),YEAR(A918)+1)</f>
        <v>1997</v>
      </c>
      <c r="C918" s="15" t="n">
        <f aca="false">MONTH(A918)</f>
        <v>8</v>
      </c>
      <c r="D918" s="15" t="n">
        <f aca="false">DAY(A918)</f>
        <v>31</v>
      </c>
      <c r="E918" s="15" t="n">
        <f aca="false">VLOOKUP(B918,WYT!$A$2:$L$97,12)</f>
        <v>0</v>
      </c>
      <c r="F918" s="15" t="n">
        <f aca="false">IF(C918=$W$5,1,0)</f>
        <v>0</v>
      </c>
      <c r="G918" s="15" t="n">
        <f aca="false">IF(C918=10,0,IF(F918=1,1,G917))</f>
        <v>1</v>
      </c>
      <c r="H918" s="5" t="n">
        <f aca="false">VA_base_426_data!B918</f>
        <v>5124.78733954267</v>
      </c>
      <c r="I918" s="5" t="n">
        <f aca="false">IF(AND(E918=1,OR(C918=4,C918=5)),25*12.1/24/D918*1000,0)</f>
        <v>0</v>
      </c>
      <c r="J918" s="5" t="n">
        <f aca="false">VA_base_426_data!C918</f>
        <v>1000</v>
      </c>
      <c r="K918" s="5" t="n">
        <f aca="false">H918+I918-J918</f>
        <v>4124.78733954267</v>
      </c>
      <c r="L918" s="5" t="n">
        <f aca="false">MIN($W$7,J918+K918)</f>
        <v>2000</v>
      </c>
      <c r="M918" s="5" t="n">
        <f aca="false">VA_base_426_data!D918</f>
        <v>700</v>
      </c>
      <c r="N918" s="5" t="n">
        <f aca="false">IF(AND(C918=10,E918=1),$W$6,N917-P917)</f>
        <v>0</v>
      </c>
      <c r="O918" s="5" t="n">
        <f aca="false">IF(ABS(M918-L918)&gt;1,MIN(N918/((L918-M918)*24/12.1/1000),D918),D918)</f>
        <v>0</v>
      </c>
      <c r="P918" s="5" t="n">
        <f aca="false">MIN(IF(AND(G918,E918),(L918-M918)*24/12.1*O918/1000,0),N918)</f>
        <v>0</v>
      </c>
      <c r="Q918" s="5" t="n">
        <f aca="false">IF(P918&gt;0,P918/O918*12.1/24*1000+M918,0)</f>
        <v>0</v>
      </c>
      <c r="R918" s="0" t="n">
        <f aca="false">IF(Q918&gt;0,TRUNC(O918),0)</f>
        <v>0</v>
      </c>
      <c r="S918" s="5" t="n">
        <f aca="false">(M918*(D918-R918)+(Q918*R918))/D918</f>
        <v>700</v>
      </c>
      <c r="T918" s="6" t="n">
        <f aca="false">(Q918-M918)*R918*24/12.1/1000</f>
        <v>-0</v>
      </c>
    </row>
    <row r="919" customFormat="false" ht="14.35" hidden="false" customHeight="false" outlineLevel="0" collapsed="false">
      <c r="A919" s="4" t="n">
        <v>35703</v>
      </c>
      <c r="B919" s="15" t="n">
        <f aca="false">IF(C919&lt;=9,YEAR(A919),YEAR(A919)+1)</f>
        <v>1997</v>
      </c>
      <c r="C919" s="15" t="n">
        <f aca="false">MONTH(A919)</f>
        <v>9</v>
      </c>
      <c r="D919" s="15" t="n">
        <f aca="false">DAY(A919)</f>
        <v>30</v>
      </c>
      <c r="E919" s="15" t="n">
        <f aca="false">VLOOKUP(B919,WYT!$A$2:$L$97,12)</f>
        <v>0</v>
      </c>
      <c r="F919" s="15" t="n">
        <f aca="false">IF(C919=$W$5,1,0)</f>
        <v>0</v>
      </c>
      <c r="G919" s="15" t="n">
        <f aca="false">IF(C919=10,0,IF(F919=1,1,G918))</f>
        <v>1</v>
      </c>
      <c r="H919" s="5" t="n">
        <f aca="false">VA_base_426_data!B919</f>
        <v>8772.9371328707</v>
      </c>
      <c r="I919" s="5" t="n">
        <f aca="false">IF(AND(E919=1,OR(C919=4,C919=5)),25*12.1/24/D919*1000,0)</f>
        <v>0</v>
      </c>
      <c r="J919" s="5" t="n">
        <f aca="false">VA_base_426_data!C919</f>
        <v>1000</v>
      </c>
      <c r="K919" s="5" t="n">
        <f aca="false">H919+I919-J919</f>
        <v>7772.9371328707</v>
      </c>
      <c r="L919" s="5" t="n">
        <f aca="false">MIN($W$7,J919+K919)</f>
        <v>2000</v>
      </c>
      <c r="M919" s="5" t="n">
        <f aca="false">VA_base_426_data!D919</f>
        <v>773.3333333</v>
      </c>
      <c r="N919" s="5" t="n">
        <f aca="false">IF(AND(C919=10,E919=1),$W$6,N918-P918)</f>
        <v>0</v>
      </c>
      <c r="O919" s="5" t="n">
        <f aca="false">IF(ABS(M919-L919)&gt;1,MIN(N919/((L919-M919)*24/12.1/1000),D919),D919)</f>
        <v>0</v>
      </c>
      <c r="P919" s="5" t="n">
        <f aca="false">MIN(IF(AND(G919,E919),(L919-M919)*24/12.1*O919/1000,0),N919)</f>
        <v>0</v>
      </c>
      <c r="Q919" s="5" t="n">
        <f aca="false">IF(P919&gt;0,P919/O919*12.1/24*1000+M919,0)</f>
        <v>0</v>
      </c>
      <c r="R919" s="0" t="n">
        <f aca="false">IF(Q919&gt;0,TRUNC(O919),0)</f>
        <v>0</v>
      </c>
      <c r="S919" s="5" t="n">
        <f aca="false">(M919*(D919-R919)+(Q919*R919))/D919</f>
        <v>773.3333333</v>
      </c>
      <c r="T919" s="6" t="n">
        <f aca="false">(Q919-M919)*R919*24/12.1/1000</f>
        <v>-0</v>
      </c>
    </row>
    <row r="920" customFormat="false" ht="14.35" hidden="false" customHeight="false" outlineLevel="0" collapsed="false">
      <c r="A920" s="4" t="n">
        <v>35734</v>
      </c>
      <c r="B920" s="15" t="n">
        <f aca="false">IF(C920&lt;=9,YEAR(A920),YEAR(A920)+1)</f>
        <v>1998</v>
      </c>
      <c r="C920" s="15" t="n">
        <f aca="false">MONTH(A920)</f>
        <v>10</v>
      </c>
      <c r="D920" s="15" t="n">
        <f aca="false">DAY(A920)</f>
        <v>31</v>
      </c>
      <c r="E920" s="15" t="n">
        <f aca="false">VLOOKUP(B920,WYT!$A$2:$L$97,12)</f>
        <v>0</v>
      </c>
      <c r="F920" s="15" t="n">
        <f aca="false">IF(C920=$W$5,1,0)</f>
        <v>0</v>
      </c>
      <c r="G920" s="15" t="n">
        <f aca="false">IF(C920=10,0,IF(F920=1,1,G919))</f>
        <v>0</v>
      </c>
      <c r="H920" s="5" t="n">
        <f aca="false">VA_base_426_data!B920</f>
        <v>4000</v>
      </c>
      <c r="I920" s="5" t="n">
        <f aca="false">IF(AND(E920=1,OR(C920=4,C920=5)),25*12.1/24/D920*1000,0)</f>
        <v>0</v>
      </c>
      <c r="J920" s="5" t="n">
        <f aca="false">VA_base_426_data!C920</f>
        <v>1700</v>
      </c>
      <c r="K920" s="5" t="n">
        <f aca="false">H920+I920-J920</f>
        <v>2300</v>
      </c>
      <c r="L920" s="5" t="n">
        <f aca="false">MIN($W$7,J920+K920)</f>
        <v>2000</v>
      </c>
      <c r="M920" s="5" t="n">
        <f aca="false">VA_base_426_data!D920</f>
        <v>800</v>
      </c>
      <c r="N920" s="5" t="n">
        <f aca="false">IF(AND(C920=10,E920=1),$W$6,N919-P919)</f>
        <v>0</v>
      </c>
      <c r="O920" s="5" t="n">
        <f aca="false">IF(ABS(M920-L920)&gt;1,MIN(N920/((L920-M920)*24/12.1/1000),D920),D920)</f>
        <v>0</v>
      </c>
      <c r="P920" s="5" t="n">
        <f aca="false">MIN(IF(AND(G920,E920),(L920-M920)*24/12.1*O920/1000,0),N920)</f>
        <v>0</v>
      </c>
      <c r="Q920" s="5" t="n">
        <f aca="false">IF(P920&gt;0,P920/O920*12.1/24*1000+M920,0)</f>
        <v>0</v>
      </c>
      <c r="R920" s="0" t="n">
        <f aca="false">IF(Q920&gt;0,TRUNC(O920),0)</f>
        <v>0</v>
      </c>
      <c r="S920" s="5" t="n">
        <f aca="false">(M920*(D920-R920)+(Q920*R920))/D920</f>
        <v>800</v>
      </c>
      <c r="T920" s="6" t="n">
        <f aca="false">(Q920-M920)*R920*24/12.1/1000</f>
        <v>-0</v>
      </c>
    </row>
    <row r="921" customFormat="false" ht="14.35" hidden="false" customHeight="false" outlineLevel="0" collapsed="false">
      <c r="A921" s="4" t="n">
        <v>35764</v>
      </c>
      <c r="B921" s="15" t="n">
        <f aca="false">IF(C921&lt;=9,YEAR(A921),YEAR(A921)+1)</f>
        <v>1998</v>
      </c>
      <c r="C921" s="15" t="n">
        <f aca="false">MONTH(A921)</f>
        <v>11</v>
      </c>
      <c r="D921" s="15" t="n">
        <f aca="false">DAY(A921)</f>
        <v>30</v>
      </c>
      <c r="E921" s="15" t="n">
        <f aca="false">VLOOKUP(B921,WYT!$A$2:$L$97,12)</f>
        <v>0</v>
      </c>
      <c r="F921" s="15" t="n">
        <f aca="false">IF(C921=$W$5,1,0)</f>
        <v>0</v>
      </c>
      <c r="G921" s="15" t="n">
        <f aca="false">IF(C921=10,0,IF(F921=1,1,G920))</f>
        <v>0</v>
      </c>
      <c r="H921" s="5" t="n">
        <f aca="false">VA_base_426_data!B921</f>
        <v>2500</v>
      </c>
      <c r="I921" s="5" t="n">
        <f aca="false">IF(AND(E921=1,OR(C921=4,C921=5)),25*12.1/24/D921*1000,0)</f>
        <v>0</v>
      </c>
      <c r="J921" s="5" t="n">
        <f aca="false">VA_base_426_data!C921</f>
        <v>1700</v>
      </c>
      <c r="K921" s="5" t="n">
        <f aca="false">H921+I921-J921</f>
        <v>800</v>
      </c>
      <c r="L921" s="5" t="n">
        <f aca="false">MIN($W$7,J921+K921)</f>
        <v>2000</v>
      </c>
      <c r="M921" s="5" t="n">
        <f aca="false">VA_base_426_data!D921</f>
        <v>800</v>
      </c>
      <c r="N921" s="5" t="n">
        <f aca="false">IF(AND(C921=10,E921=1),$W$6,N920-P920)</f>
        <v>0</v>
      </c>
      <c r="O921" s="5" t="n">
        <f aca="false">IF(ABS(M921-L921)&gt;1,MIN(N921/((L921-M921)*24/12.1/1000),D921),D921)</f>
        <v>0</v>
      </c>
      <c r="P921" s="5" t="n">
        <f aca="false">MIN(IF(AND(G921,E921),(L921-M921)*24/12.1*O921/1000,0),N921)</f>
        <v>0</v>
      </c>
      <c r="Q921" s="5" t="n">
        <f aca="false">IF(P921&gt;0,P921/O921*12.1/24*1000+M921,0)</f>
        <v>0</v>
      </c>
      <c r="R921" s="0" t="n">
        <f aca="false">IF(Q921&gt;0,TRUNC(O921),0)</f>
        <v>0</v>
      </c>
      <c r="S921" s="5" t="n">
        <f aca="false">(M921*(D921-R921)+(Q921*R921))/D921</f>
        <v>800</v>
      </c>
      <c r="T921" s="6" t="n">
        <f aca="false">(Q921-M921)*R921*24/12.1/1000</f>
        <v>-0</v>
      </c>
    </row>
    <row r="922" customFormat="false" ht="14.35" hidden="false" customHeight="false" outlineLevel="0" collapsed="false">
      <c r="A922" s="4" t="n">
        <v>35795</v>
      </c>
      <c r="B922" s="15" t="n">
        <f aca="false">IF(C922&lt;=9,YEAR(A922),YEAR(A922)+1)</f>
        <v>1998</v>
      </c>
      <c r="C922" s="15" t="n">
        <f aca="false">MONTH(A922)</f>
        <v>12</v>
      </c>
      <c r="D922" s="15" t="n">
        <f aca="false">DAY(A922)</f>
        <v>31</v>
      </c>
      <c r="E922" s="15" t="n">
        <f aca="false">VLOOKUP(B922,WYT!$A$2:$L$97,12)</f>
        <v>0</v>
      </c>
      <c r="F922" s="15" t="n">
        <f aca="false">IF(C922=$W$5,1,0)</f>
        <v>0</v>
      </c>
      <c r="G922" s="15" t="n">
        <f aca="false">IF(C922=10,0,IF(F922=1,1,G921))</f>
        <v>0</v>
      </c>
      <c r="H922" s="5" t="n">
        <f aca="false">VA_base_426_data!B922</f>
        <v>2371.8966121257</v>
      </c>
      <c r="I922" s="5" t="n">
        <f aca="false">IF(AND(E922=1,OR(C922=4,C922=5)),25*12.1/24/D922*1000,0)</f>
        <v>0</v>
      </c>
      <c r="J922" s="5" t="n">
        <f aca="false">VA_base_426_data!C922</f>
        <v>1700</v>
      </c>
      <c r="K922" s="5" t="n">
        <f aca="false">H922+I922-J922</f>
        <v>671.896612125702</v>
      </c>
      <c r="L922" s="5" t="n">
        <f aca="false">MIN($W$7,J922+K922)</f>
        <v>2000</v>
      </c>
      <c r="M922" s="5" t="n">
        <f aca="false">VA_base_426_data!D922</f>
        <v>800</v>
      </c>
      <c r="N922" s="5" t="n">
        <f aca="false">IF(AND(C922=10,E922=1),$W$6,N921-P921)</f>
        <v>0</v>
      </c>
      <c r="O922" s="5" t="n">
        <f aca="false">IF(ABS(M922-L922)&gt;1,MIN(N922/((L922-M922)*24/12.1/1000),D922),D922)</f>
        <v>0</v>
      </c>
      <c r="P922" s="5" t="n">
        <f aca="false">MIN(IF(AND(G922,E922),(L922-M922)*24/12.1*O922/1000,0),N922)</f>
        <v>0</v>
      </c>
      <c r="Q922" s="5" t="n">
        <f aca="false">IF(P922&gt;0,P922/O922*12.1/24*1000+M922,0)</f>
        <v>0</v>
      </c>
      <c r="R922" s="0" t="n">
        <f aca="false">IF(Q922&gt;0,TRUNC(O922),0)</f>
        <v>0</v>
      </c>
      <c r="S922" s="5" t="n">
        <f aca="false">(M922*(D922-R922)+(Q922*R922))/D922</f>
        <v>800</v>
      </c>
      <c r="T922" s="6" t="n">
        <f aca="false">(Q922-M922)*R922*24/12.1/1000</f>
        <v>-0</v>
      </c>
    </row>
    <row r="923" customFormat="false" ht="14.35" hidden="false" customHeight="false" outlineLevel="0" collapsed="false">
      <c r="A923" s="4" t="n">
        <v>35826</v>
      </c>
      <c r="B923" s="15" t="n">
        <f aca="false">IF(C923&lt;=9,YEAR(A923),YEAR(A923)+1)</f>
        <v>1998</v>
      </c>
      <c r="C923" s="15" t="n">
        <f aca="false">MONTH(A923)</f>
        <v>1</v>
      </c>
      <c r="D923" s="15" t="n">
        <f aca="false">DAY(A923)</f>
        <v>31</v>
      </c>
      <c r="E923" s="15" t="n">
        <f aca="false">VLOOKUP(B923,WYT!$A$2:$L$97,12)</f>
        <v>0</v>
      </c>
      <c r="F923" s="15" t="n">
        <f aca="false">IF(C923=$W$5,1,0)</f>
        <v>0</v>
      </c>
      <c r="G923" s="15" t="n">
        <f aca="false">IF(C923=10,0,IF(F923=1,1,G922))</f>
        <v>0</v>
      </c>
      <c r="H923" s="5" t="n">
        <f aca="false">VA_base_426_data!B923</f>
        <v>1700</v>
      </c>
      <c r="I923" s="5" t="n">
        <f aca="false">IF(AND(E923=1,OR(C923=4,C923=5)),25*12.1/24/D923*1000,0)</f>
        <v>0</v>
      </c>
      <c r="J923" s="5" t="n">
        <f aca="false">VA_base_426_data!C923</f>
        <v>1700</v>
      </c>
      <c r="K923" s="5" t="n">
        <f aca="false">H923+I923-J923</f>
        <v>0</v>
      </c>
      <c r="L923" s="5" t="n">
        <f aca="false">MIN($W$7,J923+K923)</f>
        <v>1700</v>
      </c>
      <c r="M923" s="5" t="n">
        <f aca="false">VA_base_426_data!D923</f>
        <v>800</v>
      </c>
      <c r="N923" s="5" t="n">
        <f aca="false">IF(AND(C923=10,E923=1),$W$6,N922-P922)</f>
        <v>0</v>
      </c>
      <c r="O923" s="5" t="n">
        <f aca="false">IF(ABS(M923-L923)&gt;1,MIN(N923/((L923-M923)*24/12.1/1000),D923),D923)</f>
        <v>0</v>
      </c>
      <c r="P923" s="5" t="n">
        <f aca="false">MIN(IF(AND(G923,E923),(L923-M923)*24/12.1*O923/1000,0),N923)</f>
        <v>0</v>
      </c>
      <c r="Q923" s="5" t="n">
        <f aca="false">IF(P923&gt;0,P923/O923*12.1/24*1000+M923,0)</f>
        <v>0</v>
      </c>
      <c r="R923" s="0" t="n">
        <f aca="false">IF(Q923&gt;0,TRUNC(O923),0)</f>
        <v>0</v>
      </c>
      <c r="S923" s="5" t="n">
        <f aca="false">(M923*(D923-R923)+(Q923*R923))/D923</f>
        <v>800</v>
      </c>
      <c r="T923" s="6" t="n">
        <f aca="false">(Q923-M923)*R923*24/12.1/1000</f>
        <v>-0</v>
      </c>
    </row>
    <row r="924" customFormat="false" ht="14.35" hidden="false" customHeight="false" outlineLevel="0" collapsed="false">
      <c r="A924" s="4" t="n">
        <v>35854</v>
      </c>
      <c r="B924" s="15" t="n">
        <f aca="false">IF(C924&lt;=9,YEAR(A924),YEAR(A924)+1)</f>
        <v>1998</v>
      </c>
      <c r="C924" s="15" t="n">
        <f aca="false">MONTH(A924)</f>
        <v>2</v>
      </c>
      <c r="D924" s="15" t="n">
        <f aca="false">DAY(A924)</f>
        <v>28</v>
      </c>
      <c r="E924" s="15" t="n">
        <f aca="false">VLOOKUP(B924,WYT!$A$2:$L$97,12)</f>
        <v>0</v>
      </c>
      <c r="F924" s="15" t="n">
        <f aca="false">IF(C924=$W$5,1,0)</f>
        <v>1</v>
      </c>
      <c r="G924" s="15" t="n">
        <f aca="false">IF(C924=10,0,IF(F924=1,1,G923))</f>
        <v>1</v>
      </c>
      <c r="H924" s="5" t="n">
        <f aca="false">VA_base_426_data!B924</f>
        <v>12977.0481838932</v>
      </c>
      <c r="I924" s="5" t="n">
        <f aca="false">IF(AND(E924=1,OR(C924=4,C924=5)),25*12.1/24/D924*1000,0)</f>
        <v>0</v>
      </c>
      <c r="J924" s="5" t="n">
        <f aca="false">VA_base_426_data!C924</f>
        <v>1700</v>
      </c>
      <c r="K924" s="5" t="n">
        <f aca="false">H924+I924-J924</f>
        <v>11277.0481838932</v>
      </c>
      <c r="L924" s="5" t="n">
        <f aca="false">MIN($W$7,J924+K924)</f>
        <v>2000</v>
      </c>
      <c r="M924" s="5" t="n">
        <f aca="false">VA_base_426_data!D924</f>
        <v>800</v>
      </c>
      <c r="N924" s="5" t="n">
        <f aca="false">IF(AND(C924=10,E924=1),$W$6,N923-P923)</f>
        <v>0</v>
      </c>
      <c r="O924" s="5" t="n">
        <f aca="false">IF(ABS(M924-L924)&gt;1,MIN(N924/((L924-M924)*24/12.1/1000),D924),D924)</f>
        <v>0</v>
      </c>
      <c r="P924" s="5" t="n">
        <f aca="false">MIN(IF(AND(G924,E924),(L924-M924)*24/12.1*O924/1000,0),N924)</f>
        <v>0</v>
      </c>
      <c r="Q924" s="5" t="n">
        <f aca="false">IF(P924&gt;0,P924/O924*12.1/24*1000+M924,0)</f>
        <v>0</v>
      </c>
      <c r="R924" s="0" t="n">
        <f aca="false">IF(Q924&gt;0,TRUNC(O924),0)</f>
        <v>0</v>
      </c>
      <c r="S924" s="5" t="n">
        <f aca="false">(M924*(D924-R924)+(Q924*R924))/D924</f>
        <v>800</v>
      </c>
      <c r="T924" s="6" t="n">
        <f aca="false">(Q924-M924)*R924*24/12.1/1000</f>
        <v>-0</v>
      </c>
    </row>
    <row r="925" customFormat="false" ht="14.35" hidden="false" customHeight="false" outlineLevel="0" collapsed="false">
      <c r="A925" s="4" t="n">
        <v>35885</v>
      </c>
      <c r="B925" s="15" t="n">
        <f aca="false">IF(C925&lt;=9,YEAR(A925),YEAR(A925)+1)</f>
        <v>1998</v>
      </c>
      <c r="C925" s="15" t="n">
        <f aca="false">MONTH(A925)</f>
        <v>3</v>
      </c>
      <c r="D925" s="15" t="n">
        <f aca="false">DAY(A925)</f>
        <v>31</v>
      </c>
      <c r="E925" s="15" t="n">
        <f aca="false">VLOOKUP(B925,WYT!$A$2:$L$97,12)</f>
        <v>0</v>
      </c>
      <c r="F925" s="15" t="n">
        <f aca="false">IF(C925=$W$5,1,0)</f>
        <v>0</v>
      </c>
      <c r="G925" s="15" t="n">
        <f aca="false">IF(C925=10,0,IF(F925=1,1,G924))</f>
        <v>1</v>
      </c>
      <c r="H925" s="5" t="n">
        <f aca="false">VA_base_426_data!B925</f>
        <v>14265.145246881</v>
      </c>
      <c r="I925" s="5" t="n">
        <f aca="false">IF(AND(E925=1,OR(C925=4,C925=5)),25*12.1/24/D925*1000,0)</f>
        <v>0</v>
      </c>
      <c r="J925" s="5" t="n">
        <f aca="false">VA_base_426_data!C925</f>
        <v>1700</v>
      </c>
      <c r="K925" s="5" t="n">
        <f aca="false">H925+I925-J925</f>
        <v>12565.145246881</v>
      </c>
      <c r="L925" s="5" t="n">
        <f aca="false">MIN($W$7,J925+K925)</f>
        <v>2000</v>
      </c>
      <c r="M925" s="5" t="n">
        <f aca="false">VA_base_426_data!D925</f>
        <v>800</v>
      </c>
      <c r="N925" s="5" t="n">
        <f aca="false">IF(AND(C925=10,E925=1),$W$6,N924-P924)</f>
        <v>0</v>
      </c>
      <c r="O925" s="5" t="n">
        <f aca="false">IF(ABS(M925-L925)&gt;1,MIN(N925/((L925-M925)*24/12.1/1000),D925),D925)</f>
        <v>0</v>
      </c>
      <c r="P925" s="5" t="n">
        <f aca="false">MIN(IF(AND(G925,E925),(L925-M925)*24/12.1*O925/1000,0),N925)</f>
        <v>0</v>
      </c>
      <c r="Q925" s="5" t="n">
        <f aca="false">IF(P925&gt;0,P925/O925*12.1/24*1000+M925,0)</f>
        <v>0</v>
      </c>
      <c r="R925" s="0" t="n">
        <f aca="false">IF(Q925&gt;0,TRUNC(O925),0)</f>
        <v>0</v>
      </c>
      <c r="S925" s="5" t="n">
        <f aca="false">(M925*(D925-R925)+(Q925*R925))/D925</f>
        <v>800</v>
      </c>
      <c r="T925" s="6" t="n">
        <f aca="false">(Q925-M925)*R925*24/12.1/1000</f>
        <v>-0</v>
      </c>
    </row>
    <row r="926" customFormat="false" ht="14.35" hidden="false" customHeight="false" outlineLevel="0" collapsed="false">
      <c r="A926" s="4" t="n">
        <v>35915</v>
      </c>
      <c r="B926" s="15" t="n">
        <f aca="false">IF(C926&lt;=9,YEAR(A926),YEAR(A926)+1)</f>
        <v>1998</v>
      </c>
      <c r="C926" s="15" t="n">
        <f aca="false">MONTH(A926)</f>
        <v>4</v>
      </c>
      <c r="D926" s="15" t="n">
        <f aca="false">DAY(A926)</f>
        <v>30</v>
      </c>
      <c r="E926" s="15" t="n">
        <f aca="false">VLOOKUP(B926,WYT!$A$2:$L$97,12)</f>
        <v>0</v>
      </c>
      <c r="F926" s="15" t="n">
        <f aca="false">IF(C926=$W$5,1,0)</f>
        <v>0</v>
      </c>
      <c r="G926" s="15" t="n">
        <f aca="false">IF(C926=10,0,IF(F926=1,1,G925))</f>
        <v>1</v>
      </c>
      <c r="H926" s="5" t="n">
        <f aca="false">VA_base_426_data!B926</f>
        <v>2962.4976813454</v>
      </c>
      <c r="I926" s="5" t="n">
        <f aca="false">IF(AND(E926=1,OR(C926=4,C926=5)),25*12.1/24/D926*1000,0)</f>
        <v>0</v>
      </c>
      <c r="J926" s="5" t="n">
        <f aca="false">VA_base_426_data!C926</f>
        <v>1000</v>
      </c>
      <c r="K926" s="5" t="n">
        <f aca="false">H926+I926-J926</f>
        <v>1962.4976813454</v>
      </c>
      <c r="L926" s="5" t="n">
        <f aca="false">MIN($W$7,J926+K926)</f>
        <v>2000</v>
      </c>
      <c r="M926" s="5" t="n">
        <f aca="false">VA_base_426_data!D926</f>
        <v>700</v>
      </c>
      <c r="N926" s="5" t="n">
        <f aca="false">IF(AND(C926=10,E926=1),$W$6,N925-P925)</f>
        <v>0</v>
      </c>
      <c r="O926" s="5" t="n">
        <f aca="false">IF(ABS(M926-L926)&gt;1,MIN(N926/((L926-M926)*24/12.1/1000),D926),D926)</f>
        <v>0</v>
      </c>
      <c r="P926" s="5" t="n">
        <f aca="false">MIN(IF(AND(G926,E926),(L926-M926)*24/12.1*O926/1000,0),N926)</f>
        <v>0</v>
      </c>
      <c r="Q926" s="5" t="n">
        <f aca="false">IF(P926&gt;0,P926/O926*12.1/24*1000+M926,0)</f>
        <v>0</v>
      </c>
      <c r="R926" s="0" t="n">
        <f aca="false">IF(Q926&gt;0,TRUNC(O926),0)</f>
        <v>0</v>
      </c>
      <c r="S926" s="5" t="n">
        <f aca="false">(M926*(D926-R926)+(Q926*R926))/D926</f>
        <v>700</v>
      </c>
      <c r="T926" s="6" t="n">
        <f aca="false">(Q926-M926)*R926*24/12.1/1000</f>
        <v>-0</v>
      </c>
    </row>
    <row r="927" customFormat="false" ht="14.35" hidden="false" customHeight="false" outlineLevel="0" collapsed="false">
      <c r="A927" s="4" t="n">
        <v>35946</v>
      </c>
      <c r="B927" s="15" t="n">
        <f aca="false">IF(C927&lt;=9,YEAR(A927),YEAR(A927)+1)</f>
        <v>1998</v>
      </c>
      <c r="C927" s="15" t="n">
        <f aca="false">MONTH(A927)</f>
        <v>5</v>
      </c>
      <c r="D927" s="15" t="n">
        <f aca="false">DAY(A927)</f>
        <v>31</v>
      </c>
      <c r="E927" s="15" t="n">
        <f aca="false">VLOOKUP(B927,WYT!$A$2:$L$97,12)</f>
        <v>0</v>
      </c>
      <c r="F927" s="15" t="n">
        <f aca="false">IF(C927=$W$5,1,0)</f>
        <v>0</v>
      </c>
      <c r="G927" s="15" t="n">
        <f aca="false">IF(C927=10,0,IF(F927=1,1,G926))</f>
        <v>1</v>
      </c>
      <c r="H927" s="5" t="n">
        <f aca="false">VA_base_426_data!B927</f>
        <v>9225.71605766523</v>
      </c>
      <c r="I927" s="5" t="n">
        <f aca="false">IF(AND(E927=1,OR(C927=4,C927=5)),25*12.1/24/D927*1000,0)</f>
        <v>0</v>
      </c>
      <c r="J927" s="5" t="n">
        <f aca="false">VA_base_426_data!C927</f>
        <v>1000</v>
      </c>
      <c r="K927" s="5" t="n">
        <f aca="false">H927+I927-J927</f>
        <v>8225.71605766523</v>
      </c>
      <c r="L927" s="5" t="n">
        <f aca="false">MIN($W$7,J927+K927)</f>
        <v>2000</v>
      </c>
      <c r="M927" s="5" t="n">
        <f aca="false">VA_base_426_data!D927</f>
        <v>700</v>
      </c>
      <c r="N927" s="5" t="n">
        <f aca="false">IF(AND(C927=10,E927=1),$W$6,N926-P926)</f>
        <v>0</v>
      </c>
      <c r="O927" s="5" t="n">
        <f aca="false">IF(ABS(M927-L927)&gt;1,MIN(N927/((L927-M927)*24/12.1/1000),D927),D927)</f>
        <v>0</v>
      </c>
      <c r="P927" s="5" t="n">
        <f aca="false">MIN(IF(AND(G927,E927),(L927-M927)*24/12.1*O927/1000,0),N927)</f>
        <v>0</v>
      </c>
      <c r="Q927" s="5" t="n">
        <f aca="false">IF(P927&gt;0,P927/O927*12.1/24*1000+M927,0)</f>
        <v>0</v>
      </c>
      <c r="R927" s="0" t="n">
        <f aca="false">IF(Q927&gt;0,TRUNC(O927),0)</f>
        <v>0</v>
      </c>
      <c r="S927" s="5" t="n">
        <f aca="false">(M927*(D927-R927)+(Q927*R927))/D927</f>
        <v>700</v>
      </c>
      <c r="T927" s="6" t="n">
        <f aca="false">(Q927-M927)*R927*24/12.1/1000</f>
        <v>-0</v>
      </c>
    </row>
    <row r="928" customFormat="false" ht="14.35" hidden="false" customHeight="false" outlineLevel="0" collapsed="false">
      <c r="A928" s="4" t="n">
        <v>35976</v>
      </c>
      <c r="B928" s="15" t="n">
        <f aca="false">IF(C928&lt;=9,YEAR(A928),YEAR(A928)+1)</f>
        <v>1998</v>
      </c>
      <c r="C928" s="15" t="n">
        <f aca="false">MONTH(A928)</f>
        <v>6</v>
      </c>
      <c r="D928" s="15" t="n">
        <f aca="false">DAY(A928)</f>
        <v>30</v>
      </c>
      <c r="E928" s="15" t="n">
        <f aca="false">VLOOKUP(B928,WYT!$A$2:$L$97,12)</f>
        <v>0</v>
      </c>
      <c r="F928" s="15" t="n">
        <f aca="false">IF(C928=$W$5,1,0)</f>
        <v>0</v>
      </c>
      <c r="G928" s="15" t="n">
        <f aca="false">IF(C928=10,0,IF(F928=1,1,G927))</f>
        <v>1</v>
      </c>
      <c r="H928" s="5" t="n">
        <f aca="false">VA_base_426_data!B928</f>
        <v>11257.5542833057</v>
      </c>
      <c r="I928" s="5" t="n">
        <f aca="false">IF(AND(E928=1,OR(C928=4,C928=5)),25*12.1/24/D928*1000,0)</f>
        <v>0</v>
      </c>
      <c r="J928" s="5" t="n">
        <f aca="false">VA_base_426_data!C928</f>
        <v>1000</v>
      </c>
      <c r="K928" s="5" t="n">
        <f aca="false">H928+I928-J928</f>
        <v>10257.5542833057</v>
      </c>
      <c r="L928" s="5" t="n">
        <f aca="false">MIN($W$7,J928+K928)</f>
        <v>2000</v>
      </c>
      <c r="M928" s="5" t="n">
        <f aca="false">VA_base_426_data!D928</f>
        <v>700</v>
      </c>
      <c r="N928" s="5" t="n">
        <f aca="false">IF(AND(C928=10,E928=1),$W$6,N927-P927)</f>
        <v>0</v>
      </c>
      <c r="O928" s="5" t="n">
        <f aca="false">IF(ABS(M928-L928)&gt;1,MIN(N928/((L928-M928)*24/12.1/1000),D928),D928)</f>
        <v>0</v>
      </c>
      <c r="P928" s="5" t="n">
        <f aca="false">MIN(IF(AND(G928,E928),(L928-M928)*24/12.1*O928/1000,0),N928)</f>
        <v>0</v>
      </c>
      <c r="Q928" s="5" t="n">
        <f aca="false">IF(P928&gt;0,P928/O928*12.1/24*1000+M928,0)</f>
        <v>0</v>
      </c>
      <c r="R928" s="0" t="n">
        <f aca="false">IF(Q928&gt;0,TRUNC(O928),0)</f>
        <v>0</v>
      </c>
      <c r="S928" s="5" t="n">
        <f aca="false">(M928*(D928-R928)+(Q928*R928))/D928</f>
        <v>700</v>
      </c>
      <c r="T928" s="6" t="n">
        <f aca="false">(Q928-M928)*R928*24/12.1/1000</f>
        <v>-0</v>
      </c>
    </row>
    <row r="929" customFormat="false" ht="14.35" hidden="false" customHeight="false" outlineLevel="0" collapsed="false">
      <c r="A929" s="4" t="n">
        <v>36007</v>
      </c>
      <c r="B929" s="15" t="n">
        <f aca="false">IF(C929&lt;=9,YEAR(A929),YEAR(A929)+1)</f>
        <v>1998</v>
      </c>
      <c r="C929" s="15" t="n">
        <f aca="false">MONTH(A929)</f>
        <v>7</v>
      </c>
      <c r="D929" s="15" t="n">
        <f aca="false">DAY(A929)</f>
        <v>31</v>
      </c>
      <c r="E929" s="15" t="n">
        <f aca="false">VLOOKUP(B929,WYT!$A$2:$L$97,12)</f>
        <v>0</v>
      </c>
      <c r="F929" s="15" t="n">
        <f aca="false">IF(C929=$W$5,1,0)</f>
        <v>0</v>
      </c>
      <c r="G929" s="15" t="n">
        <f aca="false">IF(C929=10,0,IF(F929=1,1,G928))</f>
        <v>1</v>
      </c>
      <c r="H929" s="5" t="n">
        <f aca="false">VA_base_426_data!B929</f>
        <v>2535.44684165424</v>
      </c>
      <c r="I929" s="5" t="n">
        <f aca="false">IF(AND(E929=1,OR(C929=4,C929=5)),25*12.1/24/D929*1000,0)</f>
        <v>0</v>
      </c>
      <c r="J929" s="5" t="n">
        <f aca="false">VA_base_426_data!C929</f>
        <v>1000</v>
      </c>
      <c r="K929" s="5" t="n">
        <f aca="false">H929+I929-J929</f>
        <v>1535.44684165424</v>
      </c>
      <c r="L929" s="5" t="n">
        <f aca="false">MIN($W$7,J929+K929)</f>
        <v>2000</v>
      </c>
      <c r="M929" s="5" t="n">
        <f aca="false">VA_base_426_data!D929</f>
        <v>700</v>
      </c>
      <c r="N929" s="5" t="n">
        <f aca="false">IF(AND(C929=10,E929=1),$W$6,N928-P928)</f>
        <v>0</v>
      </c>
      <c r="O929" s="5" t="n">
        <f aca="false">IF(ABS(M929-L929)&gt;1,MIN(N929/((L929-M929)*24/12.1/1000),D929),D929)</f>
        <v>0</v>
      </c>
      <c r="P929" s="5" t="n">
        <f aca="false">MIN(IF(AND(G929,E929),(L929-M929)*24/12.1*O929/1000,0),N929)</f>
        <v>0</v>
      </c>
      <c r="Q929" s="5" t="n">
        <f aca="false">IF(P929&gt;0,P929/O929*12.1/24*1000+M929,0)</f>
        <v>0</v>
      </c>
      <c r="R929" s="0" t="n">
        <f aca="false">IF(Q929&gt;0,TRUNC(O929),0)</f>
        <v>0</v>
      </c>
      <c r="S929" s="5" t="n">
        <f aca="false">(M929*(D929-R929)+(Q929*R929))/D929</f>
        <v>700</v>
      </c>
      <c r="T929" s="6" t="n">
        <f aca="false">(Q929-M929)*R929*24/12.1/1000</f>
        <v>-0</v>
      </c>
    </row>
    <row r="930" customFormat="false" ht="14.35" hidden="false" customHeight="false" outlineLevel="0" collapsed="false">
      <c r="A930" s="4" t="n">
        <v>36038</v>
      </c>
      <c r="B930" s="15" t="n">
        <f aca="false">IF(C930&lt;=9,YEAR(A930),YEAR(A930)+1)</f>
        <v>1998</v>
      </c>
      <c r="C930" s="15" t="n">
        <f aca="false">MONTH(A930)</f>
        <v>8</v>
      </c>
      <c r="D930" s="15" t="n">
        <f aca="false">DAY(A930)</f>
        <v>31</v>
      </c>
      <c r="E930" s="15" t="n">
        <f aca="false">VLOOKUP(B930,WYT!$A$2:$L$97,12)</f>
        <v>0</v>
      </c>
      <c r="F930" s="15" t="n">
        <f aca="false">IF(C930=$W$5,1,0)</f>
        <v>0</v>
      </c>
      <c r="G930" s="15" t="n">
        <f aca="false">IF(C930=10,0,IF(F930=1,1,G929))</f>
        <v>1</v>
      </c>
      <c r="H930" s="5" t="n">
        <f aca="false">VA_base_426_data!B930</f>
        <v>1163.74967736684</v>
      </c>
      <c r="I930" s="5" t="n">
        <f aca="false">IF(AND(E930=1,OR(C930=4,C930=5)),25*12.1/24/D930*1000,0)</f>
        <v>0</v>
      </c>
      <c r="J930" s="5" t="n">
        <f aca="false">VA_base_426_data!C930</f>
        <v>1000</v>
      </c>
      <c r="K930" s="5" t="n">
        <f aca="false">H930+I930-J930</f>
        <v>163.749677366842</v>
      </c>
      <c r="L930" s="5" t="n">
        <f aca="false">MIN($W$7,J930+K930)</f>
        <v>1163.74967736684</v>
      </c>
      <c r="M930" s="5" t="n">
        <f aca="false">VA_base_426_data!D930</f>
        <v>700</v>
      </c>
      <c r="N930" s="5" t="n">
        <f aca="false">IF(AND(C930=10,E930=1),$W$6,N929-P929)</f>
        <v>0</v>
      </c>
      <c r="O930" s="5" t="n">
        <f aca="false">IF(ABS(M930-L930)&gt;1,MIN(N930/((L930-M930)*24/12.1/1000),D930),D930)</f>
        <v>0</v>
      </c>
      <c r="P930" s="5" t="n">
        <f aca="false">MIN(IF(AND(G930,E930),(L930-M930)*24/12.1*O930/1000,0),N930)</f>
        <v>0</v>
      </c>
      <c r="Q930" s="5" t="n">
        <f aca="false">IF(P930&gt;0,P930/O930*12.1/24*1000+M930,0)</f>
        <v>0</v>
      </c>
      <c r="R930" s="0" t="n">
        <f aca="false">IF(Q930&gt;0,TRUNC(O930),0)</f>
        <v>0</v>
      </c>
      <c r="S930" s="5" t="n">
        <f aca="false">(M930*(D930-R930)+(Q930*R930))/D930</f>
        <v>700</v>
      </c>
      <c r="T930" s="6" t="n">
        <f aca="false">(Q930-M930)*R930*24/12.1/1000</f>
        <v>-0</v>
      </c>
    </row>
    <row r="931" customFormat="false" ht="14.35" hidden="false" customHeight="false" outlineLevel="0" collapsed="false">
      <c r="A931" s="4" t="n">
        <v>36068</v>
      </c>
      <c r="B931" s="15" t="n">
        <f aca="false">IF(C931&lt;=9,YEAR(A931),YEAR(A931)+1)</f>
        <v>1998</v>
      </c>
      <c r="C931" s="15" t="n">
        <f aca="false">MONTH(A931)</f>
        <v>9</v>
      </c>
      <c r="D931" s="15" t="n">
        <f aca="false">DAY(A931)</f>
        <v>30</v>
      </c>
      <c r="E931" s="15" t="n">
        <f aca="false">VLOOKUP(B931,WYT!$A$2:$L$97,12)</f>
        <v>0</v>
      </c>
      <c r="F931" s="15" t="n">
        <f aca="false">IF(C931=$W$5,1,0)</f>
        <v>0</v>
      </c>
      <c r="G931" s="15" t="n">
        <f aca="false">IF(C931=10,0,IF(F931=1,1,G930))</f>
        <v>1</v>
      </c>
      <c r="H931" s="5" t="n">
        <f aca="false">VA_base_426_data!B931</f>
        <v>4619.98096521088</v>
      </c>
      <c r="I931" s="5" t="n">
        <f aca="false">IF(AND(E931=1,OR(C931=4,C931=5)),25*12.1/24/D931*1000,0)</f>
        <v>0</v>
      </c>
      <c r="J931" s="5" t="n">
        <f aca="false">VA_base_426_data!C931</f>
        <v>1000</v>
      </c>
      <c r="K931" s="5" t="n">
        <f aca="false">H931+I931-J931</f>
        <v>3619.98096521088</v>
      </c>
      <c r="L931" s="5" t="n">
        <f aca="false">MIN($W$7,J931+K931)</f>
        <v>2000</v>
      </c>
      <c r="M931" s="5" t="n">
        <f aca="false">VA_base_426_data!D931</f>
        <v>773.3333333</v>
      </c>
      <c r="N931" s="5" t="n">
        <f aca="false">IF(AND(C931=10,E931=1),$W$6,N930-P930)</f>
        <v>0</v>
      </c>
      <c r="O931" s="5" t="n">
        <f aca="false">IF(ABS(M931-L931)&gt;1,MIN(N931/((L931-M931)*24/12.1/1000),D931),D931)</f>
        <v>0</v>
      </c>
      <c r="P931" s="5" t="n">
        <f aca="false">MIN(IF(AND(G931,E931),(L931-M931)*24/12.1*O931/1000,0),N931)</f>
        <v>0</v>
      </c>
      <c r="Q931" s="5" t="n">
        <f aca="false">IF(P931&gt;0,P931/O931*12.1/24*1000+M931,0)</f>
        <v>0</v>
      </c>
      <c r="R931" s="0" t="n">
        <f aca="false">IF(Q931&gt;0,TRUNC(O931),0)</f>
        <v>0</v>
      </c>
      <c r="S931" s="5" t="n">
        <f aca="false">(M931*(D931-R931)+(Q931*R931))/D931</f>
        <v>773.3333333</v>
      </c>
      <c r="T931" s="6" t="n">
        <f aca="false">(Q931-M931)*R931*24/12.1/1000</f>
        <v>-0</v>
      </c>
    </row>
    <row r="932" customFormat="false" ht="14.35" hidden="false" customHeight="false" outlineLevel="0" collapsed="false">
      <c r="A932" s="4" t="n">
        <v>36099</v>
      </c>
      <c r="B932" s="15" t="n">
        <f aca="false">IF(C932&lt;=9,YEAR(A932),YEAR(A932)+1)</f>
        <v>1999</v>
      </c>
      <c r="C932" s="15" t="n">
        <f aca="false">MONTH(A932)</f>
        <v>10</v>
      </c>
      <c r="D932" s="15" t="n">
        <f aca="false">DAY(A932)</f>
        <v>31</v>
      </c>
      <c r="E932" s="15" t="n">
        <f aca="false">VLOOKUP(B932,WYT!$A$2:$L$97,12)</f>
        <v>0</v>
      </c>
      <c r="F932" s="15" t="n">
        <f aca="false">IF(C932=$W$5,1,0)</f>
        <v>0</v>
      </c>
      <c r="G932" s="15" t="n">
        <f aca="false">IF(C932=10,0,IF(F932=1,1,G931))</f>
        <v>0</v>
      </c>
      <c r="H932" s="5" t="n">
        <f aca="false">VA_base_426_data!B932</f>
        <v>4000</v>
      </c>
      <c r="I932" s="5" t="n">
        <f aca="false">IF(AND(E932=1,OR(C932=4,C932=5)),25*12.1/24/D932*1000,0)</f>
        <v>0</v>
      </c>
      <c r="J932" s="5" t="n">
        <f aca="false">VA_base_426_data!C932</f>
        <v>1700</v>
      </c>
      <c r="K932" s="5" t="n">
        <f aca="false">H932+I932-J932</f>
        <v>2300</v>
      </c>
      <c r="L932" s="5" t="n">
        <f aca="false">MIN($W$7,J932+K932)</f>
        <v>2000</v>
      </c>
      <c r="M932" s="5" t="n">
        <f aca="false">VA_base_426_data!D932</f>
        <v>800</v>
      </c>
      <c r="N932" s="5" t="n">
        <f aca="false">IF(AND(C932=10,E932=1),$W$6,N931-P931)</f>
        <v>0</v>
      </c>
      <c r="O932" s="5" t="n">
        <f aca="false">IF(ABS(M932-L932)&gt;1,MIN(N932/((L932-M932)*24/12.1/1000),D932),D932)</f>
        <v>0</v>
      </c>
      <c r="P932" s="5" t="n">
        <f aca="false">MIN(IF(AND(G932,E932),(L932-M932)*24/12.1*O932/1000,0),N932)</f>
        <v>0</v>
      </c>
      <c r="Q932" s="5" t="n">
        <f aca="false">IF(P932&gt;0,P932/O932*12.1/24*1000+M932,0)</f>
        <v>0</v>
      </c>
      <c r="R932" s="0" t="n">
        <f aca="false">IF(Q932&gt;0,TRUNC(O932),0)</f>
        <v>0</v>
      </c>
      <c r="S932" s="5" t="n">
        <f aca="false">(M932*(D932-R932)+(Q932*R932))/D932</f>
        <v>800</v>
      </c>
      <c r="T932" s="6" t="n">
        <f aca="false">(Q932-M932)*R932*24/12.1/1000</f>
        <v>-0</v>
      </c>
    </row>
    <row r="933" customFormat="false" ht="14.35" hidden="false" customHeight="false" outlineLevel="0" collapsed="false">
      <c r="A933" s="4" t="n">
        <v>36129</v>
      </c>
      <c r="B933" s="15" t="n">
        <f aca="false">IF(C933&lt;=9,YEAR(A933),YEAR(A933)+1)</f>
        <v>1999</v>
      </c>
      <c r="C933" s="15" t="n">
        <f aca="false">MONTH(A933)</f>
        <v>11</v>
      </c>
      <c r="D933" s="15" t="n">
        <f aca="false">DAY(A933)</f>
        <v>30</v>
      </c>
      <c r="E933" s="15" t="n">
        <f aca="false">VLOOKUP(B933,WYT!$A$2:$L$97,12)</f>
        <v>0</v>
      </c>
      <c r="F933" s="15" t="n">
        <f aca="false">IF(C933=$W$5,1,0)</f>
        <v>0</v>
      </c>
      <c r="G933" s="15" t="n">
        <f aca="false">IF(C933=10,0,IF(F933=1,1,G932))</f>
        <v>0</v>
      </c>
      <c r="H933" s="5" t="n">
        <f aca="false">VA_base_426_data!B933</f>
        <v>6660.68562730436</v>
      </c>
      <c r="I933" s="5" t="n">
        <f aca="false">IF(AND(E933=1,OR(C933=4,C933=5)),25*12.1/24/D933*1000,0)</f>
        <v>0</v>
      </c>
      <c r="J933" s="5" t="n">
        <f aca="false">VA_base_426_data!C933</f>
        <v>1700</v>
      </c>
      <c r="K933" s="5" t="n">
        <f aca="false">H933+I933-J933</f>
        <v>4960.68562730436</v>
      </c>
      <c r="L933" s="5" t="n">
        <f aca="false">MIN($W$7,J933+K933)</f>
        <v>2000</v>
      </c>
      <c r="M933" s="5" t="n">
        <f aca="false">VA_base_426_data!D933</f>
        <v>800</v>
      </c>
      <c r="N933" s="5" t="n">
        <f aca="false">IF(AND(C933=10,E933=1),$W$6,N932-P932)</f>
        <v>0</v>
      </c>
      <c r="O933" s="5" t="n">
        <f aca="false">IF(ABS(M933-L933)&gt;1,MIN(N933/((L933-M933)*24/12.1/1000),D933),D933)</f>
        <v>0</v>
      </c>
      <c r="P933" s="5" t="n">
        <f aca="false">MIN(IF(AND(G933,E933),(L933-M933)*24/12.1*O933/1000,0),N933)</f>
        <v>0</v>
      </c>
      <c r="Q933" s="5" t="n">
        <f aca="false">IF(P933&gt;0,P933/O933*12.1/24*1000+M933,0)</f>
        <v>0</v>
      </c>
      <c r="R933" s="0" t="n">
        <f aca="false">IF(Q933&gt;0,TRUNC(O933),0)</f>
        <v>0</v>
      </c>
      <c r="S933" s="5" t="n">
        <f aca="false">(M933*(D933-R933)+(Q933*R933))/D933</f>
        <v>800</v>
      </c>
      <c r="T933" s="6" t="n">
        <f aca="false">(Q933-M933)*R933*24/12.1/1000</f>
        <v>-0</v>
      </c>
    </row>
    <row r="934" customFormat="false" ht="14.35" hidden="false" customHeight="false" outlineLevel="0" collapsed="false">
      <c r="A934" s="4" t="n">
        <v>36160</v>
      </c>
      <c r="B934" s="15" t="n">
        <f aca="false">IF(C934&lt;=9,YEAR(A934),YEAR(A934)+1)</f>
        <v>1999</v>
      </c>
      <c r="C934" s="15" t="n">
        <f aca="false">MONTH(A934)</f>
        <v>12</v>
      </c>
      <c r="D934" s="15" t="n">
        <f aca="false">DAY(A934)</f>
        <v>31</v>
      </c>
      <c r="E934" s="15" t="n">
        <f aca="false">VLOOKUP(B934,WYT!$A$2:$L$97,12)</f>
        <v>0</v>
      </c>
      <c r="F934" s="15" t="n">
        <f aca="false">IF(C934=$W$5,1,0)</f>
        <v>0</v>
      </c>
      <c r="G934" s="15" t="n">
        <f aca="false">IF(C934=10,0,IF(F934=1,1,G933))</f>
        <v>0</v>
      </c>
      <c r="H934" s="5" t="n">
        <f aca="false">VA_base_426_data!B934</f>
        <v>4749.65621752564</v>
      </c>
      <c r="I934" s="5" t="n">
        <f aca="false">IF(AND(E934=1,OR(C934=4,C934=5)),25*12.1/24/D934*1000,0)</f>
        <v>0</v>
      </c>
      <c r="J934" s="5" t="n">
        <f aca="false">VA_base_426_data!C934</f>
        <v>1700</v>
      </c>
      <c r="K934" s="5" t="n">
        <f aca="false">H934+I934-J934</f>
        <v>3049.65621752564</v>
      </c>
      <c r="L934" s="5" t="n">
        <f aca="false">MIN($W$7,J934+K934)</f>
        <v>2000</v>
      </c>
      <c r="M934" s="5" t="n">
        <f aca="false">VA_base_426_data!D934</f>
        <v>800</v>
      </c>
      <c r="N934" s="5" t="n">
        <f aca="false">IF(AND(C934=10,E934=1),$W$6,N933-P933)</f>
        <v>0</v>
      </c>
      <c r="O934" s="5" t="n">
        <f aca="false">IF(ABS(M934-L934)&gt;1,MIN(N934/((L934-M934)*24/12.1/1000),D934),D934)</f>
        <v>0</v>
      </c>
      <c r="P934" s="5" t="n">
        <f aca="false">MIN(IF(AND(G934,E934),(L934-M934)*24/12.1*O934/1000,0),N934)</f>
        <v>0</v>
      </c>
      <c r="Q934" s="5" t="n">
        <f aca="false">IF(P934&gt;0,P934/O934*12.1/24*1000+M934,0)</f>
        <v>0</v>
      </c>
      <c r="R934" s="0" t="n">
        <f aca="false">IF(Q934&gt;0,TRUNC(O934),0)</f>
        <v>0</v>
      </c>
      <c r="S934" s="5" t="n">
        <f aca="false">(M934*(D934-R934)+(Q934*R934))/D934</f>
        <v>800</v>
      </c>
      <c r="T934" s="6" t="n">
        <f aca="false">(Q934-M934)*R934*24/12.1/1000</f>
        <v>-0</v>
      </c>
    </row>
    <row r="935" customFormat="false" ht="14.35" hidden="false" customHeight="false" outlineLevel="0" collapsed="false">
      <c r="A935" s="4" t="n">
        <v>36191</v>
      </c>
      <c r="B935" s="15" t="n">
        <f aca="false">IF(C935&lt;=9,YEAR(A935),YEAR(A935)+1)</f>
        <v>1999</v>
      </c>
      <c r="C935" s="15" t="n">
        <f aca="false">MONTH(A935)</f>
        <v>1</v>
      </c>
      <c r="D935" s="15" t="n">
        <f aca="false">DAY(A935)</f>
        <v>31</v>
      </c>
      <c r="E935" s="15" t="n">
        <f aca="false">VLOOKUP(B935,WYT!$A$2:$L$97,12)</f>
        <v>0</v>
      </c>
      <c r="F935" s="15" t="n">
        <f aca="false">IF(C935=$W$5,1,0)</f>
        <v>0</v>
      </c>
      <c r="G935" s="15" t="n">
        <f aca="false">IF(C935=10,0,IF(F935=1,1,G934))</f>
        <v>0</v>
      </c>
      <c r="H935" s="5" t="n">
        <f aca="false">VA_base_426_data!B935</f>
        <v>13307.3849549814</v>
      </c>
      <c r="I935" s="5" t="n">
        <f aca="false">IF(AND(E935=1,OR(C935=4,C935=5)),25*12.1/24/D935*1000,0)</f>
        <v>0</v>
      </c>
      <c r="J935" s="5" t="n">
        <f aca="false">VA_base_426_data!C935</f>
        <v>1700</v>
      </c>
      <c r="K935" s="5" t="n">
        <f aca="false">H935+I935-J935</f>
        <v>11607.3849549814</v>
      </c>
      <c r="L935" s="5" t="n">
        <f aca="false">MIN($W$7,J935+K935)</f>
        <v>2000</v>
      </c>
      <c r="M935" s="5" t="n">
        <f aca="false">VA_base_426_data!D935</f>
        <v>800</v>
      </c>
      <c r="N935" s="5" t="n">
        <f aca="false">IF(AND(C935=10,E935=1),$W$6,N934-P934)</f>
        <v>0</v>
      </c>
      <c r="O935" s="5" t="n">
        <f aca="false">IF(ABS(M935-L935)&gt;1,MIN(N935/((L935-M935)*24/12.1/1000),D935),D935)</f>
        <v>0</v>
      </c>
      <c r="P935" s="5" t="n">
        <f aca="false">MIN(IF(AND(G935,E935),(L935-M935)*24/12.1*O935/1000,0),N935)</f>
        <v>0</v>
      </c>
      <c r="Q935" s="5" t="n">
        <f aca="false">IF(P935&gt;0,P935/O935*12.1/24*1000+M935,0)</f>
        <v>0</v>
      </c>
      <c r="R935" s="0" t="n">
        <f aca="false">IF(Q935&gt;0,TRUNC(O935),0)</f>
        <v>0</v>
      </c>
      <c r="S935" s="5" t="n">
        <f aca="false">(M935*(D935-R935)+(Q935*R935))/D935</f>
        <v>800</v>
      </c>
      <c r="T935" s="6" t="n">
        <f aca="false">(Q935-M935)*R935*24/12.1/1000</f>
        <v>-0</v>
      </c>
    </row>
    <row r="936" customFormat="false" ht="14.35" hidden="false" customHeight="false" outlineLevel="0" collapsed="false">
      <c r="A936" s="4" t="n">
        <v>36219</v>
      </c>
      <c r="B936" s="15" t="n">
        <f aca="false">IF(C936&lt;=9,YEAR(A936),YEAR(A936)+1)</f>
        <v>1999</v>
      </c>
      <c r="C936" s="15" t="n">
        <f aca="false">MONTH(A936)</f>
        <v>2</v>
      </c>
      <c r="D936" s="15" t="n">
        <f aca="false">DAY(A936)</f>
        <v>28</v>
      </c>
      <c r="E936" s="15" t="n">
        <f aca="false">VLOOKUP(B936,WYT!$A$2:$L$97,12)</f>
        <v>0</v>
      </c>
      <c r="F936" s="15" t="n">
        <f aca="false">IF(C936=$W$5,1,0)</f>
        <v>1</v>
      </c>
      <c r="G936" s="15" t="n">
        <f aca="false">IF(C936=10,0,IF(F936=1,1,G935))</f>
        <v>1</v>
      </c>
      <c r="H936" s="5" t="n">
        <f aca="false">VA_base_426_data!B936</f>
        <v>16570.8642036046</v>
      </c>
      <c r="I936" s="5" t="n">
        <f aca="false">IF(AND(E936=1,OR(C936=4,C936=5)),25*12.1/24/D936*1000,0)</f>
        <v>0</v>
      </c>
      <c r="J936" s="5" t="n">
        <f aca="false">VA_base_426_data!C936</f>
        <v>1700</v>
      </c>
      <c r="K936" s="5" t="n">
        <f aca="false">H936+I936-J936</f>
        <v>14870.8642036046</v>
      </c>
      <c r="L936" s="5" t="n">
        <f aca="false">MIN($W$7,J936+K936)</f>
        <v>2000</v>
      </c>
      <c r="M936" s="5" t="n">
        <f aca="false">VA_base_426_data!D936</f>
        <v>800</v>
      </c>
      <c r="N936" s="5" t="n">
        <f aca="false">IF(AND(C936=10,E936=1),$W$6,N935-P935)</f>
        <v>0</v>
      </c>
      <c r="O936" s="5" t="n">
        <f aca="false">IF(ABS(M936-L936)&gt;1,MIN(N936/((L936-M936)*24/12.1/1000),D936),D936)</f>
        <v>0</v>
      </c>
      <c r="P936" s="5" t="n">
        <f aca="false">MIN(IF(AND(G936,E936),(L936-M936)*24/12.1*O936/1000,0),N936)</f>
        <v>0</v>
      </c>
      <c r="Q936" s="5" t="n">
        <f aca="false">IF(P936&gt;0,P936/O936*12.1/24*1000+M936,0)</f>
        <v>0</v>
      </c>
      <c r="R936" s="0" t="n">
        <f aca="false">IF(Q936&gt;0,TRUNC(O936),0)</f>
        <v>0</v>
      </c>
      <c r="S936" s="5" t="n">
        <f aca="false">(M936*(D936-R936)+(Q936*R936))/D936</f>
        <v>800</v>
      </c>
      <c r="T936" s="6" t="n">
        <f aca="false">(Q936-M936)*R936*24/12.1/1000</f>
        <v>-0</v>
      </c>
    </row>
    <row r="937" customFormat="false" ht="14.35" hidden="false" customHeight="false" outlineLevel="0" collapsed="false">
      <c r="A937" s="4" t="n">
        <v>36250</v>
      </c>
      <c r="B937" s="15" t="n">
        <f aca="false">IF(C937&lt;=9,YEAR(A937),YEAR(A937)+1)</f>
        <v>1999</v>
      </c>
      <c r="C937" s="15" t="n">
        <f aca="false">MONTH(A937)</f>
        <v>3</v>
      </c>
      <c r="D937" s="15" t="n">
        <f aca="false">DAY(A937)</f>
        <v>31</v>
      </c>
      <c r="E937" s="15" t="n">
        <f aca="false">VLOOKUP(B937,WYT!$A$2:$L$97,12)</f>
        <v>0</v>
      </c>
      <c r="F937" s="15" t="n">
        <f aca="false">IF(C937=$W$5,1,0)</f>
        <v>0</v>
      </c>
      <c r="G937" s="15" t="n">
        <f aca="false">IF(C937=10,0,IF(F937=1,1,G936))</f>
        <v>1</v>
      </c>
      <c r="H937" s="5" t="n">
        <f aca="false">VA_base_426_data!B937</f>
        <v>11340.5273068638</v>
      </c>
      <c r="I937" s="5" t="n">
        <f aca="false">IF(AND(E937=1,OR(C937=4,C937=5)),25*12.1/24/D937*1000,0)</f>
        <v>0</v>
      </c>
      <c r="J937" s="5" t="n">
        <f aca="false">VA_base_426_data!C937</f>
        <v>1700</v>
      </c>
      <c r="K937" s="5" t="n">
        <f aca="false">H937+I937-J937</f>
        <v>9640.52730686382</v>
      </c>
      <c r="L937" s="5" t="n">
        <f aca="false">MIN($W$7,J937+K937)</f>
        <v>2000</v>
      </c>
      <c r="M937" s="5" t="n">
        <f aca="false">VA_base_426_data!D937</f>
        <v>800</v>
      </c>
      <c r="N937" s="5" t="n">
        <f aca="false">IF(AND(C937=10,E937=1),$W$6,N936-P936)</f>
        <v>0</v>
      </c>
      <c r="O937" s="5" t="n">
        <f aca="false">IF(ABS(M937-L937)&gt;1,MIN(N937/((L937-M937)*24/12.1/1000),D937),D937)</f>
        <v>0</v>
      </c>
      <c r="P937" s="5" t="n">
        <f aca="false">MIN(IF(AND(G937,E937),(L937-M937)*24/12.1*O937/1000,0),N937)</f>
        <v>0</v>
      </c>
      <c r="Q937" s="5" t="n">
        <f aca="false">IF(P937&gt;0,P937/O937*12.1/24*1000+M937,0)</f>
        <v>0</v>
      </c>
      <c r="R937" s="0" t="n">
        <f aca="false">IF(Q937&gt;0,TRUNC(O937),0)</f>
        <v>0</v>
      </c>
      <c r="S937" s="5" t="n">
        <f aca="false">(M937*(D937-R937)+(Q937*R937))/D937</f>
        <v>800</v>
      </c>
      <c r="T937" s="6" t="n">
        <f aca="false">(Q937-M937)*R937*24/12.1/1000</f>
        <v>-0</v>
      </c>
    </row>
    <row r="938" customFormat="false" ht="14.35" hidden="false" customHeight="false" outlineLevel="0" collapsed="false">
      <c r="A938" s="4" t="n">
        <v>36280</v>
      </c>
      <c r="B938" s="15" t="n">
        <f aca="false">IF(C938&lt;=9,YEAR(A938),YEAR(A938)+1)</f>
        <v>1999</v>
      </c>
      <c r="C938" s="15" t="n">
        <f aca="false">MONTH(A938)</f>
        <v>4</v>
      </c>
      <c r="D938" s="15" t="n">
        <f aca="false">DAY(A938)</f>
        <v>30</v>
      </c>
      <c r="E938" s="15" t="n">
        <f aca="false">VLOOKUP(B938,WYT!$A$2:$L$97,12)</f>
        <v>0</v>
      </c>
      <c r="F938" s="15" t="n">
        <f aca="false">IF(C938=$W$5,1,0)</f>
        <v>0</v>
      </c>
      <c r="G938" s="15" t="n">
        <f aca="false">IF(C938=10,0,IF(F938=1,1,G937))</f>
        <v>1</v>
      </c>
      <c r="H938" s="5" t="n">
        <f aca="false">VA_base_426_data!B938</f>
        <v>1000</v>
      </c>
      <c r="I938" s="5" t="n">
        <f aca="false">IF(AND(E938=1,OR(C938=4,C938=5)),25*12.1/24/D938*1000,0)</f>
        <v>0</v>
      </c>
      <c r="J938" s="5" t="n">
        <f aca="false">VA_base_426_data!C938</f>
        <v>1000</v>
      </c>
      <c r="K938" s="5" t="n">
        <f aca="false">H938+I938-J938</f>
        <v>0</v>
      </c>
      <c r="L938" s="5" t="n">
        <f aca="false">MIN($W$7,J938+K938)</f>
        <v>1000</v>
      </c>
      <c r="M938" s="5" t="n">
        <f aca="false">VA_base_426_data!D938</f>
        <v>700</v>
      </c>
      <c r="N938" s="5" t="n">
        <f aca="false">IF(AND(C938=10,E938=1),$W$6,N937-P937)</f>
        <v>0</v>
      </c>
      <c r="O938" s="5" t="n">
        <f aca="false">IF(ABS(M938-L938)&gt;1,MIN(N938/((L938-M938)*24/12.1/1000),D938),D938)</f>
        <v>0</v>
      </c>
      <c r="P938" s="5" t="n">
        <f aca="false">MIN(IF(AND(G938,E938),(L938-M938)*24/12.1*O938/1000,0),N938)</f>
        <v>0</v>
      </c>
      <c r="Q938" s="5" t="n">
        <f aca="false">IF(P938&gt;0,P938/O938*12.1/24*1000+M938,0)</f>
        <v>0</v>
      </c>
      <c r="R938" s="0" t="n">
        <f aca="false">IF(Q938&gt;0,TRUNC(O938),0)</f>
        <v>0</v>
      </c>
      <c r="S938" s="5" t="n">
        <f aca="false">(M938*(D938-R938)+(Q938*R938))/D938</f>
        <v>700</v>
      </c>
      <c r="T938" s="6" t="n">
        <f aca="false">(Q938-M938)*R938*24/12.1/1000</f>
        <v>-0</v>
      </c>
    </row>
    <row r="939" customFormat="false" ht="14.35" hidden="false" customHeight="false" outlineLevel="0" collapsed="false">
      <c r="A939" s="4" t="n">
        <v>36311</v>
      </c>
      <c r="B939" s="15" t="n">
        <f aca="false">IF(C939&lt;=9,YEAR(A939),YEAR(A939)+1)</f>
        <v>1999</v>
      </c>
      <c r="C939" s="15" t="n">
        <f aca="false">MONTH(A939)</f>
        <v>5</v>
      </c>
      <c r="D939" s="15" t="n">
        <f aca="false">DAY(A939)</f>
        <v>31</v>
      </c>
      <c r="E939" s="15" t="n">
        <f aca="false">VLOOKUP(B939,WYT!$A$2:$L$97,12)</f>
        <v>0</v>
      </c>
      <c r="F939" s="15" t="n">
        <f aca="false">IF(C939=$W$5,1,0)</f>
        <v>0</v>
      </c>
      <c r="G939" s="15" t="n">
        <f aca="false">IF(C939=10,0,IF(F939=1,1,G938))</f>
        <v>1</v>
      </c>
      <c r="H939" s="5" t="n">
        <f aca="false">VA_base_426_data!B939</f>
        <v>1000</v>
      </c>
      <c r="I939" s="5" t="n">
        <f aca="false">IF(AND(E939=1,OR(C939=4,C939=5)),25*12.1/24/D939*1000,0)</f>
        <v>0</v>
      </c>
      <c r="J939" s="5" t="n">
        <f aca="false">VA_base_426_data!C939</f>
        <v>1000</v>
      </c>
      <c r="K939" s="5" t="n">
        <f aca="false">H939+I939-J939</f>
        <v>0</v>
      </c>
      <c r="L939" s="5" t="n">
        <f aca="false">MIN($W$7,J939+K939)</f>
        <v>1000</v>
      </c>
      <c r="M939" s="5" t="n">
        <f aca="false">VA_base_426_data!D939</f>
        <v>700</v>
      </c>
      <c r="N939" s="5" t="n">
        <f aca="false">IF(AND(C939=10,E939=1),$W$6,N938-P938)</f>
        <v>0</v>
      </c>
      <c r="O939" s="5" t="n">
        <f aca="false">IF(ABS(M939-L939)&gt;1,MIN(N939/((L939-M939)*24/12.1/1000),D939),D939)</f>
        <v>0</v>
      </c>
      <c r="P939" s="5" t="n">
        <f aca="false">MIN(IF(AND(G939,E939),(L939-M939)*24/12.1*O939/1000,0),N939)</f>
        <v>0</v>
      </c>
      <c r="Q939" s="5" t="n">
        <f aca="false">IF(P939&gt;0,P939/O939*12.1/24*1000+M939,0)</f>
        <v>0</v>
      </c>
      <c r="R939" s="0" t="n">
        <f aca="false">IF(Q939&gt;0,TRUNC(O939),0)</f>
        <v>0</v>
      </c>
      <c r="S939" s="5" t="n">
        <f aca="false">(M939*(D939-R939)+(Q939*R939))/D939</f>
        <v>700</v>
      </c>
      <c r="T939" s="6" t="n">
        <f aca="false">(Q939-M939)*R939*24/12.1/1000</f>
        <v>-0</v>
      </c>
    </row>
    <row r="940" customFormat="false" ht="14.35" hidden="false" customHeight="false" outlineLevel="0" collapsed="false">
      <c r="A940" s="4" t="n">
        <v>36341</v>
      </c>
      <c r="B940" s="15" t="n">
        <f aca="false">IF(C940&lt;=9,YEAR(A940),YEAR(A940)+1)</f>
        <v>1999</v>
      </c>
      <c r="C940" s="15" t="n">
        <f aca="false">MONTH(A940)</f>
        <v>6</v>
      </c>
      <c r="D940" s="15" t="n">
        <f aca="false">DAY(A940)</f>
        <v>30</v>
      </c>
      <c r="E940" s="15" t="n">
        <f aca="false">VLOOKUP(B940,WYT!$A$2:$L$97,12)</f>
        <v>0</v>
      </c>
      <c r="F940" s="15" t="n">
        <f aca="false">IF(C940=$W$5,1,0)</f>
        <v>0</v>
      </c>
      <c r="G940" s="15" t="n">
        <f aca="false">IF(C940=10,0,IF(F940=1,1,G939))</f>
        <v>1</v>
      </c>
      <c r="H940" s="5" t="n">
        <f aca="false">VA_base_426_data!B940</f>
        <v>1693.62323528577</v>
      </c>
      <c r="I940" s="5" t="n">
        <f aca="false">IF(AND(E940=1,OR(C940=4,C940=5)),25*12.1/24/D940*1000,0)</f>
        <v>0</v>
      </c>
      <c r="J940" s="5" t="n">
        <f aca="false">VA_base_426_data!C940</f>
        <v>1000</v>
      </c>
      <c r="K940" s="5" t="n">
        <f aca="false">H940+I940-J940</f>
        <v>693.623235285773</v>
      </c>
      <c r="L940" s="5" t="n">
        <f aca="false">MIN($W$7,J940+K940)</f>
        <v>1693.62323528577</v>
      </c>
      <c r="M940" s="5" t="n">
        <f aca="false">VA_base_426_data!D940</f>
        <v>700</v>
      </c>
      <c r="N940" s="5" t="n">
        <f aca="false">IF(AND(C940=10,E940=1),$W$6,N939-P939)</f>
        <v>0</v>
      </c>
      <c r="O940" s="5" t="n">
        <f aca="false">IF(ABS(M940-L940)&gt;1,MIN(N940/((L940-M940)*24/12.1/1000),D940),D940)</f>
        <v>0</v>
      </c>
      <c r="P940" s="5" t="n">
        <f aca="false">MIN(IF(AND(G940,E940),(L940-M940)*24/12.1*O940/1000,0),N940)</f>
        <v>0</v>
      </c>
      <c r="Q940" s="5" t="n">
        <f aca="false">IF(P940&gt;0,P940/O940*12.1/24*1000+M940,0)</f>
        <v>0</v>
      </c>
      <c r="R940" s="0" t="n">
        <f aca="false">IF(Q940&gt;0,TRUNC(O940),0)</f>
        <v>0</v>
      </c>
      <c r="S940" s="5" t="n">
        <f aca="false">(M940*(D940-R940)+(Q940*R940))/D940</f>
        <v>700</v>
      </c>
      <c r="T940" s="6" t="n">
        <f aca="false">(Q940-M940)*R940*24/12.1/1000</f>
        <v>-0</v>
      </c>
    </row>
    <row r="941" customFormat="false" ht="14.35" hidden="false" customHeight="false" outlineLevel="0" collapsed="false">
      <c r="A941" s="4" t="n">
        <v>36372</v>
      </c>
      <c r="B941" s="15" t="n">
        <f aca="false">IF(C941&lt;=9,YEAR(A941),YEAR(A941)+1)</f>
        <v>1999</v>
      </c>
      <c r="C941" s="15" t="n">
        <f aca="false">MONTH(A941)</f>
        <v>7</v>
      </c>
      <c r="D941" s="15" t="n">
        <f aca="false">DAY(A941)</f>
        <v>31</v>
      </c>
      <c r="E941" s="15" t="n">
        <f aca="false">VLOOKUP(B941,WYT!$A$2:$L$97,12)</f>
        <v>0</v>
      </c>
      <c r="F941" s="15" t="n">
        <f aca="false">IF(C941=$W$5,1,0)</f>
        <v>0</v>
      </c>
      <c r="G941" s="15" t="n">
        <f aca="false">IF(C941=10,0,IF(F941=1,1,G940))</f>
        <v>1</v>
      </c>
      <c r="H941" s="5" t="n">
        <f aca="false">VA_base_426_data!B941</f>
        <v>8452.92158199072</v>
      </c>
      <c r="I941" s="5" t="n">
        <f aca="false">IF(AND(E941=1,OR(C941=4,C941=5)),25*12.1/24/D941*1000,0)</f>
        <v>0</v>
      </c>
      <c r="J941" s="5" t="n">
        <f aca="false">VA_base_426_data!C941</f>
        <v>1000</v>
      </c>
      <c r="K941" s="5" t="n">
        <f aca="false">H941+I941-J941</f>
        <v>7452.92158199072</v>
      </c>
      <c r="L941" s="5" t="n">
        <f aca="false">MIN($W$7,J941+K941)</f>
        <v>2000</v>
      </c>
      <c r="M941" s="5" t="n">
        <f aca="false">VA_base_426_data!D941</f>
        <v>700</v>
      </c>
      <c r="N941" s="5" t="n">
        <f aca="false">IF(AND(C941=10,E941=1),$W$6,N940-P940)</f>
        <v>0</v>
      </c>
      <c r="O941" s="5" t="n">
        <f aca="false">IF(ABS(M941-L941)&gt;1,MIN(N941/((L941-M941)*24/12.1/1000),D941),D941)</f>
        <v>0</v>
      </c>
      <c r="P941" s="5" t="n">
        <f aca="false">MIN(IF(AND(G941,E941),(L941-M941)*24/12.1*O941/1000,0),N941)</f>
        <v>0</v>
      </c>
      <c r="Q941" s="5" t="n">
        <f aca="false">IF(P941&gt;0,P941/O941*12.1/24*1000+M941,0)</f>
        <v>0</v>
      </c>
      <c r="R941" s="0" t="n">
        <f aca="false">IF(Q941&gt;0,TRUNC(O941),0)</f>
        <v>0</v>
      </c>
      <c r="S941" s="5" t="n">
        <f aca="false">(M941*(D941-R941)+(Q941*R941))/D941</f>
        <v>700</v>
      </c>
      <c r="T941" s="6" t="n">
        <f aca="false">(Q941-M941)*R941*24/12.1/1000</f>
        <v>-0</v>
      </c>
    </row>
    <row r="942" customFormat="false" ht="14.35" hidden="false" customHeight="false" outlineLevel="0" collapsed="false">
      <c r="A942" s="4" t="n">
        <v>36403</v>
      </c>
      <c r="B942" s="15" t="n">
        <f aca="false">IF(C942&lt;=9,YEAR(A942),YEAR(A942)+1)</f>
        <v>1999</v>
      </c>
      <c r="C942" s="15" t="n">
        <f aca="false">MONTH(A942)</f>
        <v>8</v>
      </c>
      <c r="D942" s="15" t="n">
        <f aca="false">DAY(A942)</f>
        <v>31</v>
      </c>
      <c r="E942" s="15" t="n">
        <f aca="false">VLOOKUP(B942,WYT!$A$2:$L$97,12)</f>
        <v>0</v>
      </c>
      <c r="F942" s="15" t="n">
        <f aca="false">IF(C942=$W$5,1,0)</f>
        <v>0</v>
      </c>
      <c r="G942" s="15" t="n">
        <f aca="false">IF(C942=10,0,IF(F942=1,1,G941))</f>
        <v>1</v>
      </c>
      <c r="H942" s="5" t="n">
        <f aca="false">VA_base_426_data!B942</f>
        <v>4434.87113867867</v>
      </c>
      <c r="I942" s="5" t="n">
        <f aca="false">IF(AND(E942=1,OR(C942=4,C942=5)),25*12.1/24/D942*1000,0)</f>
        <v>0</v>
      </c>
      <c r="J942" s="5" t="n">
        <f aca="false">VA_base_426_data!C942</f>
        <v>1000</v>
      </c>
      <c r="K942" s="5" t="n">
        <f aca="false">H942+I942-J942</f>
        <v>3434.87113867867</v>
      </c>
      <c r="L942" s="5" t="n">
        <f aca="false">MIN($W$7,J942+K942)</f>
        <v>2000</v>
      </c>
      <c r="M942" s="5" t="n">
        <f aca="false">VA_base_426_data!D942</f>
        <v>700</v>
      </c>
      <c r="N942" s="5" t="n">
        <f aca="false">IF(AND(C942=10,E942=1),$W$6,N941-P941)</f>
        <v>0</v>
      </c>
      <c r="O942" s="5" t="n">
        <f aca="false">IF(ABS(M942-L942)&gt;1,MIN(N942/((L942-M942)*24/12.1/1000),D942),D942)</f>
        <v>0</v>
      </c>
      <c r="P942" s="5" t="n">
        <f aca="false">MIN(IF(AND(G942,E942),(L942-M942)*24/12.1*O942/1000,0),N942)</f>
        <v>0</v>
      </c>
      <c r="Q942" s="5" t="n">
        <f aca="false">IF(P942&gt;0,P942/O942*12.1/24*1000+M942,0)</f>
        <v>0</v>
      </c>
      <c r="R942" s="0" t="n">
        <f aca="false">IF(Q942&gt;0,TRUNC(O942),0)</f>
        <v>0</v>
      </c>
      <c r="S942" s="5" t="n">
        <f aca="false">(M942*(D942-R942)+(Q942*R942))/D942</f>
        <v>700</v>
      </c>
      <c r="T942" s="6" t="n">
        <f aca="false">(Q942-M942)*R942*24/12.1/1000</f>
        <v>-0</v>
      </c>
    </row>
    <row r="943" customFormat="false" ht="14.35" hidden="false" customHeight="false" outlineLevel="0" collapsed="false">
      <c r="A943" s="4" t="n">
        <v>36433</v>
      </c>
      <c r="B943" s="15" t="n">
        <f aca="false">IF(C943&lt;=9,YEAR(A943),YEAR(A943)+1)</f>
        <v>1999</v>
      </c>
      <c r="C943" s="15" t="n">
        <f aca="false">MONTH(A943)</f>
        <v>9</v>
      </c>
      <c r="D943" s="15" t="n">
        <f aca="false">DAY(A943)</f>
        <v>30</v>
      </c>
      <c r="E943" s="15" t="n">
        <f aca="false">VLOOKUP(B943,WYT!$A$2:$L$97,12)</f>
        <v>0</v>
      </c>
      <c r="F943" s="15" t="n">
        <f aca="false">IF(C943=$W$5,1,0)</f>
        <v>0</v>
      </c>
      <c r="G943" s="15" t="n">
        <f aca="false">IF(C943=10,0,IF(F943=1,1,G942))</f>
        <v>1</v>
      </c>
      <c r="H943" s="5" t="n">
        <f aca="false">VA_base_426_data!B943</f>
        <v>8450.28504838013</v>
      </c>
      <c r="I943" s="5" t="n">
        <f aca="false">IF(AND(E943=1,OR(C943=4,C943=5)),25*12.1/24/D943*1000,0)</f>
        <v>0</v>
      </c>
      <c r="J943" s="5" t="n">
        <f aca="false">VA_base_426_data!C943</f>
        <v>1000</v>
      </c>
      <c r="K943" s="5" t="n">
        <f aca="false">H943+I943-J943</f>
        <v>7450.28504838013</v>
      </c>
      <c r="L943" s="5" t="n">
        <f aca="false">MIN($W$7,J943+K943)</f>
        <v>2000</v>
      </c>
      <c r="M943" s="5" t="n">
        <f aca="false">VA_base_426_data!D943</f>
        <v>773.3333333</v>
      </c>
      <c r="N943" s="5" t="n">
        <f aca="false">IF(AND(C943=10,E943=1),$W$6,N942-P942)</f>
        <v>0</v>
      </c>
      <c r="O943" s="5" t="n">
        <f aca="false">IF(ABS(M943-L943)&gt;1,MIN(N943/((L943-M943)*24/12.1/1000),D943),D943)</f>
        <v>0</v>
      </c>
      <c r="P943" s="5" t="n">
        <f aca="false">MIN(IF(AND(G943,E943),(L943-M943)*24/12.1*O943/1000,0),N943)</f>
        <v>0</v>
      </c>
      <c r="Q943" s="5" t="n">
        <f aca="false">IF(P943&gt;0,P943/O943*12.1/24*1000+M943,0)</f>
        <v>0</v>
      </c>
      <c r="R943" s="0" t="n">
        <f aca="false">IF(Q943&gt;0,TRUNC(O943),0)</f>
        <v>0</v>
      </c>
      <c r="S943" s="5" t="n">
        <f aca="false">(M943*(D943-R943)+(Q943*R943))/D943</f>
        <v>773.3333333</v>
      </c>
      <c r="T943" s="6" t="n">
        <f aca="false">(Q943-M943)*R943*24/12.1/1000</f>
        <v>-0</v>
      </c>
    </row>
    <row r="944" customFormat="false" ht="14.35" hidden="false" customHeight="false" outlineLevel="0" collapsed="false">
      <c r="A944" s="4" t="n">
        <v>36464</v>
      </c>
      <c r="B944" s="15" t="n">
        <f aca="false">IF(C944&lt;=9,YEAR(A944),YEAR(A944)+1)</f>
        <v>2000</v>
      </c>
      <c r="C944" s="15" t="n">
        <f aca="false">MONTH(A944)</f>
        <v>10</v>
      </c>
      <c r="D944" s="15" t="n">
        <f aca="false">DAY(A944)</f>
        <v>31</v>
      </c>
      <c r="E944" s="15" t="n">
        <f aca="false">VLOOKUP(B944,WYT!$A$2:$L$97,12)</f>
        <v>1</v>
      </c>
      <c r="F944" s="15" t="n">
        <f aca="false">IF(C944=$W$5,1,0)</f>
        <v>0</v>
      </c>
      <c r="G944" s="15" t="n">
        <f aca="false">IF(C944=10,0,IF(F944=1,1,G943))</f>
        <v>0</v>
      </c>
      <c r="H944" s="5" t="n">
        <f aca="false">VA_base_426_data!B944</f>
        <v>4000</v>
      </c>
      <c r="I944" s="5" t="n">
        <f aca="false">IF(AND(E944=1,OR(C944=4,C944=5)),25*12.1/24/D944*1000,0)</f>
        <v>0</v>
      </c>
      <c r="J944" s="5" t="n">
        <f aca="false">VA_base_426_data!C944</f>
        <v>1700</v>
      </c>
      <c r="K944" s="5" t="n">
        <f aca="false">H944+I944-J944</f>
        <v>2300</v>
      </c>
      <c r="L944" s="5" t="n">
        <f aca="false">MIN($W$7,J944+K944)</f>
        <v>2000</v>
      </c>
      <c r="M944" s="5" t="n">
        <f aca="false">VA_base_426_data!D944</f>
        <v>800</v>
      </c>
      <c r="N944" s="5" t="n">
        <f aca="false">IF(AND(C944=10,E944=1),$W$6,N943-P943)</f>
        <v>43</v>
      </c>
      <c r="O944" s="5" t="n">
        <f aca="false">IF(ABS(M944-L944)&gt;1,MIN(N944/((L944-M944)*24/12.1/1000),D944),D944)</f>
        <v>18.0659722222222</v>
      </c>
      <c r="P944" s="5" t="n">
        <f aca="false">MIN(IF(AND(G944,E944),(L944-M944)*24/12.1*O944/1000,0),N944)</f>
        <v>0</v>
      </c>
      <c r="Q944" s="5" t="n">
        <f aca="false">IF(P944&gt;0,P944/O944*12.1/24*1000+M944,0)</f>
        <v>0</v>
      </c>
      <c r="R944" s="0" t="n">
        <f aca="false">IF(Q944&gt;0,TRUNC(O944),0)</f>
        <v>0</v>
      </c>
      <c r="S944" s="5" t="n">
        <f aca="false">(M944*(D944-R944)+(Q944*R944))/D944</f>
        <v>800</v>
      </c>
      <c r="T944" s="6" t="n">
        <f aca="false">(Q944-M944)*R944*24/12.1/1000</f>
        <v>-0</v>
      </c>
    </row>
    <row r="945" customFormat="false" ht="14.35" hidden="false" customHeight="false" outlineLevel="0" collapsed="false">
      <c r="A945" s="4" t="n">
        <v>36494</v>
      </c>
      <c r="B945" s="15" t="n">
        <f aca="false">IF(C945&lt;=9,YEAR(A945),YEAR(A945)+1)</f>
        <v>2000</v>
      </c>
      <c r="C945" s="15" t="n">
        <f aca="false">MONTH(A945)</f>
        <v>11</v>
      </c>
      <c r="D945" s="15" t="n">
        <f aca="false">DAY(A945)</f>
        <v>30</v>
      </c>
      <c r="E945" s="15" t="n">
        <f aca="false">VLOOKUP(B945,WYT!$A$2:$L$97,12)</f>
        <v>1</v>
      </c>
      <c r="F945" s="15" t="n">
        <f aca="false">IF(C945=$W$5,1,0)</f>
        <v>0</v>
      </c>
      <c r="G945" s="15" t="n">
        <f aca="false">IF(C945=10,0,IF(F945=1,1,G944))</f>
        <v>0</v>
      </c>
      <c r="H945" s="5" t="n">
        <f aca="false">VA_base_426_data!B945</f>
        <v>3016.6407795485</v>
      </c>
      <c r="I945" s="5" t="n">
        <f aca="false">IF(AND(E945=1,OR(C945=4,C945=5)),25*12.1/24/D945*1000,0)</f>
        <v>0</v>
      </c>
      <c r="J945" s="5" t="n">
        <f aca="false">VA_base_426_data!C945</f>
        <v>1700</v>
      </c>
      <c r="K945" s="5" t="n">
        <f aca="false">H945+I945-J945</f>
        <v>1316.6407795485</v>
      </c>
      <c r="L945" s="5" t="n">
        <f aca="false">MIN($W$7,J945+K945)</f>
        <v>2000</v>
      </c>
      <c r="M945" s="5" t="n">
        <f aca="false">VA_base_426_data!D945</f>
        <v>800</v>
      </c>
      <c r="N945" s="5" t="n">
        <f aca="false">IF(AND(C945=10,E945=1),$W$6,N944-P944)</f>
        <v>43</v>
      </c>
      <c r="O945" s="5" t="n">
        <f aca="false">IF(ABS(M945-L945)&gt;1,MIN(N945/((L945-M945)*24/12.1/1000),D945),D945)</f>
        <v>18.0659722222222</v>
      </c>
      <c r="P945" s="5" t="n">
        <f aca="false">MIN(IF(AND(G945,E945),(L945-M945)*24/12.1*O945/1000,0),N945)</f>
        <v>0</v>
      </c>
      <c r="Q945" s="5" t="n">
        <f aca="false">IF(P945&gt;0,P945/O945*12.1/24*1000+M945,0)</f>
        <v>0</v>
      </c>
      <c r="R945" s="0" t="n">
        <f aca="false">IF(Q945&gt;0,TRUNC(O945),0)</f>
        <v>0</v>
      </c>
      <c r="S945" s="5" t="n">
        <f aca="false">(M945*(D945-R945)+(Q945*R945))/D945</f>
        <v>800</v>
      </c>
      <c r="T945" s="6" t="n">
        <f aca="false">(Q945-M945)*R945*24/12.1/1000</f>
        <v>-0</v>
      </c>
    </row>
    <row r="946" customFormat="false" ht="14.35" hidden="false" customHeight="false" outlineLevel="0" collapsed="false">
      <c r="A946" s="4" t="n">
        <v>36525</v>
      </c>
      <c r="B946" s="15" t="n">
        <f aca="false">IF(C946&lt;=9,YEAR(A946),YEAR(A946)+1)</f>
        <v>2000</v>
      </c>
      <c r="C946" s="15" t="n">
        <f aca="false">MONTH(A946)</f>
        <v>12</v>
      </c>
      <c r="D946" s="15" t="n">
        <f aca="false">DAY(A946)</f>
        <v>31</v>
      </c>
      <c r="E946" s="15" t="n">
        <f aca="false">VLOOKUP(B946,WYT!$A$2:$L$97,12)</f>
        <v>1</v>
      </c>
      <c r="F946" s="15" t="n">
        <f aca="false">IF(C946=$W$5,1,0)</f>
        <v>0</v>
      </c>
      <c r="G946" s="15" t="n">
        <f aca="false">IF(C946=10,0,IF(F946=1,1,G945))</f>
        <v>0</v>
      </c>
      <c r="H946" s="5" t="n">
        <f aca="false">VA_base_426_data!B946</f>
        <v>5367.55554463363</v>
      </c>
      <c r="I946" s="5" t="n">
        <f aca="false">IF(AND(E946=1,OR(C946=4,C946=5)),25*12.1/24/D946*1000,0)</f>
        <v>0</v>
      </c>
      <c r="J946" s="5" t="n">
        <f aca="false">VA_base_426_data!C946</f>
        <v>1700</v>
      </c>
      <c r="K946" s="5" t="n">
        <f aca="false">H946+I946-J946</f>
        <v>3667.55554463363</v>
      </c>
      <c r="L946" s="5" t="n">
        <f aca="false">MIN($W$7,J946+K946)</f>
        <v>2000</v>
      </c>
      <c r="M946" s="5" t="n">
        <f aca="false">VA_base_426_data!D946</f>
        <v>800</v>
      </c>
      <c r="N946" s="5" t="n">
        <f aca="false">IF(AND(C946=10,E946=1),$W$6,N945-P945)</f>
        <v>43</v>
      </c>
      <c r="O946" s="5" t="n">
        <f aca="false">IF(ABS(M946-L946)&gt;1,MIN(N946/((L946-M946)*24/12.1/1000),D946),D946)</f>
        <v>18.0659722222222</v>
      </c>
      <c r="P946" s="5" t="n">
        <f aca="false">MIN(IF(AND(G946,E946),(L946-M946)*24/12.1*O946/1000,0),N946)</f>
        <v>0</v>
      </c>
      <c r="Q946" s="5" t="n">
        <f aca="false">IF(P946&gt;0,P946/O946*12.1/24*1000+M946,0)</f>
        <v>0</v>
      </c>
      <c r="R946" s="0" t="n">
        <f aca="false">IF(Q946&gt;0,TRUNC(O946),0)</f>
        <v>0</v>
      </c>
      <c r="S946" s="5" t="n">
        <f aca="false">(M946*(D946-R946)+(Q946*R946))/D946</f>
        <v>800</v>
      </c>
      <c r="T946" s="6" t="n">
        <f aca="false">(Q946-M946)*R946*24/12.1/1000</f>
        <v>-0</v>
      </c>
    </row>
    <row r="947" customFormat="false" ht="14.35" hidden="false" customHeight="false" outlineLevel="0" collapsed="false">
      <c r="A947" s="4" t="n">
        <v>36556</v>
      </c>
      <c r="B947" s="15" t="n">
        <f aca="false">IF(C947&lt;=9,YEAR(A947),YEAR(A947)+1)</f>
        <v>2000</v>
      </c>
      <c r="C947" s="15" t="n">
        <f aca="false">MONTH(A947)</f>
        <v>1</v>
      </c>
      <c r="D947" s="15" t="n">
        <f aca="false">DAY(A947)</f>
        <v>31</v>
      </c>
      <c r="E947" s="15" t="n">
        <f aca="false">VLOOKUP(B947,WYT!$A$2:$L$97,12)</f>
        <v>1</v>
      </c>
      <c r="F947" s="15" t="n">
        <f aca="false">IF(C947=$W$5,1,0)</f>
        <v>0</v>
      </c>
      <c r="G947" s="15" t="n">
        <f aca="false">IF(C947=10,0,IF(F947=1,1,G946))</f>
        <v>0</v>
      </c>
      <c r="H947" s="5" t="n">
        <f aca="false">VA_base_426_data!B947</f>
        <v>1700</v>
      </c>
      <c r="I947" s="5" t="n">
        <f aca="false">IF(AND(E947=1,OR(C947=4,C947=5)),25*12.1/24/D947*1000,0)</f>
        <v>0</v>
      </c>
      <c r="J947" s="5" t="n">
        <f aca="false">VA_base_426_data!C947</f>
        <v>1700</v>
      </c>
      <c r="K947" s="5" t="n">
        <f aca="false">H947+I947-J947</f>
        <v>0</v>
      </c>
      <c r="L947" s="5" t="n">
        <f aca="false">MIN($W$7,J947+K947)</f>
        <v>1700</v>
      </c>
      <c r="M947" s="5" t="n">
        <f aca="false">VA_base_426_data!D947</f>
        <v>800</v>
      </c>
      <c r="N947" s="5" t="n">
        <f aca="false">IF(AND(C947=10,E947=1),$W$6,N946-P946)</f>
        <v>43</v>
      </c>
      <c r="O947" s="5" t="n">
        <f aca="false">IF(ABS(M947-L947)&gt;1,MIN(N947/((L947-M947)*24/12.1/1000),D947),D947)</f>
        <v>24.087962962963</v>
      </c>
      <c r="P947" s="5" t="n">
        <f aca="false">MIN(IF(AND(G947,E947),(L947-M947)*24/12.1*O947/1000,0),N947)</f>
        <v>0</v>
      </c>
      <c r="Q947" s="5" t="n">
        <f aca="false">IF(P947&gt;0,P947/O947*12.1/24*1000+M947,0)</f>
        <v>0</v>
      </c>
      <c r="R947" s="0" t="n">
        <f aca="false">IF(Q947&gt;0,TRUNC(O947),0)</f>
        <v>0</v>
      </c>
      <c r="S947" s="5" t="n">
        <f aca="false">(M947*(D947-R947)+(Q947*R947))/D947</f>
        <v>800</v>
      </c>
      <c r="T947" s="6" t="n">
        <f aca="false">(Q947-M947)*R947*24/12.1/1000</f>
        <v>-0</v>
      </c>
    </row>
    <row r="948" customFormat="false" ht="14.35" hidden="false" customHeight="false" outlineLevel="0" collapsed="false">
      <c r="A948" s="4" t="n">
        <v>36585</v>
      </c>
      <c r="B948" s="15" t="n">
        <f aca="false">IF(C948&lt;=9,YEAR(A948),YEAR(A948)+1)</f>
        <v>2000</v>
      </c>
      <c r="C948" s="15" t="n">
        <f aca="false">MONTH(A948)</f>
        <v>2</v>
      </c>
      <c r="D948" s="15" t="n">
        <f aca="false">DAY(A948)</f>
        <v>29</v>
      </c>
      <c r="E948" s="15" t="n">
        <f aca="false">VLOOKUP(B948,WYT!$A$2:$L$97,12)</f>
        <v>1</v>
      </c>
      <c r="F948" s="15" t="n">
        <f aca="false">IF(C948=$W$5,1,0)</f>
        <v>1</v>
      </c>
      <c r="G948" s="15" t="n">
        <f aca="false">IF(C948=10,0,IF(F948=1,1,G947))</f>
        <v>1</v>
      </c>
      <c r="H948" s="5" t="n">
        <f aca="false">VA_base_426_data!B948</f>
        <v>1700.00000000001</v>
      </c>
      <c r="I948" s="5" t="n">
        <f aca="false">IF(AND(E948=1,OR(C948=4,C948=5)),25*12.1/24/D948*1000,0)</f>
        <v>0</v>
      </c>
      <c r="J948" s="5" t="n">
        <f aca="false">VA_base_426_data!C948</f>
        <v>1700</v>
      </c>
      <c r="K948" s="5" t="n">
        <f aca="false">H948+I948-J948</f>
        <v>1.11413100967184E-011</v>
      </c>
      <c r="L948" s="5" t="n">
        <f aca="false">MIN($W$7,J948+K948)</f>
        <v>1700.00000000001</v>
      </c>
      <c r="M948" s="5" t="n">
        <f aca="false">VA_base_426_data!D948</f>
        <v>800</v>
      </c>
      <c r="N948" s="5" t="n">
        <f aca="false">IF(AND(C948=10,E948=1),$W$6,N947-P947)</f>
        <v>43</v>
      </c>
      <c r="O948" s="5" t="n">
        <f aca="false">IF(ABS(M948-L948)&gt;1,MIN(N948/((L948-M948)*24/12.1/1000),D948),D948)</f>
        <v>24.0879629629627</v>
      </c>
      <c r="P948" s="5" t="n">
        <f aca="false">MIN(IF(AND(G948,E948),(L948-M948)*24/12.1*O948/1000,0),N948)</f>
        <v>43</v>
      </c>
      <c r="Q948" s="5" t="n">
        <f aca="false">IF(P948&gt;0,P948/O948*12.1/24*1000+M948,0)</f>
        <v>1700.00000000001</v>
      </c>
      <c r="R948" s="0" t="n">
        <f aca="false">IF(Q948&gt;0,TRUNC(O948),0)</f>
        <v>24</v>
      </c>
      <c r="S948" s="5" t="n">
        <f aca="false">(M948*(D948-R948)+(Q948*R948))/D948</f>
        <v>1544.82758620691</v>
      </c>
      <c r="T948" s="6" t="n">
        <f aca="false">(Q948-M948)*R948*24/12.1/1000</f>
        <v>42.8429752066121</v>
      </c>
    </row>
    <row r="949" customFormat="false" ht="14.35" hidden="false" customHeight="false" outlineLevel="0" collapsed="false">
      <c r="A949" s="4" t="n">
        <v>36616</v>
      </c>
      <c r="B949" s="15" t="n">
        <f aca="false">IF(C949&lt;=9,YEAR(A949),YEAR(A949)+1)</f>
        <v>2000</v>
      </c>
      <c r="C949" s="15" t="n">
        <f aca="false">MONTH(A949)</f>
        <v>3</v>
      </c>
      <c r="D949" s="15" t="n">
        <f aca="false">DAY(A949)</f>
        <v>31</v>
      </c>
      <c r="E949" s="15" t="n">
        <f aca="false">VLOOKUP(B949,WYT!$A$2:$L$97,12)</f>
        <v>1</v>
      </c>
      <c r="F949" s="15" t="n">
        <f aca="false">IF(C949=$W$5,1,0)</f>
        <v>0</v>
      </c>
      <c r="G949" s="15" t="n">
        <f aca="false">IF(C949=10,0,IF(F949=1,1,G948))</f>
        <v>1</v>
      </c>
      <c r="H949" s="5" t="n">
        <f aca="false">VA_base_426_data!B949</f>
        <v>7242.19601034793</v>
      </c>
      <c r="I949" s="5" t="n">
        <f aca="false">IF(AND(E949=1,OR(C949=4,C949=5)),25*12.1/24/D949*1000,0)</f>
        <v>0</v>
      </c>
      <c r="J949" s="5" t="n">
        <f aca="false">VA_base_426_data!C949</f>
        <v>1700</v>
      </c>
      <c r="K949" s="5" t="n">
        <f aca="false">H949+I949-J949</f>
        <v>5542.19601034793</v>
      </c>
      <c r="L949" s="5" t="n">
        <f aca="false">MIN($W$7,J949+K949)</f>
        <v>2000</v>
      </c>
      <c r="M949" s="5" t="n">
        <f aca="false">VA_base_426_data!D949</f>
        <v>800</v>
      </c>
      <c r="N949" s="5" t="n">
        <f aca="false">IF(AND(C949=10,E949=1),$W$6,N948-P948)</f>
        <v>0</v>
      </c>
      <c r="O949" s="5" t="n">
        <f aca="false">IF(ABS(M949-L949)&gt;1,MIN(N949/((L949-M949)*24/12.1/1000),D949),D949)</f>
        <v>0</v>
      </c>
      <c r="P949" s="5" t="n">
        <f aca="false">MIN(IF(AND(G949,E949),(L949-M949)*24/12.1*O949/1000,0),N949)</f>
        <v>0</v>
      </c>
      <c r="Q949" s="5" t="n">
        <f aca="false">IF(P949&gt;0,P949/O949*12.1/24*1000+M949,0)</f>
        <v>0</v>
      </c>
      <c r="R949" s="0" t="n">
        <f aca="false">IF(Q949&gt;0,TRUNC(O949),0)</f>
        <v>0</v>
      </c>
      <c r="S949" s="5" t="n">
        <f aca="false">(M949*(D949-R949)+(Q949*R949))/D949</f>
        <v>800</v>
      </c>
      <c r="T949" s="6" t="n">
        <f aca="false">(Q949-M949)*R949*24/12.1/1000</f>
        <v>-0</v>
      </c>
    </row>
    <row r="950" customFormat="false" ht="14.35" hidden="false" customHeight="false" outlineLevel="0" collapsed="false">
      <c r="A950" s="4" t="n">
        <v>36646</v>
      </c>
      <c r="B950" s="15" t="n">
        <f aca="false">IF(C950&lt;=9,YEAR(A950),YEAR(A950)+1)</f>
        <v>2000</v>
      </c>
      <c r="C950" s="15" t="n">
        <f aca="false">MONTH(A950)</f>
        <v>4</v>
      </c>
      <c r="D950" s="15" t="n">
        <f aca="false">DAY(A950)</f>
        <v>30</v>
      </c>
      <c r="E950" s="15" t="n">
        <f aca="false">VLOOKUP(B950,WYT!$A$2:$L$97,12)</f>
        <v>1</v>
      </c>
      <c r="F950" s="15" t="n">
        <f aca="false">IF(C950=$W$5,1,0)</f>
        <v>0</v>
      </c>
      <c r="G950" s="15" t="n">
        <f aca="false">IF(C950=10,0,IF(F950=1,1,G949))</f>
        <v>1</v>
      </c>
      <c r="H950" s="5" t="n">
        <f aca="false">VA_base_426_data!B950</f>
        <v>1000</v>
      </c>
      <c r="I950" s="5" t="n">
        <f aca="false">IF(AND(E950=1,OR(C950=4,C950=5)),25*12.1/24/D950*1000,0)</f>
        <v>420.138888888889</v>
      </c>
      <c r="J950" s="5" t="n">
        <f aca="false">VA_base_426_data!C950</f>
        <v>1000</v>
      </c>
      <c r="K950" s="5" t="n">
        <f aca="false">H950+I950-J950</f>
        <v>420.138888888889</v>
      </c>
      <c r="L950" s="5" t="n">
        <f aca="false">MIN($W$7,J950+K950)</f>
        <v>1420.13888888889</v>
      </c>
      <c r="M950" s="5" t="n">
        <f aca="false">VA_base_426_data!D950</f>
        <v>700</v>
      </c>
      <c r="N950" s="5" t="n">
        <f aca="false">IF(AND(C950=10,E950=1),$W$6,N949-P949)</f>
        <v>0</v>
      </c>
      <c r="O950" s="5" t="n">
        <f aca="false">IF(ABS(M950-L950)&gt;1,MIN(N950/((L950-M950)*24/12.1/1000),D950),D950)</f>
        <v>0</v>
      </c>
      <c r="P950" s="5" t="n">
        <f aca="false">MIN(IF(AND(G950,E950),(L950-M950)*24/12.1*O950/1000,0),N950)</f>
        <v>0</v>
      </c>
      <c r="Q950" s="5" t="n">
        <f aca="false">IF(P950&gt;0,P950/O950*12.1/24*1000+M950,0)</f>
        <v>0</v>
      </c>
      <c r="R950" s="0" t="n">
        <f aca="false">IF(Q950&gt;0,TRUNC(O950),0)</f>
        <v>0</v>
      </c>
      <c r="S950" s="5" t="n">
        <f aca="false">(M950*(D950-R950)+(Q950*R950))/D950</f>
        <v>700</v>
      </c>
      <c r="T950" s="6" t="n">
        <f aca="false">(Q950-M950)*R950*24/12.1/1000</f>
        <v>-0</v>
      </c>
    </row>
    <row r="951" customFormat="false" ht="14.35" hidden="false" customHeight="false" outlineLevel="0" collapsed="false">
      <c r="A951" s="4" t="n">
        <v>36677</v>
      </c>
      <c r="B951" s="15" t="n">
        <f aca="false">IF(C951&lt;=9,YEAR(A951),YEAR(A951)+1)</f>
        <v>2000</v>
      </c>
      <c r="C951" s="15" t="n">
        <f aca="false">MONTH(A951)</f>
        <v>5</v>
      </c>
      <c r="D951" s="15" t="n">
        <f aca="false">DAY(A951)</f>
        <v>31</v>
      </c>
      <c r="E951" s="15" t="n">
        <f aca="false">VLOOKUP(B951,WYT!$A$2:$L$97,12)</f>
        <v>1</v>
      </c>
      <c r="F951" s="15" t="n">
        <f aca="false">IF(C951=$W$5,1,0)</f>
        <v>0</v>
      </c>
      <c r="G951" s="15" t="n">
        <f aca="false">IF(C951=10,0,IF(F951=1,1,G950))</f>
        <v>1</v>
      </c>
      <c r="H951" s="5" t="n">
        <f aca="false">VA_base_426_data!B951</f>
        <v>1492.35079442335</v>
      </c>
      <c r="I951" s="5" t="n">
        <f aca="false">IF(AND(E951=1,OR(C951=4,C951=5)),25*12.1/24/D951*1000,0)</f>
        <v>406.586021505376</v>
      </c>
      <c r="J951" s="5" t="n">
        <f aca="false">VA_base_426_data!C951</f>
        <v>1000</v>
      </c>
      <c r="K951" s="5" t="n">
        <f aca="false">H951+I951-J951</f>
        <v>898.936815928731</v>
      </c>
      <c r="L951" s="5" t="n">
        <f aca="false">MIN($W$7,J951+K951)</f>
        <v>1898.93681592873</v>
      </c>
      <c r="M951" s="5" t="n">
        <f aca="false">VA_base_426_data!D951</f>
        <v>700</v>
      </c>
      <c r="N951" s="5" t="n">
        <f aca="false">IF(AND(C951=10,E951=1),$W$6,N950-P950)</f>
        <v>0</v>
      </c>
      <c r="O951" s="5" t="n">
        <f aca="false">IF(ABS(M951-L951)&gt;1,MIN(N951/((L951-M951)*24/12.1/1000),D951),D951)</f>
        <v>0</v>
      </c>
      <c r="P951" s="5" t="n">
        <f aca="false">MIN(IF(AND(G951,E951),(L951-M951)*24/12.1*O951/1000,0),N951)</f>
        <v>0</v>
      </c>
      <c r="Q951" s="5" t="n">
        <f aca="false">IF(P951&gt;0,P951/O951*12.1/24*1000+M951,0)</f>
        <v>0</v>
      </c>
      <c r="R951" s="0" t="n">
        <f aca="false">IF(Q951&gt;0,TRUNC(O951),0)</f>
        <v>0</v>
      </c>
      <c r="S951" s="5" t="n">
        <f aca="false">(M951*(D951-R951)+(Q951*R951))/D951</f>
        <v>700</v>
      </c>
      <c r="T951" s="6" t="n">
        <f aca="false">(Q951-M951)*R951*24/12.1/1000</f>
        <v>-0</v>
      </c>
    </row>
    <row r="952" customFormat="false" ht="14.35" hidden="false" customHeight="false" outlineLevel="0" collapsed="false">
      <c r="A952" s="4" t="n">
        <v>36707</v>
      </c>
      <c r="B952" s="15" t="n">
        <f aca="false">IF(C952&lt;=9,YEAR(A952),YEAR(A952)+1)</f>
        <v>2000</v>
      </c>
      <c r="C952" s="15" t="n">
        <f aca="false">MONTH(A952)</f>
        <v>6</v>
      </c>
      <c r="D952" s="15" t="n">
        <f aca="false">DAY(A952)</f>
        <v>30</v>
      </c>
      <c r="E952" s="15" t="n">
        <f aca="false">VLOOKUP(B952,WYT!$A$2:$L$97,12)</f>
        <v>1</v>
      </c>
      <c r="F952" s="15" t="n">
        <f aca="false">IF(C952=$W$5,1,0)</f>
        <v>0</v>
      </c>
      <c r="G952" s="15" t="n">
        <f aca="false">IF(C952=10,0,IF(F952=1,1,G951))</f>
        <v>1</v>
      </c>
      <c r="H952" s="5" t="n">
        <f aca="false">VA_base_426_data!B952</f>
        <v>2788.2896571143</v>
      </c>
      <c r="I952" s="5" t="n">
        <f aca="false">IF(AND(E952=1,OR(C952=4,C952=5)),25*12.1/24/D952*1000,0)</f>
        <v>0</v>
      </c>
      <c r="J952" s="5" t="n">
        <f aca="false">VA_base_426_data!C952</f>
        <v>1000</v>
      </c>
      <c r="K952" s="5" t="n">
        <f aca="false">H952+I952-J952</f>
        <v>1788.2896571143</v>
      </c>
      <c r="L952" s="5" t="n">
        <f aca="false">MIN($W$7,J952+K952)</f>
        <v>2000</v>
      </c>
      <c r="M952" s="5" t="n">
        <f aca="false">VA_base_426_data!D952</f>
        <v>700</v>
      </c>
      <c r="N952" s="5" t="n">
        <f aca="false">IF(AND(C952=10,E952=1),$W$6,N951-P951)</f>
        <v>0</v>
      </c>
      <c r="O952" s="5" t="n">
        <f aca="false">IF(ABS(M952-L952)&gt;1,MIN(N952/((L952-M952)*24/12.1/1000),D952),D952)</f>
        <v>0</v>
      </c>
      <c r="P952" s="5" t="n">
        <f aca="false">MIN(IF(AND(G952,E952),(L952-M952)*24/12.1*O952/1000,0),N952)</f>
        <v>0</v>
      </c>
      <c r="Q952" s="5" t="n">
        <f aca="false">IF(P952&gt;0,P952/O952*12.1/24*1000+M952,0)</f>
        <v>0</v>
      </c>
      <c r="R952" s="0" t="n">
        <f aca="false">IF(Q952&gt;0,TRUNC(O952),0)</f>
        <v>0</v>
      </c>
      <c r="S952" s="5" t="n">
        <f aca="false">(M952*(D952-R952)+(Q952*R952))/D952</f>
        <v>700</v>
      </c>
      <c r="T952" s="6" t="n">
        <f aca="false">(Q952-M952)*R952*24/12.1/1000</f>
        <v>-0</v>
      </c>
    </row>
    <row r="953" customFormat="false" ht="14.35" hidden="false" customHeight="false" outlineLevel="0" collapsed="false">
      <c r="A953" s="4" t="n">
        <v>36738</v>
      </c>
      <c r="B953" s="15" t="n">
        <f aca="false">IF(C953&lt;=9,YEAR(A953),YEAR(A953)+1)</f>
        <v>2000</v>
      </c>
      <c r="C953" s="15" t="n">
        <f aca="false">MONTH(A953)</f>
        <v>7</v>
      </c>
      <c r="D953" s="15" t="n">
        <f aca="false">DAY(A953)</f>
        <v>31</v>
      </c>
      <c r="E953" s="15" t="n">
        <f aca="false">VLOOKUP(B953,WYT!$A$2:$L$97,12)</f>
        <v>1</v>
      </c>
      <c r="F953" s="15" t="n">
        <f aca="false">IF(C953=$W$5,1,0)</f>
        <v>0</v>
      </c>
      <c r="G953" s="15" t="n">
        <f aca="false">IF(C953=10,0,IF(F953=1,1,G952))</f>
        <v>1</v>
      </c>
      <c r="H953" s="5" t="n">
        <f aca="false">VA_base_426_data!B953</f>
        <v>9981.06092369035</v>
      </c>
      <c r="I953" s="5" t="n">
        <f aca="false">IF(AND(E953=1,OR(C953=4,C953=5)),25*12.1/24/D953*1000,0)</f>
        <v>0</v>
      </c>
      <c r="J953" s="5" t="n">
        <f aca="false">VA_base_426_data!C953</f>
        <v>1000</v>
      </c>
      <c r="K953" s="5" t="n">
        <f aca="false">H953+I953-J953</f>
        <v>8981.06092369035</v>
      </c>
      <c r="L953" s="5" t="n">
        <f aca="false">MIN($W$7,J953+K953)</f>
        <v>2000</v>
      </c>
      <c r="M953" s="5" t="n">
        <f aca="false">VA_base_426_data!D953</f>
        <v>700</v>
      </c>
      <c r="N953" s="5" t="n">
        <f aca="false">IF(AND(C953=10,E953=1),$W$6,N952-P952)</f>
        <v>0</v>
      </c>
      <c r="O953" s="5" t="n">
        <f aca="false">IF(ABS(M953-L953)&gt;1,MIN(N953/((L953-M953)*24/12.1/1000),D953),D953)</f>
        <v>0</v>
      </c>
      <c r="P953" s="5" t="n">
        <f aca="false">MIN(IF(AND(G953,E953),(L953-M953)*24/12.1*O953/1000,0),N953)</f>
        <v>0</v>
      </c>
      <c r="Q953" s="5" t="n">
        <f aca="false">IF(P953&gt;0,P953/O953*12.1/24*1000+M953,0)</f>
        <v>0</v>
      </c>
      <c r="R953" s="0" t="n">
        <f aca="false">IF(Q953&gt;0,TRUNC(O953),0)</f>
        <v>0</v>
      </c>
      <c r="S953" s="5" t="n">
        <f aca="false">(M953*(D953-R953)+(Q953*R953))/D953</f>
        <v>700</v>
      </c>
      <c r="T953" s="6" t="n">
        <f aca="false">(Q953-M953)*R953*24/12.1/1000</f>
        <v>-0</v>
      </c>
    </row>
    <row r="954" customFormat="false" ht="14.35" hidden="false" customHeight="false" outlineLevel="0" collapsed="false">
      <c r="A954" s="4" t="n">
        <v>36769</v>
      </c>
      <c r="B954" s="15" t="n">
        <f aca="false">IF(C954&lt;=9,YEAR(A954),YEAR(A954)+1)</f>
        <v>2000</v>
      </c>
      <c r="C954" s="15" t="n">
        <f aca="false">MONTH(A954)</f>
        <v>8</v>
      </c>
      <c r="D954" s="15" t="n">
        <f aca="false">DAY(A954)</f>
        <v>31</v>
      </c>
      <c r="E954" s="15" t="n">
        <f aca="false">VLOOKUP(B954,WYT!$A$2:$L$97,12)</f>
        <v>1</v>
      </c>
      <c r="F954" s="15" t="n">
        <f aca="false">IF(C954=$W$5,1,0)</f>
        <v>0</v>
      </c>
      <c r="G954" s="15" t="n">
        <f aca="false">IF(C954=10,0,IF(F954=1,1,G953))</f>
        <v>1</v>
      </c>
      <c r="H954" s="5" t="n">
        <f aca="false">VA_base_426_data!B954</f>
        <v>7441.41289464259</v>
      </c>
      <c r="I954" s="5" t="n">
        <f aca="false">IF(AND(E954=1,OR(C954=4,C954=5)),25*12.1/24/D954*1000,0)</f>
        <v>0</v>
      </c>
      <c r="J954" s="5" t="n">
        <f aca="false">VA_base_426_data!C954</f>
        <v>1000</v>
      </c>
      <c r="K954" s="5" t="n">
        <f aca="false">H954+I954-J954</f>
        <v>6441.41289464259</v>
      </c>
      <c r="L954" s="5" t="n">
        <f aca="false">MIN($W$7,J954+K954)</f>
        <v>2000</v>
      </c>
      <c r="M954" s="5" t="n">
        <f aca="false">VA_base_426_data!D954</f>
        <v>700</v>
      </c>
      <c r="N954" s="5" t="n">
        <f aca="false">IF(AND(C954=10,E954=1),$W$6,N953-P953)</f>
        <v>0</v>
      </c>
      <c r="O954" s="5" t="n">
        <f aca="false">IF(ABS(M954-L954)&gt;1,MIN(N954/((L954-M954)*24/12.1/1000),D954),D954)</f>
        <v>0</v>
      </c>
      <c r="P954" s="5" t="n">
        <f aca="false">MIN(IF(AND(G954,E954),(L954-M954)*24/12.1*O954/1000,0),N954)</f>
        <v>0</v>
      </c>
      <c r="Q954" s="5" t="n">
        <f aca="false">IF(P954&gt;0,P954/O954*12.1/24*1000+M954,0)</f>
        <v>0</v>
      </c>
      <c r="R954" s="0" t="n">
        <f aca="false">IF(Q954&gt;0,TRUNC(O954),0)</f>
        <v>0</v>
      </c>
      <c r="S954" s="5" t="n">
        <f aca="false">(M954*(D954-R954)+(Q954*R954))/D954</f>
        <v>700</v>
      </c>
      <c r="T954" s="6" t="n">
        <f aca="false">(Q954-M954)*R954*24/12.1/1000</f>
        <v>-0</v>
      </c>
    </row>
    <row r="955" customFormat="false" ht="14.35" hidden="false" customHeight="false" outlineLevel="0" collapsed="false">
      <c r="A955" s="4" t="n">
        <v>36799</v>
      </c>
      <c r="B955" s="15" t="n">
        <f aca="false">IF(C955&lt;=9,YEAR(A955),YEAR(A955)+1)</f>
        <v>2000</v>
      </c>
      <c r="C955" s="15" t="n">
        <f aca="false">MONTH(A955)</f>
        <v>9</v>
      </c>
      <c r="D955" s="15" t="n">
        <f aca="false">DAY(A955)</f>
        <v>30</v>
      </c>
      <c r="E955" s="15" t="n">
        <f aca="false">VLOOKUP(B955,WYT!$A$2:$L$97,12)</f>
        <v>1</v>
      </c>
      <c r="F955" s="15" t="n">
        <f aca="false">IF(C955=$W$5,1,0)</f>
        <v>0</v>
      </c>
      <c r="G955" s="15" t="n">
        <f aca="false">IF(C955=10,0,IF(F955=1,1,G954))</f>
        <v>1</v>
      </c>
      <c r="H955" s="5" t="n">
        <f aca="false">VA_base_426_data!B955</f>
        <v>7541.87102557168</v>
      </c>
      <c r="I955" s="5" t="n">
        <f aca="false">IF(AND(E955=1,OR(C955=4,C955=5)),25*12.1/24/D955*1000,0)</f>
        <v>0</v>
      </c>
      <c r="J955" s="5" t="n">
        <f aca="false">VA_base_426_data!C955</f>
        <v>1000</v>
      </c>
      <c r="K955" s="5" t="n">
        <f aca="false">H955+I955-J955</f>
        <v>6541.87102557168</v>
      </c>
      <c r="L955" s="5" t="n">
        <f aca="false">MIN($W$7,J955+K955)</f>
        <v>2000</v>
      </c>
      <c r="M955" s="5" t="n">
        <f aca="false">VA_base_426_data!D955</f>
        <v>773.3333333</v>
      </c>
      <c r="N955" s="5" t="n">
        <f aca="false">IF(AND(C955=10,E955=1),$W$6,N954-P954)</f>
        <v>0</v>
      </c>
      <c r="O955" s="5" t="n">
        <f aca="false">IF(ABS(M955-L955)&gt;1,MIN(N955/((L955-M955)*24/12.1/1000),D955),D955)</f>
        <v>0</v>
      </c>
      <c r="P955" s="5" t="n">
        <f aca="false">MIN(IF(AND(G955,E955),(L955-M955)*24/12.1*O955/1000,0),N955)</f>
        <v>0</v>
      </c>
      <c r="Q955" s="5" t="n">
        <f aca="false">IF(P955&gt;0,P955/O955*12.1/24*1000+M955,0)</f>
        <v>0</v>
      </c>
      <c r="R955" s="0" t="n">
        <f aca="false">IF(Q955&gt;0,TRUNC(O955),0)</f>
        <v>0</v>
      </c>
      <c r="S955" s="5" t="n">
        <f aca="false">(M955*(D955-R955)+(Q955*R955))/D955</f>
        <v>773.3333333</v>
      </c>
      <c r="T955" s="6" t="n">
        <f aca="false">(Q955-M955)*R955*24/12.1/1000</f>
        <v>-0</v>
      </c>
    </row>
    <row r="956" customFormat="false" ht="14.35" hidden="false" customHeight="false" outlineLevel="0" collapsed="false">
      <c r="A956" s="4" t="n">
        <v>36830</v>
      </c>
      <c r="B956" s="15" t="n">
        <f aca="false">IF(C956&lt;=9,YEAR(A956),YEAR(A956)+1)</f>
        <v>2001</v>
      </c>
      <c r="C956" s="15" t="n">
        <f aca="false">MONTH(A956)</f>
        <v>10</v>
      </c>
      <c r="D956" s="15" t="n">
        <f aca="false">DAY(A956)</f>
        <v>31</v>
      </c>
      <c r="E956" s="15" t="n">
        <f aca="false">VLOOKUP(B956,WYT!$A$2:$L$97,12)</f>
        <v>1</v>
      </c>
      <c r="F956" s="15" t="n">
        <f aca="false">IF(C956=$W$5,1,0)</f>
        <v>0</v>
      </c>
      <c r="G956" s="15" t="n">
        <f aca="false">IF(C956=10,0,IF(F956=1,1,G955))</f>
        <v>0</v>
      </c>
      <c r="H956" s="5" t="n">
        <f aca="false">VA_base_426_data!B956</f>
        <v>4000</v>
      </c>
      <c r="I956" s="5" t="n">
        <f aca="false">IF(AND(E956=1,OR(C956=4,C956=5)),25*12.1/24/D956*1000,0)</f>
        <v>0</v>
      </c>
      <c r="J956" s="5" t="n">
        <f aca="false">VA_base_426_data!C956</f>
        <v>1700</v>
      </c>
      <c r="K956" s="5" t="n">
        <f aca="false">H956+I956-J956</f>
        <v>2300</v>
      </c>
      <c r="L956" s="5" t="n">
        <f aca="false">MIN($W$7,J956+K956)</f>
        <v>2000</v>
      </c>
      <c r="M956" s="5" t="n">
        <f aca="false">VA_base_426_data!D956</f>
        <v>800</v>
      </c>
      <c r="N956" s="5" t="n">
        <f aca="false">IF(AND(C956=10,E956=1),$W$6,N955-P955)</f>
        <v>43</v>
      </c>
      <c r="O956" s="5" t="n">
        <f aca="false">IF(ABS(M956-L956)&gt;1,MIN(N956/((L956-M956)*24/12.1/1000),D956),D956)</f>
        <v>18.0659722222222</v>
      </c>
      <c r="P956" s="5" t="n">
        <f aca="false">MIN(IF(AND(G956,E956),(L956-M956)*24/12.1*O956/1000,0),N956)</f>
        <v>0</v>
      </c>
      <c r="Q956" s="5" t="n">
        <f aca="false">IF(P956&gt;0,P956/O956*12.1/24*1000+M956,0)</f>
        <v>0</v>
      </c>
      <c r="R956" s="0" t="n">
        <f aca="false">IF(Q956&gt;0,TRUNC(O956),0)</f>
        <v>0</v>
      </c>
      <c r="S956" s="5" t="n">
        <f aca="false">(M956*(D956-R956)+(Q956*R956))/D956</f>
        <v>800</v>
      </c>
      <c r="T956" s="6" t="n">
        <f aca="false">(Q956-M956)*R956*24/12.1/1000</f>
        <v>-0</v>
      </c>
    </row>
    <row r="957" customFormat="false" ht="14.35" hidden="false" customHeight="false" outlineLevel="0" collapsed="false">
      <c r="A957" s="4" t="n">
        <v>36860</v>
      </c>
      <c r="B957" s="15" t="n">
        <f aca="false">IF(C957&lt;=9,YEAR(A957),YEAR(A957)+1)</f>
        <v>2001</v>
      </c>
      <c r="C957" s="15" t="n">
        <f aca="false">MONTH(A957)</f>
        <v>11</v>
      </c>
      <c r="D957" s="15" t="n">
        <f aca="false">DAY(A957)</f>
        <v>30</v>
      </c>
      <c r="E957" s="15" t="n">
        <f aca="false">VLOOKUP(B957,WYT!$A$2:$L$97,12)</f>
        <v>1</v>
      </c>
      <c r="F957" s="15" t="n">
        <f aca="false">IF(C957=$W$5,1,0)</f>
        <v>0</v>
      </c>
      <c r="G957" s="15" t="n">
        <f aca="false">IF(C957=10,0,IF(F957=1,1,G956))</f>
        <v>0</v>
      </c>
      <c r="H957" s="5" t="n">
        <f aca="false">VA_base_426_data!B957</f>
        <v>2500</v>
      </c>
      <c r="I957" s="5" t="n">
        <f aca="false">IF(AND(E957=1,OR(C957=4,C957=5)),25*12.1/24/D957*1000,0)</f>
        <v>0</v>
      </c>
      <c r="J957" s="5" t="n">
        <f aca="false">VA_base_426_data!C957</f>
        <v>1700</v>
      </c>
      <c r="K957" s="5" t="n">
        <f aca="false">H957+I957-J957</f>
        <v>800</v>
      </c>
      <c r="L957" s="5" t="n">
        <f aca="false">MIN($W$7,J957+K957)</f>
        <v>2000</v>
      </c>
      <c r="M957" s="5" t="n">
        <f aca="false">VA_base_426_data!D957</f>
        <v>800</v>
      </c>
      <c r="N957" s="5" t="n">
        <f aca="false">IF(AND(C957=10,E957=1),$W$6,N956-P956)</f>
        <v>43</v>
      </c>
      <c r="O957" s="5" t="n">
        <f aca="false">IF(ABS(M957-L957)&gt;1,MIN(N957/((L957-M957)*24/12.1/1000),D957),D957)</f>
        <v>18.0659722222222</v>
      </c>
      <c r="P957" s="5" t="n">
        <f aca="false">MIN(IF(AND(G957,E957),(L957-M957)*24/12.1*O957/1000,0),N957)</f>
        <v>0</v>
      </c>
      <c r="Q957" s="5" t="n">
        <f aca="false">IF(P957&gt;0,P957/O957*12.1/24*1000+M957,0)</f>
        <v>0</v>
      </c>
      <c r="R957" s="0" t="n">
        <f aca="false">IF(Q957&gt;0,TRUNC(O957),0)</f>
        <v>0</v>
      </c>
      <c r="S957" s="5" t="n">
        <f aca="false">(M957*(D957-R957)+(Q957*R957))/D957</f>
        <v>800</v>
      </c>
      <c r="T957" s="6" t="n">
        <f aca="false">(Q957-M957)*R957*24/12.1/1000</f>
        <v>-0</v>
      </c>
    </row>
    <row r="958" customFormat="false" ht="14.35" hidden="false" customHeight="false" outlineLevel="0" collapsed="false">
      <c r="A958" s="4" t="n">
        <v>36891</v>
      </c>
      <c r="B958" s="15" t="n">
        <f aca="false">IF(C958&lt;=9,YEAR(A958),YEAR(A958)+1)</f>
        <v>2001</v>
      </c>
      <c r="C958" s="15" t="n">
        <f aca="false">MONTH(A958)</f>
        <v>12</v>
      </c>
      <c r="D958" s="15" t="n">
        <f aca="false">DAY(A958)</f>
        <v>31</v>
      </c>
      <c r="E958" s="15" t="n">
        <f aca="false">VLOOKUP(B958,WYT!$A$2:$L$97,12)</f>
        <v>1</v>
      </c>
      <c r="F958" s="15" t="n">
        <f aca="false">IF(C958=$W$5,1,0)</f>
        <v>0</v>
      </c>
      <c r="G958" s="15" t="n">
        <f aca="false">IF(C958=10,0,IF(F958=1,1,G957))</f>
        <v>0</v>
      </c>
      <c r="H958" s="5" t="n">
        <f aca="false">VA_base_426_data!B958</f>
        <v>2877.3207876843</v>
      </c>
      <c r="I958" s="5" t="n">
        <f aca="false">IF(AND(E958=1,OR(C958=4,C958=5)),25*12.1/24/D958*1000,0)</f>
        <v>0</v>
      </c>
      <c r="J958" s="5" t="n">
        <f aca="false">VA_base_426_data!C958</f>
        <v>1700</v>
      </c>
      <c r="K958" s="5" t="n">
        <f aca="false">H958+I958-J958</f>
        <v>1177.3207876843</v>
      </c>
      <c r="L958" s="5" t="n">
        <f aca="false">MIN($W$7,J958+K958)</f>
        <v>2000</v>
      </c>
      <c r="M958" s="5" t="n">
        <f aca="false">VA_base_426_data!D958</f>
        <v>800</v>
      </c>
      <c r="N958" s="5" t="n">
        <f aca="false">IF(AND(C958=10,E958=1),$W$6,N957-P957)</f>
        <v>43</v>
      </c>
      <c r="O958" s="5" t="n">
        <f aca="false">IF(ABS(M958-L958)&gt;1,MIN(N958/((L958-M958)*24/12.1/1000),D958),D958)</f>
        <v>18.0659722222222</v>
      </c>
      <c r="P958" s="5" t="n">
        <f aca="false">MIN(IF(AND(G958,E958),(L958-M958)*24/12.1*O958/1000,0),N958)</f>
        <v>0</v>
      </c>
      <c r="Q958" s="5" t="n">
        <f aca="false">IF(P958&gt;0,P958/O958*12.1/24*1000+M958,0)</f>
        <v>0</v>
      </c>
      <c r="R958" s="0" t="n">
        <f aca="false">IF(Q958&gt;0,TRUNC(O958),0)</f>
        <v>0</v>
      </c>
      <c r="S958" s="5" t="n">
        <f aca="false">(M958*(D958-R958)+(Q958*R958))/D958</f>
        <v>800</v>
      </c>
      <c r="T958" s="6" t="n">
        <f aca="false">(Q958-M958)*R958*24/12.1/1000</f>
        <v>-0</v>
      </c>
    </row>
    <row r="959" customFormat="false" ht="14.35" hidden="false" customHeight="false" outlineLevel="0" collapsed="false">
      <c r="A959" s="4" t="n">
        <v>36922</v>
      </c>
      <c r="B959" s="15" t="n">
        <f aca="false">IF(C959&lt;=9,YEAR(A959),YEAR(A959)+1)</f>
        <v>2001</v>
      </c>
      <c r="C959" s="15" t="n">
        <f aca="false">MONTH(A959)</f>
        <v>1</v>
      </c>
      <c r="D959" s="15" t="n">
        <f aca="false">DAY(A959)</f>
        <v>31</v>
      </c>
      <c r="E959" s="15" t="n">
        <f aca="false">VLOOKUP(B959,WYT!$A$2:$L$97,12)</f>
        <v>1</v>
      </c>
      <c r="F959" s="15" t="n">
        <f aca="false">IF(C959=$W$5,1,0)</f>
        <v>0</v>
      </c>
      <c r="G959" s="15" t="n">
        <f aca="false">IF(C959=10,0,IF(F959=1,1,G958))</f>
        <v>0</v>
      </c>
      <c r="H959" s="5" t="n">
        <f aca="false">VA_base_426_data!B959</f>
        <v>1700</v>
      </c>
      <c r="I959" s="5" t="n">
        <f aca="false">IF(AND(E959=1,OR(C959=4,C959=5)),25*12.1/24/D959*1000,0)</f>
        <v>0</v>
      </c>
      <c r="J959" s="5" t="n">
        <f aca="false">VA_base_426_data!C959</f>
        <v>1700</v>
      </c>
      <c r="K959" s="5" t="n">
        <f aca="false">H959+I959-J959</f>
        <v>0</v>
      </c>
      <c r="L959" s="5" t="n">
        <f aca="false">MIN($W$7,J959+K959)</f>
        <v>1700</v>
      </c>
      <c r="M959" s="5" t="n">
        <f aca="false">VA_base_426_data!D959</f>
        <v>800</v>
      </c>
      <c r="N959" s="5" t="n">
        <f aca="false">IF(AND(C959=10,E959=1),$W$6,N958-P958)</f>
        <v>43</v>
      </c>
      <c r="O959" s="5" t="n">
        <f aca="false">IF(ABS(M959-L959)&gt;1,MIN(N959/((L959-M959)*24/12.1/1000),D959),D959)</f>
        <v>24.087962962963</v>
      </c>
      <c r="P959" s="5" t="n">
        <f aca="false">MIN(IF(AND(G959,E959),(L959-M959)*24/12.1*O959/1000,0),N959)</f>
        <v>0</v>
      </c>
      <c r="Q959" s="5" t="n">
        <f aca="false">IF(P959&gt;0,P959/O959*12.1/24*1000+M959,0)</f>
        <v>0</v>
      </c>
      <c r="R959" s="0" t="n">
        <f aca="false">IF(Q959&gt;0,TRUNC(O959),0)</f>
        <v>0</v>
      </c>
      <c r="S959" s="5" t="n">
        <f aca="false">(M959*(D959-R959)+(Q959*R959))/D959</f>
        <v>800</v>
      </c>
      <c r="T959" s="6" t="n">
        <f aca="false">(Q959-M959)*R959*24/12.1/1000</f>
        <v>-0</v>
      </c>
    </row>
    <row r="960" customFormat="false" ht="14.35" hidden="false" customHeight="false" outlineLevel="0" collapsed="false">
      <c r="A960" s="4" t="n">
        <v>36950</v>
      </c>
      <c r="B960" s="15" t="n">
        <f aca="false">IF(C960&lt;=9,YEAR(A960),YEAR(A960)+1)</f>
        <v>2001</v>
      </c>
      <c r="C960" s="15" t="n">
        <f aca="false">MONTH(A960)</f>
        <v>2</v>
      </c>
      <c r="D960" s="15" t="n">
        <f aca="false">DAY(A960)</f>
        <v>28</v>
      </c>
      <c r="E960" s="15" t="n">
        <f aca="false">VLOOKUP(B960,WYT!$A$2:$L$97,12)</f>
        <v>1</v>
      </c>
      <c r="F960" s="15" t="n">
        <f aca="false">IF(C960=$W$5,1,0)</f>
        <v>1</v>
      </c>
      <c r="G960" s="15" t="n">
        <f aca="false">IF(C960=10,0,IF(F960=1,1,G959))</f>
        <v>1</v>
      </c>
      <c r="H960" s="5" t="n">
        <f aca="false">VA_base_426_data!B960</f>
        <v>1700</v>
      </c>
      <c r="I960" s="5" t="n">
        <f aca="false">IF(AND(E960=1,OR(C960=4,C960=5)),25*12.1/24/D960*1000,0)</f>
        <v>0</v>
      </c>
      <c r="J960" s="5" t="n">
        <f aca="false">VA_base_426_data!C960</f>
        <v>1700</v>
      </c>
      <c r="K960" s="5" t="n">
        <f aca="false">H960+I960-J960</f>
        <v>0</v>
      </c>
      <c r="L960" s="5" t="n">
        <f aca="false">MIN($W$7,J960+K960)</f>
        <v>1700</v>
      </c>
      <c r="M960" s="5" t="n">
        <f aca="false">VA_base_426_data!D960</f>
        <v>800</v>
      </c>
      <c r="N960" s="5" t="n">
        <f aca="false">IF(AND(C960=10,E960=1),$W$6,N959-P959)</f>
        <v>43</v>
      </c>
      <c r="O960" s="5" t="n">
        <f aca="false">IF(ABS(M960-L960)&gt;1,MIN(N960/((L960-M960)*24/12.1/1000),D960),D960)</f>
        <v>24.087962962963</v>
      </c>
      <c r="P960" s="5" t="n">
        <f aca="false">MIN(IF(AND(G960,E960),(L960-M960)*24/12.1*O960/1000,0),N960)</f>
        <v>43</v>
      </c>
      <c r="Q960" s="5" t="n">
        <f aca="false">IF(P960&gt;0,P960/O960*12.1/24*1000+M960,0)</f>
        <v>1700</v>
      </c>
      <c r="R960" s="0" t="n">
        <f aca="false">IF(Q960&gt;0,TRUNC(O960),0)</f>
        <v>24</v>
      </c>
      <c r="S960" s="5" t="n">
        <f aca="false">(M960*(D960-R960)+(Q960*R960))/D960</f>
        <v>1571.42857142857</v>
      </c>
      <c r="T960" s="6" t="n">
        <f aca="false">(Q960-M960)*R960*24/12.1/1000</f>
        <v>42.8429752066116</v>
      </c>
    </row>
    <row r="961" customFormat="false" ht="14.35" hidden="false" customHeight="false" outlineLevel="0" collapsed="false">
      <c r="A961" s="4" t="n">
        <v>36981</v>
      </c>
      <c r="B961" s="15" t="n">
        <f aca="false">IF(C961&lt;=9,YEAR(A961),YEAR(A961)+1)</f>
        <v>2001</v>
      </c>
      <c r="C961" s="15" t="n">
        <f aca="false">MONTH(A961)</f>
        <v>3</v>
      </c>
      <c r="D961" s="15" t="n">
        <f aca="false">DAY(A961)</f>
        <v>31</v>
      </c>
      <c r="E961" s="15" t="n">
        <f aca="false">VLOOKUP(B961,WYT!$A$2:$L$97,12)</f>
        <v>1</v>
      </c>
      <c r="F961" s="15" t="n">
        <f aca="false">IF(C961=$W$5,1,0)</f>
        <v>0</v>
      </c>
      <c r="G961" s="15" t="n">
        <f aca="false">IF(C961=10,0,IF(F961=1,1,G960))</f>
        <v>1</v>
      </c>
      <c r="H961" s="5" t="n">
        <f aca="false">VA_base_426_data!B961</f>
        <v>1700</v>
      </c>
      <c r="I961" s="5" t="n">
        <f aca="false">IF(AND(E961=1,OR(C961=4,C961=5)),25*12.1/24/D961*1000,0)</f>
        <v>0</v>
      </c>
      <c r="J961" s="5" t="n">
        <f aca="false">VA_base_426_data!C961</f>
        <v>1700</v>
      </c>
      <c r="K961" s="5" t="n">
        <f aca="false">H961+I961-J961</f>
        <v>0</v>
      </c>
      <c r="L961" s="5" t="n">
        <f aca="false">MIN($W$7,J961+K961)</f>
        <v>1700</v>
      </c>
      <c r="M961" s="5" t="n">
        <f aca="false">VA_base_426_data!D961</f>
        <v>800</v>
      </c>
      <c r="N961" s="5" t="n">
        <f aca="false">IF(AND(C961=10,E961=1),$W$6,N960-P960)</f>
        <v>0</v>
      </c>
      <c r="O961" s="5" t="n">
        <f aca="false">IF(ABS(M961-L961)&gt;1,MIN(N961/((L961-M961)*24/12.1/1000),D961),D961)</f>
        <v>0</v>
      </c>
      <c r="P961" s="5" t="n">
        <f aca="false">MIN(IF(AND(G961,E961),(L961-M961)*24/12.1*O961/1000,0),N961)</f>
        <v>0</v>
      </c>
      <c r="Q961" s="5" t="n">
        <f aca="false">IF(P961&gt;0,P961/O961*12.1/24*1000+M961,0)</f>
        <v>0</v>
      </c>
      <c r="R961" s="0" t="n">
        <f aca="false">IF(Q961&gt;0,TRUNC(O961),0)</f>
        <v>0</v>
      </c>
      <c r="S961" s="5" t="n">
        <f aca="false">(M961*(D961-R961)+(Q961*R961))/D961</f>
        <v>800</v>
      </c>
      <c r="T961" s="6" t="n">
        <f aca="false">(Q961-M961)*R961*24/12.1/1000</f>
        <v>-0</v>
      </c>
    </row>
    <row r="962" customFormat="false" ht="14.35" hidden="false" customHeight="false" outlineLevel="0" collapsed="false">
      <c r="A962" s="4" t="n">
        <v>37011</v>
      </c>
      <c r="B962" s="15" t="n">
        <f aca="false">IF(C962&lt;=9,YEAR(A962),YEAR(A962)+1)</f>
        <v>2001</v>
      </c>
      <c r="C962" s="15" t="n">
        <f aca="false">MONTH(A962)</f>
        <v>4</v>
      </c>
      <c r="D962" s="15" t="n">
        <f aca="false">DAY(A962)</f>
        <v>30</v>
      </c>
      <c r="E962" s="15" t="n">
        <f aca="false">VLOOKUP(B962,WYT!$A$2:$L$97,12)</f>
        <v>1</v>
      </c>
      <c r="F962" s="15" t="n">
        <f aca="false">IF(C962=$W$5,1,0)</f>
        <v>0</v>
      </c>
      <c r="G962" s="15" t="n">
        <f aca="false">IF(C962=10,0,IF(F962=1,1,G961))</f>
        <v>1</v>
      </c>
      <c r="H962" s="5" t="n">
        <f aca="false">VA_base_426_data!B962</f>
        <v>1000</v>
      </c>
      <c r="I962" s="5" t="n">
        <f aca="false">IF(AND(E962=1,OR(C962=4,C962=5)),25*12.1/24/D962*1000,0)</f>
        <v>420.138888888889</v>
      </c>
      <c r="J962" s="5" t="n">
        <f aca="false">VA_base_426_data!C962</f>
        <v>1000</v>
      </c>
      <c r="K962" s="5" t="n">
        <f aca="false">H962+I962-J962</f>
        <v>420.138888888889</v>
      </c>
      <c r="L962" s="5" t="n">
        <f aca="false">MIN($W$7,J962+K962)</f>
        <v>1420.13888888889</v>
      </c>
      <c r="M962" s="5" t="n">
        <f aca="false">VA_base_426_data!D962</f>
        <v>700</v>
      </c>
      <c r="N962" s="5" t="n">
        <f aca="false">IF(AND(C962=10,E962=1),$W$6,N961-P961)</f>
        <v>0</v>
      </c>
      <c r="O962" s="5" t="n">
        <f aca="false">IF(ABS(M962-L962)&gt;1,MIN(N962/((L962-M962)*24/12.1/1000),D962),D962)</f>
        <v>0</v>
      </c>
      <c r="P962" s="5" t="n">
        <f aca="false">MIN(IF(AND(G962,E962),(L962-M962)*24/12.1*O962/1000,0),N962)</f>
        <v>0</v>
      </c>
      <c r="Q962" s="5" t="n">
        <f aca="false">IF(P962&gt;0,P962/O962*12.1/24*1000+M962,0)</f>
        <v>0</v>
      </c>
      <c r="R962" s="0" t="n">
        <f aca="false">IF(Q962&gt;0,TRUNC(O962),0)</f>
        <v>0</v>
      </c>
      <c r="S962" s="5" t="n">
        <f aca="false">(M962*(D962-R962)+(Q962*R962))/D962</f>
        <v>700</v>
      </c>
      <c r="T962" s="6" t="n">
        <f aca="false">(Q962-M962)*R962*24/12.1/1000</f>
        <v>-0</v>
      </c>
    </row>
    <row r="963" customFormat="false" ht="14.35" hidden="false" customHeight="false" outlineLevel="0" collapsed="false">
      <c r="A963" s="4" t="n">
        <v>37042</v>
      </c>
      <c r="B963" s="15" t="n">
        <f aca="false">IF(C963&lt;=9,YEAR(A963),YEAR(A963)+1)</f>
        <v>2001</v>
      </c>
      <c r="C963" s="15" t="n">
        <f aca="false">MONTH(A963)</f>
        <v>5</v>
      </c>
      <c r="D963" s="15" t="n">
        <f aca="false">DAY(A963)</f>
        <v>31</v>
      </c>
      <c r="E963" s="15" t="n">
        <f aca="false">VLOOKUP(B963,WYT!$A$2:$L$97,12)</f>
        <v>1</v>
      </c>
      <c r="F963" s="15" t="n">
        <f aca="false">IF(C963=$W$5,1,0)</f>
        <v>0</v>
      </c>
      <c r="G963" s="15" t="n">
        <f aca="false">IF(C963=10,0,IF(F963=1,1,G962))</f>
        <v>1</v>
      </c>
      <c r="H963" s="5" t="n">
        <f aca="false">VA_base_426_data!B963</f>
        <v>1921.56200127218</v>
      </c>
      <c r="I963" s="5" t="n">
        <f aca="false">IF(AND(E963=1,OR(C963=4,C963=5)),25*12.1/24/D963*1000,0)</f>
        <v>406.586021505376</v>
      </c>
      <c r="J963" s="5" t="n">
        <f aca="false">VA_base_426_data!C963</f>
        <v>1000</v>
      </c>
      <c r="K963" s="5" t="n">
        <f aca="false">H963+I963-J963</f>
        <v>1328.14802277756</v>
      </c>
      <c r="L963" s="5" t="n">
        <f aca="false">MIN($W$7,J963+K963)</f>
        <v>2000</v>
      </c>
      <c r="M963" s="5" t="n">
        <f aca="false">VA_base_426_data!D963</f>
        <v>700</v>
      </c>
      <c r="N963" s="5" t="n">
        <f aca="false">IF(AND(C963=10,E963=1),$W$6,N962-P962)</f>
        <v>0</v>
      </c>
      <c r="O963" s="5" t="n">
        <f aca="false">IF(ABS(M963-L963)&gt;1,MIN(N963/((L963-M963)*24/12.1/1000),D963),D963)</f>
        <v>0</v>
      </c>
      <c r="P963" s="5" t="n">
        <f aca="false">MIN(IF(AND(G963,E963),(L963-M963)*24/12.1*O963/1000,0),N963)</f>
        <v>0</v>
      </c>
      <c r="Q963" s="5" t="n">
        <f aca="false">IF(P963&gt;0,P963/O963*12.1/24*1000+M963,0)</f>
        <v>0</v>
      </c>
      <c r="R963" s="0" t="n">
        <f aca="false">IF(Q963&gt;0,TRUNC(O963),0)</f>
        <v>0</v>
      </c>
      <c r="S963" s="5" t="n">
        <f aca="false">(M963*(D963-R963)+(Q963*R963))/D963</f>
        <v>700</v>
      </c>
      <c r="T963" s="6" t="n">
        <f aca="false">(Q963-M963)*R963*24/12.1/1000</f>
        <v>-0</v>
      </c>
    </row>
    <row r="964" customFormat="false" ht="14.35" hidden="false" customHeight="false" outlineLevel="0" collapsed="false">
      <c r="A964" s="4" t="n">
        <v>37072</v>
      </c>
      <c r="B964" s="15" t="n">
        <f aca="false">IF(C964&lt;=9,YEAR(A964),YEAR(A964)+1)</f>
        <v>2001</v>
      </c>
      <c r="C964" s="15" t="n">
        <f aca="false">MONTH(A964)</f>
        <v>6</v>
      </c>
      <c r="D964" s="15" t="n">
        <f aca="false">DAY(A964)</f>
        <v>30</v>
      </c>
      <c r="E964" s="15" t="n">
        <f aca="false">VLOOKUP(B964,WYT!$A$2:$L$97,12)</f>
        <v>1</v>
      </c>
      <c r="F964" s="15" t="n">
        <f aca="false">IF(C964=$W$5,1,0)</f>
        <v>0</v>
      </c>
      <c r="G964" s="15" t="n">
        <f aca="false">IF(C964=10,0,IF(F964=1,1,G963))</f>
        <v>1</v>
      </c>
      <c r="H964" s="5" t="n">
        <f aca="false">VA_base_426_data!B964</f>
        <v>4613.15993772446</v>
      </c>
      <c r="I964" s="5" t="n">
        <f aca="false">IF(AND(E964=1,OR(C964=4,C964=5)),25*12.1/24/D964*1000,0)</f>
        <v>0</v>
      </c>
      <c r="J964" s="5" t="n">
        <f aca="false">VA_base_426_data!C964</f>
        <v>1000</v>
      </c>
      <c r="K964" s="5" t="n">
        <f aca="false">H964+I964-J964</f>
        <v>3613.15993772446</v>
      </c>
      <c r="L964" s="5" t="n">
        <f aca="false">MIN($W$7,J964+K964)</f>
        <v>2000</v>
      </c>
      <c r="M964" s="5" t="n">
        <f aca="false">VA_base_426_data!D964</f>
        <v>700</v>
      </c>
      <c r="N964" s="5" t="n">
        <f aca="false">IF(AND(C964=10,E964=1),$W$6,N963-P963)</f>
        <v>0</v>
      </c>
      <c r="O964" s="5" t="n">
        <f aca="false">IF(ABS(M964-L964)&gt;1,MIN(N964/((L964-M964)*24/12.1/1000),D964),D964)</f>
        <v>0</v>
      </c>
      <c r="P964" s="5" t="n">
        <f aca="false">MIN(IF(AND(G964,E964),(L964-M964)*24/12.1*O964/1000,0),N964)</f>
        <v>0</v>
      </c>
      <c r="Q964" s="5" t="n">
        <f aca="false">IF(P964&gt;0,P964/O964*12.1/24*1000+M964,0)</f>
        <v>0</v>
      </c>
      <c r="R964" s="0" t="n">
        <f aca="false">IF(Q964&gt;0,TRUNC(O964),0)</f>
        <v>0</v>
      </c>
      <c r="S964" s="5" t="n">
        <f aca="false">(M964*(D964-R964)+(Q964*R964))/D964</f>
        <v>700</v>
      </c>
      <c r="T964" s="6" t="n">
        <f aca="false">(Q964-M964)*R964*24/12.1/1000</f>
        <v>-0</v>
      </c>
    </row>
    <row r="965" customFormat="false" ht="14.35" hidden="false" customHeight="false" outlineLevel="0" collapsed="false">
      <c r="A965" s="4" t="n">
        <v>37103</v>
      </c>
      <c r="B965" s="15" t="n">
        <f aca="false">IF(C965&lt;=9,YEAR(A965),YEAR(A965)+1)</f>
        <v>2001</v>
      </c>
      <c r="C965" s="15" t="n">
        <f aca="false">MONTH(A965)</f>
        <v>7</v>
      </c>
      <c r="D965" s="15" t="n">
        <f aca="false">DAY(A965)</f>
        <v>31</v>
      </c>
      <c r="E965" s="15" t="n">
        <f aca="false">VLOOKUP(B965,WYT!$A$2:$L$97,12)</f>
        <v>1</v>
      </c>
      <c r="F965" s="15" t="n">
        <f aca="false">IF(C965=$W$5,1,0)</f>
        <v>0</v>
      </c>
      <c r="G965" s="15" t="n">
        <f aca="false">IF(C965=10,0,IF(F965=1,1,G964))</f>
        <v>1</v>
      </c>
      <c r="H965" s="5" t="n">
        <f aca="false">VA_base_426_data!B965</f>
        <v>2286.70698104515</v>
      </c>
      <c r="I965" s="5" t="n">
        <f aca="false">IF(AND(E965=1,OR(C965=4,C965=5)),25*12.1/24/D965*1000,0)</f>
        <v>0</v>
      </c>
      <c r="J965" s="5" t="n">
        <f aca="false">VA_base_426_data!C965</f>
        <v>1000</v>
      </c>
      <c r="K965" s="5" t="n">
        <f aca="false">H965+I965-J965</f>
        <v>1286.70698104515</v>
      </c>
      <c r="L965" s="5" t="n">
        <f aca="false">MIN($W$7,J965+K965)</f>
        <v>2000</v>
      </c>
      <c r="M965" s="5" t="n">
        <f aca="false">VA_base_426_data!D965</f>
        <v>700</v>
      </c>
      <c r="N965" s="5" t="n">
        <f aca="false">IF(AND(C965=10,E965=1),$W$6,N964-P964)</f>
        <v>0</v>
      </c>
      <c r="O965" s="5" t="n">
        <f aca="false">IF(ABS(M965-L965)&gt;1,MIN(N965/((L965-M965)*24/12.1/1000),D965),D965)</f>
        <v>0</v>
      </c>
      <c r="P965" s="5" t="n">
        <f aca="false">MIN(IF(AND(G965,E965),(L965-M965)*24/12.1*O965/1000,0),N965)</f>
        <v>0</v>
      </c>
      <c r="Q965" s="5" t="n">
        <f aca="false">IF(P965&gt;0,P965/O965*12.1/24*1000+M965,0)</f>
        <v>0</v>
      </c>
      <c r="R965" s="0" t="n">
        <f aca="false">IF(Q965&gt;0,TRUNC(O965),0)</f>
        <v>0</v>
      </c>
      <c r="S965" s="5" t="n">
        <f aca="false">(M965*(D965-R965)+(Q965*R965))/D965</f>
        <v>700</v>
      </c>
      <c r="T965" s="6" t="n">
        <f aca="false">(Q965-M965)*R965*24/12.1/1000</f>
        <v>-0</v>
      </c>
    </row>
    <row r="966" customFormat="false" ht="14.35" hidden="false" customHeight="false" outlineLevel="0" collapsed="false">
      <c r="A966" s="4" t="n">
        <v>37134</v>
      </c>
      <c r="B966" s="15" t="n">
        <f aca="false">IF(C966&lt;=9,YEAR(A966),YEAR(A966)+1)</f>
        <v>2001</v>
      </c>
      <c r="C966" s="15" t="n">
        <f aca="false">MONTH(A966)</f>
        <v>8</v>
      </c>
      <c r="D966" s="15" t="n">
        <f aca="false">DAY(A966)</f>
        <v>31</v>
      </c>
      <c r="E966" s="15" t="n">
        <f aca="false">VLOOKUP(B966,WYT!$A$2:$L$97,12)</f>
        <v>1</v>
      </c>
      <c r="F966" s="15" t="n">
        <f aca="false">IF(C966=$W$5,1,0)</f>
        <v>0</v>
      </c>
      <c r="G966" s="15" t="n">
        <f aca="false">IF(C966=10,0,IF(F966=1,1,G965))</f>
        <v>1</v>
      </c>
      <c r="H966" s="5" t="n">
        <f aca="false">VA_base_426_data!B966</f>
        <v>1000</v>
      </c>
      <c r="I966" s="5" t="n">
        <f aca="false">IF(AND(E966=1,OR(C966=4,C966=5)),25*12.1/24/D966*1000,0)</f>
        <v>0</v>
      </c>
      <c r="J966" s="5" t="n">
        <f aca="false">VA_base_426_data!C966</f>
        <v>1000</v>
      </c>
      <c r="K966" s="5" t="n">
        <f aca="false">H966+I966-J966</f>
        <v>0</v>
      </c>
      <c r="L966" s="5" t="n">
        <f aca="false">MIN($W$7,J966+K966)</f>
        <v>1000</v>
      </c>
      <c r="M966" s="5" t="n">
        <f aca="false">VA_base_426_data!D966</f>
        <v>700</v>
      </c>
      <c r="N966" s="5" t="n">
        <f aca="false">IF(AND(C966=10,E966=1),$W$6,N965-P965)</f>
        <v>0</v>
      </c>
      <c r="O966" s="5" t="n">
        <f aca="false">IF(ABS(M966-L966)&gt;1,MIN(N966/((L966-M966)*24/12.1/1000),D966),D966)</f>
        <v>0</v>
      </c>
      <c r="P966" s="5" t="n">
        <f aca="false">MIN(IF(AND(G966,E966),(L966-M966)*24/12.1*O966/1000,0),N966)</f>
        <v>0</v>
      </c>
      <c r="Q966" s="5" t="n">
        <f aca="false">IF(P966&gt;0,P966/O966*12.1/24*1000+M966,0)</f>
        <v>0</v>
      </c>
      <c r="R966" s="0" t="n">
        <f aca="false">IF(Q966&gt;0,TRUNC(O966),0)</f>
        <v>0</v>
      </c>
      <c r="S966" s="5" t="n">
        <f aca="false">(M966*(D966-R966)+(Q966*R966))/D966</f>
        <v>700</v>
      </c>
      <c r="T966" s="6" t="n">
        <f aca="false">(Q966-M966)*R966*24/12.1/1000</f>
        <v>-0</v>
      </c>
    </row>
    <row r="967" customFormat="false" ht="14.35" hidden="false" customHeight="false" outlineLevel="0" collapsed="false">
      <c r="A967" s="4" t="n">
        <v>37164</v>
      </c>
      <c r="B967" s="15" t="n">
        <f aca="false">IF(C967&lt;=9,YEAR(A967),YEAR(A967)+1)</f>
        <v>2001</v>
      </c>
      <c r="C967" s="15" t="n">
        <f aca="false">MONTH(A967)</f>
        <v>9</v>
      </c>
      <c r="D967" s="15" t="n">
        <f aca="false">DAY(A967)</f>
        <v>30</v>
      </c>
      <c r="E967" s="15" t="n">
        <f aca="false">VLOOKUP(B967,WYT!$A$2:$L$97,12)</f>
        <v>1</v>
      </c>
      <c r="F967" s="15" t="n">
        <f aca="false">IF(C967=$W$5,1,0)</f>
        <v>0</v>
      </c>
      <c r="G967" s="15" t="n">
        <f aca="false">IF(C967=10,0,IF(F967=1,1,G966))</f>
        <v>1</v>
      </c>
      <c r="H967" s="5" t="n">
        <f aca="false">VA_base_426_data!B967</f>
        <v>1000</v>
      </c>
      <c r="I967" s="5" t="n">
        <f aca="false">IF(AND(E967=1,OR(C967=4,C967=5)),25*12.1/24/D967*1000,0)</f>
        <v>0</v>
      </c>
      <c r="J967" s="5" t="n">
        <f aca="false">VA_base_426_data!C967</f>
        <v>1000</v>
      </c>
      <c r="K967" s="5" t="n">
        <f aca="false">H967+I967-J967</f>
        <v>0</v>
      </c>
      <c r="L967" s="5" t="n">
        <f aca="false">MIN($W$7,J967+K967)</f>
        <v>1000</v>
      </c>
      <c r="M967" s="5" t="n">
        <f aca="false">VA_base_426_data!D967</f>
        <v>773.3333333</v>
      </c>
      <c r="N967" s="5" t="n">
        <f aca="false">IF(AND(C967=10,E967=1),$W$6,N966-P966)</f>
        <v>0</v>
      </c>
      <c r="O967" s="5" t="n">
        <f aca="false">IF(ABS(M967-L967)&gt;1,MIN(N967/((L967-M967)*24/12.1/1000),D967),D967)</f>
        <v>0</v>
      </c>
      <c r="P967" s="5" t="n">
        <f aca="false">MIN(IF(AND(G967,E967),(L967-M967)*24/12.1*O967/1000,0),N967)</f>
        <v>0</v>
      </c>
      <c r="Q967" s="5" t="n">
        <f aca="false">IF(P967&gt;0,P967/O967*12.1/24*1000+M967,0)</f>
        <v>0</v>
      </c>
      <c r="R967" s="0" t="n">
        <f aca="false">IF(Q967&gt;0,TRUNC(O967),0)</f>
        <v>0</v>
      </c>
      <c r="S967" s="5" t="n">
        <f aca="false">(M967*(D967-R967)+(Q967*R967))/D967</f>
        <v>773.3333333</v>
      </c>
      <c r="T967" s="6" t="n">
        <f aca="false">(Q967-M967)*R967*24/12.1/1000</f>
        <v>-0</v>
      </c>
    </row>
    <row r="968" customFormat="false" ht="14.35" hidden="false" customHeight="false" outlineLevel="0" collapsed="false">
      <c r="A968" s="4" t="n">
        <v>37195</v>
      </c>
      <c r="B968" s="15" t="n">
        <f aca="false">IF(C968&lt;=9,YEAR(A968),YEAR(A968)+1)</f>
        <v>2002</v>
      </c>
      <c r="C968" s="15" t="n">
        <f aca="false">MONTH(A968)</f>
        <v>10</v>
      </c>
      <c r="D968" s="15" t="n">
        <f aca="false">DAY(A968)</f>
        <v>31</v>
      </c>
      <c r="E968" s="15" t="n">
        <f aca="false">VLOOKUP(B968,WYT!$A$2:$L$97,12)</f>
        <v>1</v>
      </c>
      <c r="F968" s="15" t="n">
        <f aca="false">IF(C968=$W$5,1,0)</f>
        <v>0</v>
      </c>
      <c r="G968" s="15" t="n">
        <f aca="false">IF(C968=10,0,IF(F968=1,1,G967))</f>
        <v>0</v>
      </c>
      <c r="H968" s="5" t="n">
        <f aca="false">VA_base_426_data!B968</f>
        <v>2388.4875419092</v>
      </c>
      <c r="I968" s="5" t="n">
        <f aca="false">IF(AND(E968=1,OR(C968=4,C968=5)),25*12.1/24/D968*1000,0)</f>
        <v>0</v>
      </c>
      <c r="J968" s="5" t="n">
        <f aca="false">VA_base_426_data!C968</f>
        <v>1200</v>
      </c>
      <c r="K968" s="5" t="n">
        <f aca="false">H968+I968-J968</f>
        <v>1188.4875419092</v>
      </c>
      <c r="L968" s="5" t="n">
        <f aca="false">MIN($W$7,J968+K968)</f>
        <v>2000</v>
      </c>
      <c r="M968" s="5" t="n">
        <f aca="false">VA_base_426_data!D968</f>
        <v>800</v>
      </c>
      <c r="N968" s="5" t="n">
        <f aca="false">IF(AND(C968=10,E968=1),$W$6,N967-P967)</f>
        <v>43</v>
      </c>
      <c r="O968" s="5" t="n">
        <f aca="false">IF(ABS(M968-L968)&gt;1,MIN(N968/((L968-M968)*24/12.1/1000),D968),D968)</f>
        <v>18.0659722222222</v>
      </c>
      <c r="P968" s="5" t="n">
        <f aca="false">MIN(IF(AND(G968,E968),(L968-M968)*24/12.1*O968/1000,0),N968)</f>
        <v>0</v>
      </c>
      <c r="Q968" s="5" t="n">
        <f aca="false">IF(P968&gt;0,P968/O968*12.1/24*1000+M968,0)</f>
        <v>0</v>
      </c>
      <c r="R968" s="0" t="n">
        <f aca="false">IF(Q968&gt;0,TRUNC(O968),0)</f>
        <v>0</v>
      </c>
      <c r="S968" s="5" t="n">
        <f aca="false">(M968*(D968-R968)+(Q968*R968))/D968</f>
        <v>800</v>
      </c>
      <c r="T968" s="6" t="n">
        <f aca="false">(Q968-M968)*R968*24/12.1/1000</f>
        <v>-0</v>
      </c>
    </row>
    <row r="969" customFormat="false" ht="14.35" hidden="false" customHeight="false" outlineLevel="0" collapsed="false">
      <c r="A969" s="4" t="n">
        <v>37225</v>
      </c>
      <c r="B969" s="15" t="n">
        <f aca="false">IF(C969&lt;=9,YEAR(A969),YEAR(A969)+1)</f>
        <v>2002</v>
      </c>
      <c r="C969" s="15" t="n">
        <f aca="false">MONTH(A969)</f>
        <v>11</v>
      </c>
      <c r="D969" s="15" t="n">
        <f aca="false">DAY(A969)</f>
        <v>30</v>
      </c>
      <c r="E969" s="15" t="n">
        <f aca="false">VLOOKUP(B969,WYT!$A$2:$L$97,12)</f>
        <v>1</v>
      </c>
      <c r="F969" s="15" t="n">
        <f aca="false">IF(C969=$W$5,1,0)</f>
        <v>0</v>
      </c>
      <c r="G969" s="15" t="n">
        <f aca="false">IF(C969=10,0,IF(F969=1,1,G968))</f>
        <v>0</v>
      </c>
      <c r="H969" s="5" t="n">
        <f aca="false">VA_base_426_data!B969</f>
        <v>1200</v>
      </c>
      <c r="I969" s="5" t="n">
        <f aca="false">IF(AND(E969=1,OR(C969=4,C969=5)),25*12.1/24/D969*1000,0)</f>
        <v>0</v>
      </c>
      <c r="J969" s="5" t="n">
        <f aca="false">VA_base_426_data!C969</f>
        <v>1200</v>
      </c>
      <c r="K969" s="5" t="n">
        <f aca="false">H969+I969-J969</f>
        <v>0</v>
      </c>
      <c r="L969" s="5" t="n">
        <f aca="false">MIN($W$7,J969+K969)</f>
        <v>1200</v>
      </c>
      <c r="M969" s="5" t="n">
        <f aca="false">VA_base_426_data!D969</f>
        <v>800</v>
      </c>
      <c r="N969" s="5" t="n">
        <f aca="false">IF(AND(C969=10,E969=1),$W$6,N968-P968)</f>
        <v>43</v>
      </c>
      <c r="O969" s="5" t="n">
        <f aca="false">IF(ABS(M969-L969)&gt;1,MIN(N969/((L969-M969)*24/12.1/1000),D969),D969)</f>
        <v>30</v>
      </c>
      <c r="P969" s="5" t="n">
        <f aca="false">MIN(IF(AND(G969,E969),(L969-M969)*24/12.1*O969/1000,0),N969)</f>
        <v>0</v>
      </c>
      <c r="Q969" s="5" t="n">
        <f aca="false">IF(P969&gt;0,P969/O969*12.1/24*1000+M969,0)</f>
        <v>0</v>
      </c>
      <c r="R969" s="0" t="n">
        <f aca="false">IF(Q969&gt;0,TRUNC(O969),0)</f>
        <v>0</v>
      </c>
      <c r="S969" s="5" t="n">
        <f aca="false">(M969*(D969-R969)+(Q969*R969))/D969</f>
        <v>800</v>
      </c>
      <c r="T969" s="6" t="n">
        <f aca="false">(Q969-M969)*R969*24/12.1/1000</f>
        <v>-0</v>
      </c>
    </row>
    <row r="970" customFormat="false" ht="14.35" hidden="false" customHeight="false" outlineLevel="0" collapsed="false">
      <c r="A970" s="4" t="n">
        <v>37256</v>
      </c>
      <c r="B970" s="15" t="n">
        <f aca="false">IF(C970&lt;=9,YEAR(A970),YEAR(A970)+1)</f>
        <v>2002</v>
      </c>
      <c r="C970" s="15" t="n">
        <f aca="false">MONTH(A970)</f>
        <v>12</v>
      </c>
      <c r="D970" s="15" t="n">
        <f aca="false">DAY(A970)</f>
        <v>31</v>
      </c>
      <c r="E970" s="15" t="n">
        <f aca="false">VLOOKUP(B970,WYT!$A$2:$L$97,12)</f>
        <v>1</v>
      </c>
      <c r="F970" s="15" t="n">
        <f aca="false">IF(C970=$W$5,1,0)</f>
        <v>0</v>
      </c>
      <c r="G970" s="15" t="n">
        <f aca="false">IF(C970=10,0,IF(F970=1,1,G969))</f>
        <v>0</v>
      </c>
      <c r="H970" s="5" t="n">
        <f aca="false">VA_base_426_data!B970</f>
        <v>1200</v>
      </c>
      <c r="I970" s="5" t="n">
        <f aca="false">IF(AND(E970=1,OR(C970=4,C970=5)),25*12.1/24/D970*1000,0)</f>
        <v>0</v>
      </c>
      <c r="J970" s="5" t="n">
        <f aca="false">VA_base_426_data!C970</f>
        <v>1200</v>
      </c>
      <c r="K970" s="5" t="n">
        <f aca="false">H970+I970-J970</f>
        <v>0</v>
      </c>
      <c r="L970" s="5" t="n">
        <f aca="false">MIN($W$7,J970+K970)</f>
        <v>1200</v>
      </c>
      <c r="M970" s="5" t="n">
        <f aca="false">VA_base_426_data!D970</f>
        <v>800</v>
      </c>
      <c r="N970" s="5" t="n">
        <f aca="false">IF(AND(C970=10,E970=1),$W$6,N969-P969)</f>
        <v>43</v>
      </c>
      <c r="O970" s="5" t="n">
        <f aca="false">IF(ABS(M970-L970)&gt;1,MIN(N970/((L970-M970)*24/12.1/1000),D970),D970)</f>
        <v>31</v>
      </c>
      <c r="P970" s="5" t="n">
        <f aca="false">MIN(IF(AND(G970,E970),(L970-M970)*24/12.1*O970/1000,0),N970)</f>
        <v>0</v>
      </c>
      <c r="Q970" s="5" t="n">
        <f aca="false">IF(P970&gt;0,P970/O970*12.1/24*1000+M970,0)</f>
        <v>0</v>
      </c>
      <c r="R970" s="0" t="n">
        <f aca="false">IF(Q970&gt;0,TRUNC(O970),0)</f>
        <v>0</v>
      </c>
      <c r="S970" s="5" t="n">
        <f aca="false">(M970*(D970-R970)+(Q970*R970))/D970</f>
        <v>800</v>
      </c>
      <c r="T970" s="6" t="n">
        <f aca="false">(Q970-M970)*R970*24/12.1/1000</f>
        <v>-0</v>
      </c>
    </row>
    <row r="971" customFormat="false" ht="14.35" hidden="false" customHeight="false" outlineLevel="0" collapsed="false">
      <c r="A971" s="4" t="n">
        <v>37287</v>
      </c>
      <c r="B971" s="15" t="n">
        <f aca="false">IF(C971&lt;=9,YEAR(A971),YEAR(A971)+1)</f>
        <v>2002</v>
      </c>
      <c r="C971" s="15" t="n">
        <f aca="false">MONTH(A971)</f>
        <v>1</v>
      </c>
      <c r="D971" s="15" t="n">
        <f aca="false">DAY(A971)</f>
        <v>31</v>
      </c>
      <c r="E971" s="15" t="n">
        <f aca="false">VLOOKUP(B971,WYT!$A$2:$L$97,12)</f>
        <v>1</v>
      </c>
      <c r="F971" s="15" t="n">
        <f aca="false">IF(C971=$W$5,1,0)</f>
        <v>0</v>
      </c>
      <c r="G971" s="15" t="n">
        <f aca="false">IF(C971=10,0,IF(F971=1,1,G970))</f>
        <v>0</v>
      </c>
      <c r="H971" s="5" t="n">
        <f aca="false">VA_base_426_data!B971</f>
        <v>1200</v>
      </c>
      <c r="I971" s="5" t="n">
        <f aca="false">IF(AND(E971=1,OR(C971=4,C971=5)),25*12.1/24/D971*1000,0)</f>
        <v>0</v>
      </c>
      <c r="J971" s="5" t="n">
        <f aca="false">VA_base_426_data!C971</f>
        <v>1200</v>
      </c>
      <c r="K971" s="5" t="n">
        <f aca="false">H971+I971-J971</f>
        <v>0</v>
      </c>
      <c r="L971" s="5" t="n">
        <f aca="false">MIN($W$7,J971+K971)</f>
        <v>1200</v>
      </c>
      <c r="M971" s="5" t="n">
        <f aca="false">VA_base_426_data!D971</f>
        <v>800</v>
      </c>
      <c r="N971" s="5" t="n">
        <f aca="false">IF(AND(C971=10,E971=1),$W$6,N970-P970)</f>
        <v>43</v>
      </c>
      <c r="O971" s="5" t="n">
        <f aca="false">IF(ABS(M971-L971)&gt;1,MIN(N971/((L971-M971)*24/12.1/1000),D971),D971)</f>
        <v>31</v>
      </c>
      <c r="P971" s="5" t="n">
        <f aca="false">MIN(IF(AND(G971,E971),(L971-M971)*24/12.1*O971/1000,0),N971)</f>
        <v>0</v>
      </c>
      <c r="Q971" s="5" t="n">
        <f aca="false">IF(P971&gt;0,P971/O971*12.1/24*1000+M971,0)</f>
        <v>0</v>
      </c>
      <c r="R971" s="0" t="n">
        <f aca="false">IF(Q971&gt;0,TRUNC(O971),0)</f>
        <v>0</v>
      </c>
      <c r="S971" s="5" t="n">
        <f aca="false">(M971*(D971-R971)+(Q971*R971))/D971</f>
        <v>800</v>
      </c>
      <c r="T971" s="6" t="n">
        <f aca="false">(Q971-M971)*R971*24/12.1/1000</f>
        <v>-0</v>
      </c>
    </row>
    <row r="972" customFormat="false" ht="14.35" hidden="false" customHeight="false" outlineLevel="0" collapsed="false">
      <c r="A972" s="4" t="n">
        <v>37315</v>
      </c>
      <c r="B972" s="15" t="n">
        <f aca="false">IF(C972&lt;=9,YEAR(A972),YEAR(A972)+1)</f>
        <v>2002</v>
      </c>
      <c r="C972" s="15" t="n">
        <f aca="false">MONTH(A972)</f>
        <v>2</v>
      </c>
      <c r="D972" s="15" t="n">
        <f aca="false">DAY(A972)</f>
        <v>28</v>
      </c>
      <c r="E972" s="15" t="n">
        <f aca="false">VLOOKUP(B972,WYT!$A$2:$L$97,12)</f>
        <v>1</v>
      </c>
      <c r="F972" s="15" t="n">
        <f aca="false">IF(C972=$W$5,1,0)</f>
        <v>1</v>
      </c>
      <c r="G972" s="15" t="n">
        <f aca="false">IF(C972=10,0,IF(F972=1,1,G971))</f>
        <v>1</v>
      </c>
      <c r="H972" s="5" t="n">
        <f aca="false">VA_base_426_data!B972</f>
        <v>1200</v>
      </c>
      <c r="I972" s="5" t="n">
        <f aca="false">IF(AND(E972=1,OR(C972=4,C972=5)),25*12.1/24/D972*1000,0)</f>
        <v>0</v>
      </c>
      <c r="J972" s="5" t="n">
        <f aca="false">VA_base_426_data!C972</f>
        <v>1200</v>
      </c>
      <c r="K972" s="5" t="n">
        <f aca="false">H972+I972-J972</f>
        <v>0</v>
      </c>
      <c r="L972" s="5" t="n">
        <f aca="false">MIN($W$7,J972+K972)</f>
        <v>1200</v>
      </c>
      <c r="M972" s="5" t="n">
        <f aca="false">VA_base_426_data!D972</f>
        <v>800</v>
      </c>
      <c r="N972" s="5" t="n">
        <f aca="false">IF(AND(C972=10,E972=1),$W$6,N971-P971)</f>
        <v>43</v>
      </c>
      <c r="O972" s="5" t="n">
        <f aca="false">IF(ABS(M972-L972)&gt;1,MIN(N972/((L972-M972)*24/12.1/1000),D972),D972)</f>
        <v>28</v>
      </c>
      <c r="P972" s="5" t="n">
        <f aca="false">MIN(IF(AND(G972,E972),(L972-M972)*24/12.1*O972/1000,0),N972)</f>
        <v>22.2148760330578</v>
      </c>
      <c r="Q972" s="5" t="n">
        <f aca="false">IF(P972&gt;0,P972/O972*12.1/24*1000+M972,0)</f>
        <v>1200</v>
      </c>
      <c r="R972" s="0" t="n">
        <f aca="false">IF(Q972&gt;0,TRUNC(O972),0)</f>
        <v>28</v>
      </c>
      <c r="S972" s="5" t="n">
        <f aca="false">(M972*(D972-R972)+(Q972*R972))/D972</f>
        <v>1200</v>
      </c>
      <c r="T972" s="6" t="n">
        <f aca="false">(Q972-M972)*R972*24/12.1/1000</f>
        <v>22.2148760330578</v>
      </c>
    </row>
    <row r="973" customFormat="false" ht="14.35" hidden="false" customHeight="false" outlineLevel="0" collapsed="false">
      <c r="A973" s="4" t="n">
        <v>37346</v>
      </c>
      <c r="B973" s="15" t="n">
        <f aca="false">IF(C973&lt;=9,YEAR(A973),YEAR(A973)+1)</f>
        <v>2002</v>
      </c>
      <c r="C973" s="15" t="n">
        <f aca="false">MONTH(A973)</f>
        <v>3</v>
      </c>
      <c r="D973" s="15" t="n">
        <f aca="false">DAY(A973)</f>
        <v>31</v>
      </c>
      <c r="E973" s="15" t="n">
        <f aca="false">VLOOKUP(B973,WYT!$A$2:$L$97,12)</f>
        <v>1</v>
      </c>
      <c r="F973" s="15" t="n">
        <f aca="false">IF(C973=$W$5,1,0)</f>
        <v>0</v>
      </c>
      <c r="G973" s="15" t="n">
        <f aca="false">IF(C973=10,0,IF(F973=1,1,G972))</f>
        <v>1</v>
      </c>
      <c r="H973" s="5" t="n">
        <f aca="false">VA_base_426_data!B973</f>
        <v>1000</v>
      </c>
      <c r="I973" s="5" t="n">
        <f aca="false">IF(AND(E973=1,OR(C973=4,C973=5)),25*12.1/24/D973*1000,0)</f>
        <v>0</v>
      </c>
      <c r="J973" s="5" t="n">
        <f aca="false">VA_base_426_data!C973</f>
        <v>1000</v>
      </c>
      <c r="K973" s="5" t="n">
        <f aca="false">H973+I973-J973</f>
        <v>0</v>
      </c>
      <c r="L973" s="5" t="n">
        <f aca="false">MIN($W$7,J973+K973)</f>
        <v>1000</v>
      </c>
      <c r="M973" s="5" t="n">
        <f aca="false">VA_base_426_data!D973</f>
        <v>800</v>
      </c>
      <c r="N973" s="5" t="n">
        <f aca="false">IF(AND(C973=10,E973=1),$W$6,N972-P972)</f>
        <v>20.7851239669421</v>
      </c>
      <c r="O973" s="5" t="n">
        <f aca="false">IF(ABS(M973-L973)&gt;1,MIN(N973/((L973-M973)*24/12.1/1000),D973),D973)</f>
        <v>31</v>
      </c>
      <c r="P973" s="5" t="n">
        <f aca="false">MIN(IF(AND(G973,E973),(L973-M973)*24/12.1*O973/1000,0),N973)</f>
        <v>12.297520661157</v>
      </c>
      <c r="Q973" s="5" t="n">
        <f aca="false">IF(P973&gt;0,P973/O973*12.1/24*1000+M973,0)</f>
        <v>1000</v>
      </c>
      <c r="R973" s="0" t="n">
        <f aca="false">IF(Q973&gt;0,TRUNC(O973),0)</f>
        <v>31</v>
      </c>
      <c r="S973" s="5" t="n">
        <f aca="false">(M973*(D973-R973)+(Q973*R973))/D973</f>
        <v>1000</v>
      </c>
      <c r="T973" s="6" t="n">
        <f aca="false">(Q973-M973)*R973*24/12.1/1000</f>
        <v>12.297520661157</v>
      </c>
    </row>
    <row r="974" customFormat="false" ht="14.35" hidden="false" customHeight="false" outlineLevel="0" collapsed="false">
      <c r="A974" s="4" t="n">
        <v>37376</v>
      </c>
      <c r="B974" s="15" t="n">
        <f aca="false">IF(C974&lt;=9,YEAR(A974),YEAR(A974)+1)</f>
        <v>2002</v>
      </c>
      <c r="C974" s="15" t="n">
        <f aca="false">MONTH(A974)</f>
        <v>4</v>
      </c>
      <c r="D974" s="15" t="n">
        <f aca="false">DAY(A974)</f>
        <v>30</v>
      </c>
      <c r="E974" s="15" t="n">
        <f aca="false">VLOOKUP(B974,WYT!$A$2:$L$97,12)</f>
        <v>1</v>
      </c>
      <c r="F974" s="15" t="n">
        <f aca="false">IF(C974=$W$5,1,0)</f>
        <v>0</v>
      </c>
      <c r="G974" s="15" t="n">
        <f aca="false">IF(C974=10,0,IF(F974=1,1,G973))</f>
        <v>1</v>
      </c>
      <c r="H974" s="5" t="n">
        <f aca="false">VA_base_426_data!B974</f>
        <v>1000</v>
      </c>
      <c r="I974" s="5" t="n">
        <f aca="false">IF(AND(E974=1,OR(C974=4,C974=5)),25*12.1/24/D974*1000,0)</f>
        <v>420.138888888889</v>
      </c>
      <c r="J974" s="5" t="n">
        <f aca="false">VA_base_426_data!C974</f>
        <v>1000</v>
      </c>
      <c r="K974" s="5" t="n">
        <f aca="false">H974+I974-J974</f>
        <v>420.138888888889</v>
      </c>
      <c r="L974" s="5" t="n">
        <f aca="false">MIN($W$7,J974+K974)</f>
        <v>1420.13888888889</v>
      </c>
      <c r="M974" s="5" t="n">
        <f aca="false">VA_base_426_data!D974</f>
        <v>700</v>
      </c>
      <c r="N974" s="5" t="n">
        <f aca="false">IF(AND(C974=10,E974=1),$W$6,N973-P973)</f>
        <v>8.48760330578512</v>
      </c>
      <c r="O974" s="5" t="n">
        <f aca="false">IF(ABS(M974-L974)&gt;1,MIN(N974/((L974-M974)*24/12.1/1000),D974),D974)</f>
        <v>5.94214079074253</v>
      </c>
      <c r="P974" s="5" t="n">
        <f aca="false">MIN(IF(AND(G974,E974),(L974-M974)*24/12.1*O974/1000,0),N974)</f>
        <v>8.48760330578512</v>
      </c>
      <c r="Q974" s="5" t="n">
        <f aca="false">IF(P974&gt;0,P974/O974*12.1/24*1000+M974,0)</f>
        <v>1420.13888888889</v>
      </c>
      <c r="R974" s="0" t="n">
        <f aca="false">IF(Q974&gt;0,TRUNC(O974),0)</f>
        <v>5</v>
      </c>
      <c r="S974" s="5" t="n">
        <f aca="false">(M974*(D974-R974)+(Q974*R974))/D974</f>
        <v>820.023148148148</v>
      </c>
      <c r="T974" s="6" t="n">
        <f aca="false">(Q974-M974)*R974*24/12.1/1000</f>
        <v>7.14187327823692</v>
      </c>
    </row>
    <row r="975" customFormat="false" ht="14.35" hidden="false" customHeight="false" outlineLevel="0" collapsed="false">
      <c r="A975" s="4" t="n">
        <v>37407</v>
      </c>
      <c r="B975" s="15" t="n">
        <f aca="false">IF(C975&lt;=9,YEAR(A975),YEAR(A975)+1)</f>
        <v>2002</v>
      </c>
      <c r="C975" s="15" t="n">
        <f aca="false">MONTH(A975)</f>
        <v>5</v>
      </c>
      <c r="D975" s="15" t="n">
        <f aca="false">DAY(A975)</f>
        <v>31</v>
      </c>
      <c r="E975" s="15" t="n">
        <f aca="false">VLOOKUP(B975,WYT!$A$2:$L$97,12)</f>
        <v>1</v>
      </c>
      <c r="F975" s="15" t="n">
        <f aca="false">IF(C975=$W$5,1,0)</f>
        <v>0</v>
      </c>
      <c r="G975" s="15" t="n">
        <f aca="false">IF(C975=10,0,IF(F975=1,1,G974))</f>
        <v>1</v>
      </c>
      <c r="H975" s="5" t="n">
        <f aca="false">VA_base_426_data!B975</f>
        <v>1000</v>
      </c>
      <c r="I975" s="5" t="n">
        <f aca="false">IF(AND(E975=1,OR(C975=4,C975=5)),25*12.1/24/D975*1000,0)</f>
        <v>406.586021505376</v>
      </c>
      <c r="J975" s="5" t="n">
        <f aca="false">VA_base_426_data!C975</f>
        <v>1000</v>
      </c>
      <c r="K975" s="5" t="n">
        <f aca="false">H975+I975-J975</f>
        <v>406.586021505376</v>
      </c>
      <c r="L975" s="5" t="n">
        <f aca="false">MIN($W$7,J975+K975)</f>
        <v>1406.58602150538</v>
      </c>
      <c r="M975" s="5" t="n">
        <f aca="false">VA_base_426_data!D975</f>
        <v>700</v>
      </c>
      <c r="N975" s="5" t="n">
        <f aca="false">IF(AND(C975=10,E975=1),$W$6,N974-P974)</f>
        <v>0</v>
      </c>
      <c r="O975" s="5" t="n">
        <f aca="false">IF(ABS(M975-L975)&gt;1,MIN(N975/((L975-M975)*24/12.1/1000),D975),D975)</f>
        <v>0</v>
      </c>
      <c r="P975" s="5" t="n">
        <f aca="false">MIN(IF(AND(G975,E975),(L975-M975)*24/12.1*O975/1000,0),N975)</f>
        <v>0</v>
      </c>
      <c r="Q975" s="5" t="n">
        <f aca="false">IF(P975&gt;0,P975/O975*12.1/24*1000+M975,0)</f>
        <v>0</v>
      </c>
      <c r="R975" s="0" t="n">
        <f aca="false">IF(Q975&gt;0,TRUNC(O975),0)</f>
        <v>0</v>
      </c>
      <c r="S975" s="5" t="n">
        <f aca="false">(M975*(D975-R975)+(Q975*R975))/D975</f>
        <v>700</v>
      </c>
      <c r="T975" s="6" t="n">
        <f aca="false">(Q975-M975)*R975*24/12.1/1000</f>
        <v>-0</v>
      </c>
    </row>
    <row r="976" customFormat="false" ht="14.35" hidden="false" customHeight="false" outlineLevel="0" collapsed="false">
      <c r="A976" s="4" t="n">
        <v>37437</v>
      </c>
      <c r="B976" s="15" t="n">
        <f aca="false">IF(C976&lt;=9,YEAR(A976),YEAR(A976)+1)</f>
        <v>2002</v>
      </c>
      <c r="C976" s="15" t="n">
        <f aca="false">MONTH(A976)</f>
        <v>6</v>
      </c>
      <c r="D976" s="15" t="n">
        <f aca="false">DAY(A976)</f>
        <v>30</v>
      </c>
      <c r="E976" s="15" t="n">
        <f aca="false">VLOOKUP(B976,WYT!$A$2:$L$97,12)</f>
        <v>1</v>
      </c>
      <c r="F976" s="15" t="n">
        <f aca="false">IF(C976=$W$5,1,0)</f>
        <v>0</v>
      </c>
      <c r="G976" s="15" t="n">
        <f aca="false">IF(C976=10,0,IF(F976=1,1,G975))</f>
        <v>1</v>
      </c>
      <c r="H976" s="5" t="n">
        <f aca="false">VA_base_426_data!B976</f>
        <v>3106.78368804022</v>
      </c>
      <c r="I976" s="5" t="n">
        <f aca="false">IF(AND(E976=1,OR(C976=4,C976=5)),25*12.1/24/D976*1000,0)</f>
        <v>0</v>
      </c>
      <c r="J976" s="5" t="n">
        <f aca="false">VA_base_426_data!C976</f>
        <v>1000</v>
      </c>
      <c r="K976" s="5" t="n">
        <f aca="false">H976+I976-J976</f>
        <v>2106.78368804022</v>
      </c>
      <c r="L976" s="5" t="n">
        <f aca="false">MIN($W$7,J976+K976)</f>
        <v>2000</v>
      </c>
      <c r="M976" s="5" t="n">
        <f aca="false">VA_base_426_data!D976</f>
        <v>700</v>
      </c>
      <c r="N976" s="5" t="n">
        <f aca="false">IF(AND(C976=10,E976=1),$W$6,N975-P975)</f>
        <v>0</v>
      </c>
      <c r="O976" s="5" t="n">
        <f aca="false">IF(ABS(M976-L976)&gt;1,MIN(N976/((L976-M976)*24/12.1/1000),D976),D976)</f>
        <v>0</v>
      </c>
      <c r="P976" s="5" t="n">
        <f aca="false">MIN(IF(AND(G976,E976),(L976-M976)*24/12.1*O976/1000,0),N976)</f>
        <v>0</v>
      </c>
      <c r="Q976" s="5" t="n">
        <f aca="false">IF(P976&gt;0,P976/O976*12.1/24*1000+M976,0)</f>
        <v>0</v>
      </c>
      <c r="R976" s="0" t="n">
        <f aca="false">IF(Q976&gt;0,TRUNC(O976),0)</f>
        <v>0</v>
      </c>
      <c r="S976" s="5" t="n">
        <f aca="false">(M976*(D976-R976)+(Q976*R976))/D976</f>
        <v>700</v>
      </c>
      <c r="T976" s="6" t="n">
        <f aca="false">(Q976-M976)*R976*24/12.1/1000</f>
        <v>-0</v>
      </c>
    </row>
    <row r="977" customFormat="false" ht="14.35" hidden="false" customHeight="false" outlineLevel="0" collapsed="false">
      <c r="A977" s="4" t="n">
        <v>37468</v>
      </c>
      <c r="B977" s="15" t="n">
        <f aca="false">IF(C977&lt;=9,YEAR(A977),YEAR(A977)+1)</f>
        <v>2002</v>
      </c>
      <c r="C977" s="15" t="n">
        <f aca="false">MONTH(A977)</f>
        <v>7</v>
      </c>
      <c r="D977" s="15" t="n">
        <f aca="false">DAY(A977)</f>
        <v>31</v>
      </c>
      <c r="E977" s="15" t="n">
        <f aca="false">VLOOKUP(B977,WYT!$A$2:$L$97,12)</f>
        <v>1</v>
      </c>
      <c r="F977" s="15" t="n">
        <f aca="false">IF(C977=$W$5,1,0)</f>
        <v>0</v>
      </c>
      <c r="G977" s="15" t="n">
        <f aca="false">IF(C977=10,0,IF(F977=1,1,G976))</f>
        <v>1</v>
      </c>
      <c r="H977" s="5" t="n">
        <f aca="false">VA_base_426_data!B977</f>
        <v>5823.79884109694</v>
      </c>
      <c r="I977" s="5" t="n">
        <f aca="false">IF(AND(E977=1,OR(C977=4,C977=5)),25*12.1/24/D977*1000,0)</f>
        <v>0</v>
      </c>
      <c r="J977" s="5" t="n">
        <f aca="false">VA_base_426_data!C977</f>
        <v>1000</v>
      </c>
      <c r="K977" s="5" t="n">
        <f aca="false">H977+I977-J977</f>
        <v>4823.79884109694</v>
      </c>
      <c r="L977" s="5" t="n">
        <f aca="false">MIN($W$7,J977+K977)</f>
        <v>2000</v>
      </c>
      <c r="M977" s="5" t="n">
        <f aca="false">VA_base_426_data!D977</f>
        <v>700</v>
      </c>
      <c r="N977" s="5" t="n">
        <f aca="false">IF(AND(C977=10,E977=1),$W$6,N976-P976)</f>
        <v>0</v>
      </c>
      <c r="O977" s="5" t="n">
        <f aca="false">IF(ABS(M977-L977)&gt;1,MIN(N977/((L977-M977)*24/12.1/1000),D977),D977)</f>
        <v>0</v>
      </c>
      <c r="P977" s="5" t="n">
        <f aca="false">MIN(IF(AND(G977,E977),(L977-M977)*24/12.1*O977/1000,0),N977)</f>
        <v>0</v>
      </c>
      <c r="Q977" s="5" t="n">
        <f aca="false">IF(P977&gt;0,P977/O977*12.1/24*1000+M977,0)</f>
        <v>0</v>
      </c>
      <c r="R977" s="0" t="n">
        <f aca="false">IF(Q977&gt;0,TRUNC(O977),0)</f>
        <v>0</v>
      </c>
      <c r="S977" s="5" t="n">
        <f aca="false">(M977*(D977-R977)+(Q977*R977))/D977</f>
        <v>700</v>
      </c>
      <c r="T977" s="6" t="n">
        <f aca="false">(Q977-M977)*R977*24/12.1/1000</f>
        <v>-0</v>
      </c>
    </row>
    <row r="978" customFormat="false" ht="14.35" hidden="false" customHeight="false" outlineLevel="0" collapsed="false">
      <c r="A978" s="4" t="n">
        <v>37499</v>
      </c>
      <c r="B978" s="15" t="n">
        <f aca="false">IF(C978&lt;=9,YEAR(A978),YEAR(A978)+1)</f>
        <v>2002</v>
      </c>
      <c r="C978" s="15" t="n">
        <f aca="false">MONTH(A978)</f>
        <v>8</v>
      </c>
      <c r="D978" s="15" t="n">
        <f aca="false">DAY(A978)</f>
        <v>31</v>
      </c>
      <c r="E978" s="15" t="n">
        <f aca="false">VLOOKUP(B978,WYT!$A$2:$L$97,12)</f>
        <v>1</v>
      </c>
      <c r="F978" s="15" t="n">
        <f aca="false">IF(C978=$W$5,1,0)</f>
        <v>0</v>
      </c>
      <c r="G978" s="15" t="n">
        <f aca="false">IF(C978=10,0,IF(F978=1,1,G977))</f>
        <v>1</v>
      </c>
      <c r="H978" s="5" t="n">
        <f aca="false">VA_base_426_data!B978</f>
        <v>1000</v>
      </c>
      <c r="I978" s="5" t="n">
        <f aca="false">IF(AND(E978=1,OR(C978=4,C978=5)),25*12.1/24/D978*1000,0)</f>
        <v>0</v>
      </c>
      <c r="J978" s="5" t="n">
        <f aca="false">VA_base_426_data!C978</f>
        <v>1000</v>
      </c>
      <c r="K978" s="5" t="n">
        <f aca="false">H978+I978-J978</f>
        <v>0</v>
      </c>
      <c r="L978" s="5" t="n">
        <f aca="false">MIN($W$7,J978+K978)</f>
        <v>1000</v>
      </c>
      <c r="M978" s="5" t="n">
        <f aca="false">VA_base_426_data!D978</f>
        <v>700</v>
      </c>
      <c r="N978" s="5" t="n">
        <f aca="false">IF(AND(C978=10,E978=1),$W$6,N977-P977)</f>
        <v>0</v>
      </c>
      <c r="O978" s="5" t="n">
        <f aca="false">IF(ABS(M978-L978)&gt;1,MIN(N978/((L978-M978)*24/12.1/1000),D978),D978)</f>
        <v>0</v>
      </c>
      <c r="P978" s="5" t="n">
        <f aca="false">MIN(IF(AND(G978,E978),(L978-M978)*24/12.1*O978/1000,0),N978)</f>
        <v>0</v>
      </c>
      <c r="Q978" s="5" t="n">
        <f aca="false">IF(P978&gt;0,P978/O978*12.1/24*1000+M978,0)</f>
        <v>0</v>
      </c>
      <c r="R978" s="0" t="n">
        <f aca="false">IF(Q978&gt;0,TRUNC(O978),0)</f>
        <v>0</v>
      </c>
      <c r="S978" s="5" t="n">
        <f aca="false">(M978*(D978-R978)+(Q978*R978))/D978</f>
        <v>700</v>
      </c>
      <c r="T978" s="6" t="n">
        <f aca="false">(Q978-M978)*R978*24/12.1/1000</f>
        <v>-0</v>
      </c>
    </row>
    <row r="979" customFormat="false" ht="14.35" hidden="false" customHeight="false" outlineLevel="0" collapsed="false">
      <c r="A979" s="4" t="n">
        <v>37529</v>
      </c>
      <c r="B979" s="15" t="n">
        <f aca="false">IF(C979&lt;=9,YEAR(A979),YEAR(A979)+1)</f>
        <v>2002</v>
      </c>
      <c r="C979" s="15" t="n">
        <f aca="false">MONTH(A979)</f>
        <v>9</v>
      </c>
      <c r="D979" s="15" t="n">
        <f aca="false">DAY(A979)</f>
        <v>30</v>
      </c>
      <c r="E979" s="15" t="n">
        <f aca="false">VLOOKUP(B979,WYT!$A$2:$L$97,12)</f>
        <v>1</v>
      </c>
      <c r="F979" s="15" t="n">
        <f aca="false">IF(C979=$W$5,1,0)</f>
        <v>0</v>
      </c>
      <c r="G979" s="15" t="n">
        <f aca="false">IF(C979=10,0,IF(F979=1,1,G978))</f>
        <v>1</v>
      </c>
      <c r="H979" s="5" t="n">
        <f aca="false">VA_base_426_data!B979</f>
        <v>1111.92277383245</v>
      </c>
      <c r="I979" s="5" t="n">
        <f aca="false">IF(AND(E979=1,OR(C979=4,C979=5)),25*12.1/24/D979*1000,0)</f>
        <v>0</v>
      </c>
      <c r="J979" s="5" t="n">
        <f aca="false">VA_base_426_data!C979</f>
        <v>1000</v>
      </c>
      <c r="K979" s="5" t="n">
        <f aca="false">H979+I979-J979</f>
        <v>111.922773832451</v>
      </c>
      <c r="L979" s="5" t="n">
        <f aca="false">MIN($W$7,J979+K979)</f>
        <v>1111.92277383245</v>
      </c>
      <c r="M979" s="5" t="n">
        <f aca="false">VA_base_426_data!D979</f>
        <v>773.3333333</v>
      </c>
      <c r="N979" s="5" t="n">
        <f aca="false">IF(AND(C979=10,E979=1),$W$6,N978-P978)</f>
        <v>0</v>
      </c>
      <c r="O979" s="5" t="n">
        <f aca="false">IF(ABS(M979-L979)&gt;1,MIN(N979/((L979-M979)*24/12.1/1000),D979),D979)</f>
        <v>0</v>
      </c>
      <c r="P979" s="5" t="n">
        <f aca="false">MIN(IF(AND(G979,E979),(L979-M979)*24/12.1*O979/1000,0),N979)</f>
        <v>0</v>
      </c>
      <c r="Q979" s="5" t="n">
        <f aca="false">IF(P979&gt;0,P979/O979*12.1/24*1000+M979,0)</f>
        <v>0</v>
      </c>
      <c r="R979" s="0" t="n">
        <f aca="false">IF(Q979&gt;0,TRUNC(O979),0)</f>
        <v>0</v>
      </c>
      <c r="S979" s="5" t="n">
        <f aca="false">(M979*(D979-R979)+(Q979*R979))/D979</f>
        <v>773.3333333</v>
      </c>
      <c r="T979" s="6" t="n">
        <f aca="false">(Q979-M979)*R979*24/12.1/1000</f>
        <v>-0</v>
      </c>
    </row>
    <row r="980" customFormat="false" ht="14.35" hidden="false" customHeight="false" outlineLevel="0" collapsed="false">
      <c r="A980" s="4" t="n">
        <v>37560</v>
      </c>
      <c r="B980" s="15" t="n">
        <f aca="false">IF(C980&lt;=9,YEAR(A980),YEAR(A980)+1)</f>
        <v>2003</v>
      </c>
      <c r="C980" s="15" t="n">
        <f aca="false">MONTH(A980)</f>
        <v>10</v>
      </c>
      <c r="D980" s="15" t="n">
        <f aca="false">DAY(A980)</f>
        <v>31</v>
      </c>
      <c r="E980" s="15" t="n">
        <f aca="false">VLOOKUP(B980,WYT!$A$2:$L$97,12)</f>
        <v>1</v>
      </c>
      <c r="F980" s="15" t="n">
        <f aca="false">IF(C980=$W$5,1,0)</f>
        <v>0</v>
      </c>
      <c r="G980" s="15" t="n">
        <f aca="false">IF(C980=10,0,IF(F980=1,1,G979))</f>
        <v>0</v>
      </c>
      <c r="H980" s="5" t="n">
        <f aca="false">VA_base_426_data!B980</f>
        <v>1717.57737275244</v>
      </c>
      <c r="I980" s="5" t="n">
        <f aca="false">IF(AND(E980=1,OR(C980=4,C980=5)),25*12.1/24/D980*1000,0)</f>
        <v>0</v>
      </c>
      <c r="J980" s="5" t="n">
        <f aca="false">VA_base_426_data!C980</f>
        <v>1700</v>
      </c>
      <c r="K980" s="5" t="n">
        <f aca="false">H980+I980-J980</f>
        <v>17.5773727524354</v>
      </c>
      <c r="L980" s="5" t="n">
        <f aca="false">MIN($W$7,J980+K980)</f>
        <v>1717.57737275244</v>
      </c>
      <c r="M980" s="5" t="n">
        <f aca="false">VA_base_426_data!D980</f>
        <v>800</v>
      </c>
      <c r="N980" s="5" t="n">
        <f aca="false">IF(AND(C980=10,E980=1),$W$6,N979-P979)</f>
        <v>43</v>
      </c>
      <c r="O980" s="5" t="n">
        <f aca="false">IF(ABS(M980-L980)&gt;1,MIN(N980/((L980-M980)*24/12.1/1000),D980),D980)</f>
        <v>23.6265271032525</v>
      </c>
      <c r="P980" s="5" t="n">
        <f aca="false">MIN(IF(AND(G980,E980),(L980-M980)*24/12.1*O980/1000,0),N980)</f>
        <v>0</v>
      </c>
      <c r="Q980" s="5" t="n">
        <f aca="false">IF(P980&gt;0,P980/O980*12.1/24*1000+M980,0)</f>
        <v>0</v>
      </c>
      <c r="R980" s="0" t="n">
        <f aca="false">IF(Q980&gt;0,TRUNC(O980),0)</f>
        <v>0</v>
      </c>
      <c r="S980" s="5" t="n">
        <f aca="false">(M980*(D980-R980)+(Q980*R980))/D980</f>
        <v>800</v>
      </c>
      <c r="T980" s="6" t="n">
        <f aca="false">(Q980-M980)*R980*24/12.1/1000</f>
        <v>-0</v>
      </c>
    </row>
    <row r="981" customFormat="false" ht="14.35" hidden="false" customHeight="false" outlineLevel="0" collapsed="false">
      <c r="A981" s="4" t="n">
        <v>37590</v>
      </c>
      <c r="B981" s="15" t="n">
        <f aca="false">IF(C981&lt;=9,YEAR(A981),YEAR(A981)+1)</f>
        <v>2003</v>
      </c>
      <c r="C981" s="15" t="n">
        <f aca="false">MONTH(A981)</f>
        <v>11</v>
      </c>
      <c r="D981" s="15" t="n">
        <f aca="false">DAY(A981)</f>
        <v>30</v>
      </c>
      <c r="E981" s="15" t="n">
        <f aca="false">VLOOKUP(B981,WYT!$A$2:$L$97,12)</f>
        <v>1</v>
      </c>
      <c r="F981" s="15" t="n">
        <f aca="false">IF(C981=$W$5,1,0)</f>
        <v>0</v>
      </c>
      <c r="G981" s="15" t="n">
        <f aca="false">IF(C981=10,0,IF(F981=1,1,G980))</f>
        <v>0</v>
      </c>
      <c r="H981" s="5" t="n">
        <f aca="false">VA_base_426_data!B981</f>
        <v>1700</v>
      </c>
      <c r="I981" s="5" t="n">
        <f aca="false">IF(AND(E981=1,OR(C981=4,C981=5)),25*12.1/24/D981*1000,0)</f>
        <v>0</v>
      </c>
      <c r="J981" s="5" t="n">
        <f aca="false">VA_base_426_data!C981</f>
        <v>1700</v>
      </c>
      <c r="K981" s="5" t="n">
        <f aca="false">H981+I981-J981</f>
        <v>0</v>
      </c>
      <c r="L981" s="5" t="n">
        <f aca="false">MIN($W$7,J981+K981)</f>
        <v>1700</v>
      </c>
      <c r="M981" s="5" t="n">
        <f aca="false">VA_base_426_data!D981</f>
        <v>800</v>
      </c>
      <c r="N981" s="5" t="n">
        <f aca="false">IF(AND(C981=10,E981=1),$W$6,N980-P980)</f>
        <v>43</v>
      </c>
      <c r="O981" s="5" t="n">
        <f aca="false">IF(ABS(M981-L981)&gt;1,MIN(N981/((L981-M981)*24/12.1/1000),D981),D981)</f>
        <v>24.087962962963</v>
      </c>
      <c r="P981" s="5" t="n">
        <f aca="false">MIN(IF(AND(G981,E981),(L981-M981)*24/12.1*O981/1000,0),N981)</f>
        <v>0</v>
      </c>
      <c r="Q981" s="5" t="n">
        <f aca="false">IF(P981&gt;0,P981/O981*12.1/24*1000+M981,0)</f>
        <v>0</v>
      </c>
      <c r="R981" s="0" t="n">
        <f aca="false">IF(Q981&gt;0,TRUNC(O981),0)</f>
        <v>0</v>
      </c>
      <c r="S981" s="5" t="n">
        <f aca="false">(M981*(D981-R981)+(Q981*R981))/D981</f>
        <v>800</v>
      </c>
      <c r="T981" s="6" t="n">
        <f aca="false">(Q981-M981)*R981*24/12.1/1000</f>
        <v>-0</v>
      </c>
    </row>
    <row r="982" customFormat="false" ht="14.35" hidden="false" customHeight="false" outlineLevel="0" collapsed="false">
      <c r="A982" s="4" t="n">
        <v>37621</v>
      </c>
      <c r="B982" s="15" t="n">
        <f aca="false">IF(C982&lt;=9,YEAR(A982),YEAR(A982)+1)</f>
        <v>2003</v>
      </c>
      <c r="C982" s="15" t="n">
        <f aca="false">MONTH(A982)</f>
        <v>12</v>
      </c>
      <c r="D982" s="15" t="n">
        <f aca="false">DAY(A982)</f>
        <v>31</v>
      </c>
      <c r="E982" s="15" t="n">
        <f aca="false">VLOOKUP(B982,WYT!$A$2:$L$97,12)</f>
        <v>1</v>
      </c>
      <c r="F982" s="15" t="n">
        <f aca="false">IF(C982=$W$5,1,0)</f>
        <v>0</v>
      </c>
      <c r="G982" s="15" t="n">
        <f aca="false">IF(C982=10,0,IF(F982=1,1,G981))</f>
        <v>0</v>
      </c>
      <c r="H982" s="5" t="n">
        <f aca="false">VA_base_426_data!B982</f>
        <v>1700</v>
      </c>
      <c r="I982" s="5" t="n">
        <f aca="false">IF(AND(E982=1,OR(C982=4,C982=5)),25*12.1/24/D982*1000,0)</f>
        <v>0</v>
      </c>
      <c r="J982" s="5" t="n">
        <f aca="false">VA_base_426_data!C982</f>
        <v>1700</v>
      </c>
      <c r="K982" s="5" t="n">
        <f aca="false">H982+I982-J982</f>
        <v>0</v>
      </c>
      <c r="L982" s="5" t="n">
        <f aca="false">MIN($W$7,J982+K982)</f>
        <v>1700</v>
      </c>
      <c r="M982" s="5" t="n">
        <f aca="false">VA_base_426_data!D982</f>
        <v>800</v>
      </c>
      <c r="N982" s="5" t="n">
        <f aca="false">IF(AND(C982=10,E982=1),$W$6,N981-P981)</f>
        <v>43</v>
      </c>
      <c r="O982" s="5" t="n">
        <f aca="false">IF(ABS(M982-L982)&gt;1,MIN(N982/((L982-M982)*24/12.1/1000),D982),D982)</f>
        <v>24.087962962963</v>
      </c>
      <c r="P982" s="5" t="n">
        <f aca="false">MIN(IF(AND(G982,E982),(L982-M982)*24/12.1*O982/1000,0),N982)</f>
        <v>0</v>
      </c>
      <c r="Q982" s="5" t="n">
        <f aca="false">IF(P982&gt;0,P982/O982*12.1/24*1000+M982,0)</f>
        <v>0</v>
      </c>
      <c r="R982" s="0" t="n">
        <f aca="false">IF(Q982&gt;0,TRUNC(O982),0)</f>
        <v>0</v>
      </c>
      <c r="S982" s="5" t="n">
        <f aca="false">(M982*(D982-R982)+(Q982*R982))/D982</f>
        <v>800</v>
      </c>
      <c r="T982" s="6" t="n">
        <f aca="false">(Q982-M982)*R982*24/12.1/1000</f>
        <v>-0</v>
      </c>
    </row>
    <row r="983" customFormat="false" ht="14.35" hidden="false" customHeight="false" outlineLevel="0" collapsed="false">
      <c r="A983" s="4" t="n">
        <v>37652</v>
      </c>
      <c r="B983" s="15" t="n">
        <f aca="false">IF(C983&lt;=9,YEAR(A983),YEAR(A983)+1)</f>
        <v>2003</v>
      </c>
      <c r="C983" s="15" t="n">
        <f aca="false">MONTH(A983)</f>
        <v>1</v>
      </c>
      <c r="D983" s="15" t="n">
        <f aca="false">DAY(A983)</f>
        <v>31</v>
      </c>
      <c r="E983" s="15" t="n">
        <f aca="false">VLOOKUP(B983,WYT!$A$2:$L$97,12)</f>
        <v>1</v>
      </c>
      <c r="F983" s="15" t="n">
        <f aca="false">IF(C983=$W$5,1,0)</f>
        <v>0</v>
      </c>
      <c r="G983" s="15" t="n">
        <f aca="false">IF(C983=10,0,IF(F983=1,1,G982))</f>
        <v>0</v>
      </c>
      <c r="H983" s="5" t="n">
        <f aca="false">VA_base_426_data!B983</f>
        <v>1700</v>
      </c>
      <c r="I983" s="5" t="n">
        <f aca="false">IF(AND(E983=1,OR(C983=4,C983=5)),25*12.1/24/D983*1000,0)</f>
        <v>0</v>
      </c>
      <c r="J983" s="5" t="n">
        <f aca="false">VA_base_426_data!C983</f>
        <v>1700</v>
      </c>
      <c r="K983" s="5" t="n">
        <f aca="false">H983+I983-J983</f>
        <v>0</v>
      </c>
      <c r="L983" s="5" t="n">
        <f aca="false">MIN($W$7,J983+K983)</f>
        <v>1700</v>
      </c>
      <c r="M983" s="5" t="n">
        <f aca="false">VA_base_426_data!D983</f>
        <v>800</v>
      </c>
      <c r="N983" s="5" t="n">
        <f aca="false">IF(AND(C983=10,E983=1),$W$6,N982-P982)</f>
        <v>43</v>
      </c>
      <c r="O983" s="5" t="n">
        <f aca="false">IF(ABS(M983-L983)&gt;1,MIN(N983/((L983-M983)*24/12.1/1000),D983),D983)</f>
        <v>24.087962962963</v>
      </c>
      <c r="P983" s="5" t="n">
        <f aca="false">MIN(IF(AND(G983,E983),(L983-M983)*24/12.1*O983/1000,0),N983)</f>
        <v>0</v>
      </c>
      <c r="Q983" s="5" t="n">
        <f aca="false">IF(P983&gt;0,P983/O983*12.1/24*1000+M983,0)</f>
        <v>0</v>
      </c>
      <c r="R983" s="0" t="n">
        <f aca="false">IF(Q983&gt;0,TRUNC(O983),0)</f>
        <v>0</v>
      </c>
      <c r="S983" s="5" t="n">
        <f aca="false">(M983*(D983-R983)+(Q983*R983))/D983</f>
        <v>800</v>
      </c>
      <c r="T983" s="6" t="n">
        <f aca="false">(Q983-M983)*R983*24/12.1/1000</f>
        <v>-0</v>
      </c>
    </row>
    <row r="984" customFormat="false" ht="14.35" hidden="false" customHeight="false" outlineLevel="0" collapsed="false">
      <c r="A984" s="4" t="n">
        <v>37680</v>
      </c>
      <c r="B984" s="15" t="n">
        <f aca="false">IF(C984&lt;=9,YEAR(A984),YEAR(A984)+1)</f>
        <v>2003</v>
      </c>
      <c r="C984" s="15" t="n">
        <f aca="false">MONTH(A984)</f>
        <v>2</v>
      </c>
      <c r="D984" s="15" t="n">
        <f aca="false">DAY(A984)</f>
        <v>28</v>
      </c>
      <c r="E984" s="15" t="n">
        <f aca="false">VLOOKUP(B984,WYT!$A$2:$L$97,12)</f>
        <v>1</v>
      </c>
      <c r="F984" s="15" t="n">
        <f aca="false">IF(C984=$W$5,1,0)</f>
        <v>1</v>
      </c>
      <c r="G984" s="15" t="n">
        <f aca="false">IF(C984=10,0,IF(F984=1,1,G983))</f>
        <v>1</v>
      </c>
      <c r="H984" s="5" t="n">
        <f aca="false">VA_base_426_data!B984</f>
        <v>1700.00000000001</v>
      </c>
      <c r="I984" s="5" t="n">
        <f aca="false">IF(AND(E984=1,OR(C984=4,C984=5)),25*12.1/24/D984*1000,0)</f>
        <v>0</v>
      </c>
      <c r="J984" s="5" t="n">
        <f aca="false">VA_base_426_data!C984</f>
        <v>1700</v>
      </c>
      <c r="K984" s="5" t="n">
        <f aca="false">H984+I984-J984</f>
        <v>9.09494701772928E-012</v>
      </c>
      <c r="L984" s="5" t="n">
        <f aca="false">MIN($W$7,J984+K984)</f>
        <v>1700.00000000001</v>
      </c>
      <c r="M984" s="5" t="n">
        <f aca="false">VA_base_426_data!D984</f>
        <v>800</v>
      </c>
      <c r="N984" s="5" t="n">
        <f aca="false">IF(AND(C984=10,E984=1),$W$6,N983-P983)</f>
        <v>43</v>
      </c>
      <c r="O984" s="5" t="n">
        <f aca="false">IF(ABS(M984-L984)&gt;1,MIN(N984/((L984-M984)*24/12.1/1000),D984),D984)</f>
        <v>24.0879629629627</v>
      </c>
      <c r="P984" s="5" t="n">
        <f aca="false">MIN(IF(AND(G984,E984),(L984-M984)*24/12.1*O984/1000,0),N984)</f>
        <v>43</v>
      </c>
      <c r="Q984" s="5" t="n">
        <f aca="false">IF(P984&gt;0,P984/O984*12.1/24*1000+M984,0)</f>
        <v>1700.00000000001</v>
      </c>
      <c r="R984" s="0" t="n">
        <f aca="false">IF(Q984&gt;0,TRUNC(O984),0)</f>
        <v>24</v>
      </c>
      <c r="S984" s="5" t="n">
        <f aca="false">(M984*(D984-R984)+(Q984*R984))/D984</f>
        <v>1571.42857142858</v>
      </c>
      <c r="T984" s="6" t="n">
        <f aca="false">(Q984-M984)*R984*24/12.1/1000</f>
        <v>42.842975206612</v>
      </c>
    </row>
    <row r="985" customFormat="false" ht="14.35" hidden="false" customHeight="false" outlineLevel="0" collapsed="false">
      <c r="A985" s="4" t="n">
        <v>37711</v>
      </c>
      <c r="B985" s="15" t="n">
        <f aca="false">IF(C985&lt;=9,YEAR(A985),YEAR(A985)+1)</f>
        <v>2003</v>
      </c>
      <c r="C985" s="15" t="n">
        <f aca="false">MONTH(A985)</f>
        <v>3</v>
      </c>
      <c r="D985" s="15" t="n">
        <f aca="false">DAY(A985)</f>
        <v>31</v>
      </c>
      <c r="E985" s="15" t="n">
        <f aca="false">VLOOKUP(B985,WYT!$A$2:$L$97,12)</f>
        <v>1</v>
      </c>
      <c r="F985" s="15" t="n">
        <f aca="false">IF(C985=$W$5,1,0)</f>
        <v>0</v>
      </c>
      <c r="G985" s="15" t="n">
        <f aca="false">IF(C985=10,0,IF(F985=1,1,G984))</f>
        <v>1</v>
      </c>
      <c r="H985" s="5" t="n">
        <f aca="false">VA_base_426_data!B985</f>
        <v>1700</v>
      </c>
      <c r="I985" s="5" t="n">
        <f aca="false">IF(AND(E985=1,OR(C985=4,C985=5)),25*12.1/24/D985*1000,0)</f>
        <v>0</v>
      </c>
      <c r="J985" s="5" t="n">
        <f aca="false">VA_base_426_data!C985</f>
        <v>1700</v>
      </c>
      <c r="K985" s="5" t="n">
        <f aca="false">H985+I985-J985</f>
        <v>0</v>
      </c>
      <c r="L985" s="5" t="n">
        <f aca="false">MIN($W$7,J985+K985)</f>
        <v>1700</v>
      </c>
      <c r="M985" s="5" t="n">
        <f aca="false">VA_base_426_data!D985</f>
        <v>800</v>
      </c>
      <c r="N985" s="5" t="n">
        <f aca="false">IF(AND(C985=10,E985=1),$W$6,N984-P984)</f>
        <v>0</v>
      </c>
      <c r="O985" s="5" t="n">
        <f aca="false">IF(ABS(M985-L985)&gt;1,MIN(N985/((L985-M985)*24/12.1/1000),D985),D985)</f>
        <v>0</v>
      </c>
      <c r="P985" s="5" t="n">
        <f aca="false">MIN(IF(AND(G985,E985),(L985-M985)*24/12.1*O985/1000,0),N985)</f>
        <v>0</v>
      </c>
      <c r="Q985" s="5" t="n">
        <f aca="false">IF(P985&gt;0,P985/O985*12.1/24*1000+M985,0)</f>
        <v>0</v>
      </c>
      <c r="R985" s="0" t="n">
        <f aca="false">IF(Q985&gt;0,TRUNC(O985),0)</f>
        <v>0</v>
      </c>
      <c r="S985" s="5" t="n">
        <f aca="false">(M985*(D985-R985)+(Q985*R985))/D985</f>
        <v>800</v>
      </c>
      <c r="T985" s="6" t="n">
        <f aca="false">(Q985-M985)*R985*24/12.1/1000</f>
        <v>-0</v>
      </c>
    </row>
    <row r="986" customFormat="false" ht="14.35" hidden="false" customHeight="false" outlineLevel="0" collapsed="false">
      <c r="A986" s="4" t="n">
        <v>37741</v>
      </c>
      <c r="B986" s="15" t="n">
        <f aca="false">IF(C986&lt;=9,YEAR(A986),YEAR(A986)+1)</f>
        <v>2003</v>
      </c>
      <c r="C986" s="15" t="n">
        <f aca="false">MONTH(A986)</f>
        <v>4</v>
      </c>
      <c r="D986" s="15" t="n">
        <f aca="false">DAY(A986)</f>
        <v>30</v>
      </c>
      <c r="E986" s="15" t="n">
        <f aca="false">VLOOKUP(B986,WYT!$A$2:$L$97,12)</f>
        <v>1</v>
      </c>
      <c r="F986" s="15" t="n">
        <f aca="false">IF(C986=$W$5,1,0)</f>
        <v>0</v>
      </c>
      <c r="G986" s="15" t="n">
        <f aca="false">IF(C986=10,0,IF(F986=1,1,G985))</f>
        <v>1</v>
      </c>
      <c r="H986" s="5" t="n">
        <f aca="false">VA_base_426_data!B986</f>
        <v>1000</v>
      </c>
      <c r="I986" s="5" t="n">
        <f aca="false">IF(AND(E986=1,OR(C986=4,C986=5)),25*12.1/24/D986*1000,0)</f>
        <v>420.138888888889</v>
      </c>
      <c r="J986" s="5" t="n">
        <f aca="false">VA_base_426_data!C986</f>
        <v>1000</v>
      </c>
      <c r="K986" s="5" t="n">
        <f aca="false">H986+I986-J986</f>
        <v>420.138888888889</v>
      </c>
      <c r="L986" s="5" t="n">
        <f aca="false">MIN($W$7,J986+K986)</f>
        <v>1420.13888888889</v>
      </c>
      <c r="M986" s="5" t="n">
        <f aca="false">VA_base_426_data!D986</f>
        <v>700</v>
      </c>
      <c r="N986" s="5" t="n">
        <f aca="false">IF(AND(C986=10,E986=1),$W$6,N985-P985)</f>
        <v>0</v>
      </c>
      <c r="O986" s="5" t="n">
        <f aca="false">IF(ABS(M986-L986)&gt;1,MIN(N986/((L986-M986)*24/12.1/1000),D986),D986)</f>
        <v>0</v>
      </c>
      <c r="P986" s="5" t="n">
        <f aca="false">MIN(IF(AND(G986,E986),(L986-M986)*24/12.1*O986/1000,0),N986)</f>
        <v>0</v>
      </c>
      <c r="Q986" s="5" t="n">
        <f aca="false">IF(P986&gt;0,P986/O986*12.1/24*1000+M986,0)</f>
        <v>0</v>
      </c>
      <c r="R986" s="0" t="n">
        <f aca="false">IF(Q986&gt;0,TRUNC(O986),0)</f>
        <v>0</v>
      </c>
      <c r="S986" s="5" t="n">
        <f aca="false">(M986*(D986-R986)+(Q986*R986))/D986</f>
        <v>700</v>
      </c>
      <c r="T986" s="6" t="n">
        <f aca="false">(Q986-M986)*R986*24/12.1/1000</f>
        <v>-0</v>
      </c>
    </row>
    <row r="987" customFormat="false" ht="14.35" hidden="false" customHeight="false" outlineLevel="0" collapsed="false">
      <c r="A987" s="4" t="n">
        <v>37772</v>
      </c>
      <c r="B987" s="15" t="n">
        <f aca="false">IF(C987&lt;=9,YEAR(A987),YEAR(A987)+1)</f>
        <v>2003</v>
      </c>
      <c r="C987" s="15" t="n">
        <f aca="false">MONTH(A987)</f>
        <v>5</v>
      </c>
      <c r="D987" s="15" t="n">
        <f aca="false">DAY(A987)</f>
        <v>31</v>
      </c>
      <c r="E987" s="15" t="n">
        <f aca="false">VLOOKUP(B987,WYT!$A$2:$L$97,12)</f>
        <v>1</v>
      </c>
      <c r="F987" s="15" t="n">
        <f aca="false">IF(C987=$W$5,1,0)</f>
        <v>0</v>
      </c>
      <c r="G987" s="15" t="n">
        <f aca="false">IF(C987=10,0,IF(F987=1,1,G986))</f>
        <v>1</v>
      </c>
      <c r="H987" s="5" t="n">
        <f aca="false">VA_base_426_data!B987</f>
        <v>2579.77918839194</v>
      </c>
      <c r="I987" s="5" t="n">
        <f aca="false">IF(AND(E987=1,OR(C987=4,C987=5)),25*12.1/24/D987*1000,0)</f>
        <v>406.586021505376</v>
      </c>
      <c r="J987" s="5" t="n">
        <f aca="false">VA_base_426_data!C987</f>
        <v>1000</v>
      </c>
      <c r="K987" s="5" t="n">
        <f aca="false">H987+I987-J987</f>
        <v>1986.36520989732</v>
      </c>
      <c r="L987" s="5" t="n">
        <f aca="false">MIN($W$7,J987+K987)</f>
        <v>2000</v>
      </c>
      <c r="M987" s="5" t="n">
        <f aca="false">VA_base_426_data!D987</f>
        <v>700</v>
      </c>
      <c r="N987" s="5" t="n">
        <f aca="false">IF(AND(C987=10,E987=1),$W$6,N986-P986)</f>
        <v>0</v>
      </c>
      <c r="O987" s="5" t="n">
        <f aca="false">IF(ABS(M987-L987)&gt;1,MIN(N987/((L987-M987)*24/12.1/1000),D987),D987)</f>
        <v>0</v>
      </c>
      <c r="P987" s="5" t="n">
        <f aca="false">MIN(IF(AND(G987,E987),(L987-M987)*24/12.1*O987/1000,0),N987)</f>
        <v>0</v>
      </c>
      <c r="Q987" s="5" t="n">
        <f aca="false">IF(P987&gt;0,P987/O987*12.1/24*1000+M987,0)</f>
        <v>0</v>
      </c>
      <c r="R987" s="0" t="n">
        <f aca="false">IF(Q987&gt;0,TRUNC(O987),0)</f>
        <v>0</v>
      </c>
      <c r="S987" s="5" t="n">
        <f aca="false">(M987*(D987-R987)+(Q987*R987))/D987</f>
        <v>700</v>
      </c>
      <c r="T987" s="6" t="n">
        <f aca="false">(Q987-M987)*R987*24/12.1/1000</f>
        <v>-0</v>
      </c>
    </row>
    <row r="988" customFormat="false" ht="14.35" hidden="false" customHeight="false" outlineLevel="0" collapsed="false">
      <c r="A988" s="4" t="n">
        <v>37802</v>
      </c>
      <c r="B988" s="15" t="n">
        <f aca="false">IF(C988&lt;=9,YEAR(A988),YEAR(A988)+1)</f>
        <v>2003</v>
      </c>
      <c r="C988" s="15" t="n">
        <f aca="false">MONTH(A988)</f>
        <v>6</v>
      </c>
      <c r="D988" s="15" t="n">
        <f aca="false">DAY(A988)</f>
        <v>30</v>
      </c>
      <c r="E988" s="15" t="n">
        <f aca="false">VLOOKUP(B988,WYT!$A$2:$L$97,12)</f>
        <v>1</v>
      </c>
      <c r="F988" s="15" t="n">
        <f aca="false">IF(C988=$W$5,1,0)</f>
        <v>0</v>
      </c>
      <c r="G988" s="15" t="n">
        <f aca="false">IF(C988=10,0,IF(F988=1,1,G987))</f>
        <v>1</v>
      </c>
      <c r="H988" s="5" t="n">
        <f aca="false">VA_base_426_data!B988</f>
        <v>2045.5433120856</v>
      </c>
      <c r="I988" s="5" t="n">
        <f aca="false">IF(AND(E988=1,OR(C988=4,C988=5)),25*12.1/24/D988*1000,0)</f>
        <v>0</v>
      </c>
      <c r="J988" s="5" t="n">
        <f aca="false">VA_base_426_data!C988</f>
        <v>1000</v>
      </c>
      <c r="K988" s="5" t="n">
        <f aca="false">H988+I988-J988</f>
        <v>1045.5433120856</v>
      </c>
      <c r="L988" s="5" t="n">
        <f aca="false">MIN($W$7,J988+K988)</f>
        <v>2000</v>
      </c>
      <c r="M988" s="5" t="n">
        <f aca="false">VA_base_426_data!D988</f>
        <v>700</v>
      </c>
      <c r="N988" s="5" t="n">
        <f aca="false">IF(AND(C988=10,E988=1),$W$6,N987-P987)</f>
        <v>0</v>
      </c>
      <c r="O988" s="5" t="n">
        <f aca="false">IF(ABS(M988-L988)&gt;1,MIN(N988/((L988-M988)*24/12.1/1000),D988),D988)</f>
        <v>0</v>
      </c>
      <c r="P988" s="5" t="n">
        <f aca="false">MIN(IF(AND(G988,E988),(L988-M988)*24/12.1*O988/1000,0),N988)</f>
        <v>0</v>
      </c>
      <c r="Q988" s="5" t="n">
        <f aca="false">IF(P988&gt;0,P988/O988*12.1/24*1000+M988,0)</f>
        <v>0</v>
      </c>
      <c r="R988" s="0" t="n">
        <f aca="false">IF(Q988&gt;0,TRUNC(O988),0)</f>
        <v>0</v>
      </c>
      <c r="S988" s="5" t="n">
        <f aca="false">(M988*(D988-R988)+(Q988*R988))/D988</f>
        <v>700</v>
      </c>
      <c r="T988" s="6" t="n">
        <f aca="false">(Q988-M988)*R988*24/12.1/1000</f>
        <v>-0</v>
      </c>
    </row>
    <row r="989" customFormat="false" ht="14.35" hidden="false" customHeight="false" outlineLevel="0" collapsed="false">
      <c r="A989" s="4" t="n">
        <v>37833</v>
      </c>
      <c r="B989" s="15" t="n">
        <f aca="false">IF(C989&lt;=9,YEAR(A989),YEAR(A989)+1)</f>
        <v>2003</v>
      </c>
      <c r="C989" s="15" t="n">
        <f aca="false">MONTH(A989)</f>
        <v>7</v>
      </c>
      <c r="D989" s="15" t="n">
        <f aca="false">DAY(A989)</f>
        <v>31</v>
      </c>
      <c r="E989" s="15" t="n">
        <f aca="false">VLOOKUP(B989,WYT!$A$2:$L$97,12)</f>
        <v>1</v>
      </c>
      <c r="F989" s="15" t="n">
        <f aca="false">IF(C989=$W$5,1,0)</f>
        <v>0</v>
      </c>
      <c r="G989" s="15" t="n">
        <f aca="false">IF(C989=10,0,IF(F989=1,1,G988))</f>
        <v>1</v>
      </c>
      <c r="H989" s="5" t="n">
        <f aca="false">VA_base_426_data!B989</f>
        <v>9379.77825802294</v>
      </c>
      <c r="I989" s="5" t="n">
        <f aca="false">IF(AND(E989=1,OR(C989=4,C989=5)),25*12.1/24/D989*1000,0)</f>
        <v>0</v>
      </c>
      <c r="J989" s="5" t="n">
        <f aca="false">VA_base_426_data!C989</f>
        <v>1000</v>
      </c>
      <c r="K989" s="5" t="n">
        <f aca="false">H989+I989-J989</f>
        <v>8379.77825802294</v>
      </c>
      <c r="L989" s="5" t="n">
        <f aca="false">MIN($W$7,J989+K989)</f>
        <v>2000</v>
      </c>
      <c r="M989" s="5" t="n">
        <f aca="false">VA_base_426_data!D989</f>
        <v>700</v>
      </c>
      <c r="N989" s="5" t="n">
        <f aca="false">IF(AND(C989=10,E989=1),$W$6,N988-P988)</f>
        <v>0</v>
      </c>
      <c r="O989" s="5" t="n">
        <f aca="false">IF(ABS(M989-L989)&gt;1,MIN(N989/((L989-M989)*24/12.1/1000),D989),D989)</f>
        <v>0</v>
      </c>
      <c r="P989" s="5" t="n">
        <f aca="false">MIN(IF(AND(G989,E989),(L989-M989)*24/12.1*O989/1000,0),N989)</f>
        <v>0</v>
      </c>
      <c r="Q989" s="5" t="n">
        <f aca="false">IF(P989&gt;0,P989/O989*12.1/24*1000+M989,0)</f>
        <v>0</v>
      </c>
      <c r="R989" s="0" t="n">
        <f aca="false">IF(Q989&gt;0,TRUNC(O989),0)</f>
        <v>0</v>
      </c>
      <c r="S989" s="5" t="n">
        <f aca="false">(M989*(D989-R989)+(Q989*R989))/D989</f>
        <v>700</v>
      </c>
      <c r="T989" s="6" t="n">
        <f aca="false">(Q989-M989)*R989*24/12.1/1000</f>
        <v>-0</v>
      </c>
    </row>
    <row r="990" customFormat="false" ht="14.35" hidden="false" customHeight="false" outlineLevel="0" collapsed="false">
      <c r="A990" s="4" t="n">
        <v>37864</v>
      </c>
      <c r="B990" s="15" t="n">
        <f aca="false">IF(C990&lt;=9,YEAR(A990),YEAR(A990)+1)</f>
        <v>2003</v>
      </c>
      <c r="C990" s="15" t="n">
        <f aca="false">MONTH(A990)</f>
        <v>8</v>
      </c>
      <c r="D990" s="15" t="n">
        <f aca="false">DAY(A990)</f>
        <v>31</v>
      </c>
      <c r="E990" s="15" t="n">
        <f aca="false">VLOOKUP(B990,WYT!$A$2:$L$97,12)</f>
        <v>1</v>
      </c>
      <c r="F990" s="15" t="n">
        <f aca="false">IF(C990=$W$5,1,0)</f>
        <v>0</v>
      </c>
      <c r="G990" s="15" t="n">
        <f aca="false">IF(C990=10,0,IF(F990=1,1,G989))</f>
        <v>1</v>
      </c>
      <c r="H990" s="5" t="n">
        <f aca="false">VA_base_426_data!B990</f>
        <v>7584.47432126626</v>
      </c>
      <c r="I990" s="5" t="n">
        <f aca="false">IF(AND(E990=1,OR(C990=4,C990=5)),25*12.1/24/D990*1000,0)</f>
        <v>0</v>
      </c>
      <c r="J990" s="5" t="n">
        <f aca="false">VA_base_426_data!C990</f>
        <v>1000</v>
      </c>
      <c r="K990" s="5" t="n">
        <f aca="false">H990+I990-J990</f>
        <v>6584.47432126626</v>
      </c>
      <c r="L990" s="5" t="n">
        <f aca="false">MIN($W$7,J990+K990)</f>
        <v>2000</v>
      </c>
      <c r="M990" s="5" t="n">
        <f aca="false">VA_base_426_data!D990</f>
        <v>700</v>
      </c>
      <c r="N990" s="5" t="n">
        <f aca="false">IF(AND(C990=10,E990=1),$W$6,N989-P989)</f>
        <v>0</v>
      </c>
      <c r="O990" s="5" t="n">
        <f aca="false">IF(ABS(M990-L990)&gt;1,MIN(N990/((L990-M990)*24/12.1/1000),D990),D990)</f>
        <v>0</v>
      </c>
      <c r="P990" s="5" t="n">
        <f aca="false">MIN(IF(AND(G990,E990),(L990-M990)*24/12.1*O990/1000,0),N990)</f>
        <v>0</v>
      </c>
      <c r="Q990" s="5" t="n">
        <f aca="false">IF(P990&gt;0,P990/O990*12.1/24*1000+M990,0)</f>
        <v>0</v>
      </c>
      <c r="R990" s="0" t="n">
        <f aca="false">IF(Q990&gt;0,TRUNC(O990),0)</f>
        <v>0</v>
      </c>
      <c r="S990" s="5" t="n">
        <f aca="false">(M990*(D990-R990)+(Q990*R990))/D990</f>
        <v>700</v>
      </c>
      <c r="T990" s="6" t="n">
        <f aca="false">(Q990-M990)*R990*24/12.1/1000</f>
        <v>-0</v>
      </c>
    </row>
    <row r="991" customFormat="false" ht="14.35" hidden="false" customHeight="false" outlineLevel="0" collapsed="false">
      <c r="A991" s="4" t="n">
        <v>37894</v>
      </c>
      <c r="B991" s="15" t="n">
        <f aca="false">IF(C991&lt;=9,YEAR(A991),YEAR(A991)+1)</f>
        <v>2003</v>
      </c>
      <c r="C991" s="15" t="n">
        <f aca="false">MONTH(A991)</f>
        <v>9</v>
      </c>
      <c r="D991" s="15" t="n">
        <f aca="false">DAY(A991)</f>
        <v>30</v>
      </c>
      <c r="E991" s="15" t="n">
        <f aca="false">VLOOKUP(B991,WYT!$A$2:$L$97,12)</f>
        <v>1</v>
      </c>
      <c r="F991" s="15" t="n">
        <f aca="false">IF(C991=$W$5,1,0)</f>
        <v>0</v>
      </c>
      <c r="G991" s="15" t="n">
        <f aca="false">IF(C991=10,0,IF(F991=1,1,G990))</f>
        <v>1</v>
      </c>
      <c r="H991" s="5" t="n">
        <f aca="false">VA_base_426_data!B991</f>
        <v>8231.03007648708</v>
      </c>
      <c r="I991" s="5" t="n">
        <f aca="false">IF(AND(E991=1,OR(C991=4,C991=5)),25*12.1/24/D991*1000,0)</f>
        <v>0</v>
      </c>
      <c r="J991" s="5" t="n">
        <f aca="false">VA_base_426_data!C991</f>
        <v>1000</v>
      </c>
      <c r="K991" s="5" t="n">
        <f aca="false">H991+I991-J991</f>
        <v>7231.03007648708</v>
      </c>
      <c r="L991" s="5" t="n">
        <f aca="false">MIN($W$7,J991+K991)</f>
        <v>2000</v>
      </c>
      <c r="M991" s="5" t="n">
        <f aca="false">VA_base_426_data!D991</f>
        <v>773.3333333</v>
      </c>
      <c r="N991" s="5" t="n">
        <f aca="false">IF(AND(C991=10,E991=1),$W$6,N990-P990)</f>
        <v>0</v>
      </c>
      <c r="O991" s="5" t="n">
        <f aca="false">IF(ABS(M991-L991)&gt;1,MIN(N991/((L991-M991)*24/12.1/1000),D991),D991)</f>
        <v>0</v>
      </c>
      <c r="P991" s="5" t="n">
        <f aca="false">MIN(IF(AND(G991,E991),(L991-M991)*24/12.1*O991/1000,0),N991)</f>
        <v>0</v>
      </c>
      <c r="Q991" s="5" t="n">
        <f aca="false">IF(P991&gt;0,P991/O991*12.1/24*1000+M991,0)</f>
        <v>0</v>
      </c>
      <c r="R991" s="0" t="n">
        <f aca="false">IF(Q991&gt;0,TRUNC(O991),0)</f>
        <v>0</v>
      </c>
      <c r="S991" s="5" t="n">
        <f aca="false">(M991*(D991-R991)+(Q991*R991))/D991</f>
        <v>773.3333333</v>
      </c>
      <c r="T991" s="6" t="n">
        <f aca="false">(Q991-M991)*R991*24/12.1/1000</f>
        <v>-0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92D050"/>
    <pageSetUpPr fitToPage="false"/>
  </sheetPr>
  <dimension ref="A1:G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R15" activeCellId="0" sqref="R15"/>
    </sheetView>
  </sheetViews>
  <sheetFormatPr defaultRowHeight="14.35" zeroHeight="false" outlineLevelRow="0" outlineLevelCol="0"/>
  <cols>
    <col collapsed="false" customWidth="true" hidden="false" outlineLevel="0" max="1" min="1" style="0" width="10.23"/>
    <col collapsed="false" customWidth="true" hidden="false" outlineLevel="0" max="5" min="2" style="0" width="8.53"/>
    <col collapsed="false" customWidth="true" hidden="false" outlineLevel="0" max="6" min="6" style="0" width="10.76"/>
    <col collapsed="false" customWidth="true" hidden="false" outlineLevel="0" max="7" min="7" style="0" width="18.23"/>
    <col collapsed="false" customWidth="true" hidden="false" outlineLevel="0" max="1025" min="8" style="0" width="8.53"/>
  </cols>
  <sheetData>
    <row r="1" customFormat="false" ht="14.35" hidden="false" customHeight="false" outlineLevel="0" collapsed="false">
      <c r="A1" s="0" t="s">
        <v>67</v>
      </c>
      <c r="B1" s="0" t="s">
        <v>68</v>
      </c>
      <c r="C1" s="0" t="s">
        <v>69</v>
      </c>
      <c r="D1" s="0" t="s">
        <v>70</v>
      </c>
      <c r="E1" s="0" t="s">
        <v>71</v>
      </c>
      <c r="F1" s="0" t="s">
        <v>72</v>
      </c>
      <c r="G1" s="0" t="s">
        <v>73</v>
      </c>
    </row>
    <row r="2" customFormat="false" ht="14.35" hidden="false" customHeight="false" outlineLevel="0" collapsed="false">
      <c r="A2" s="4" t="n">
        <v>7975</v>
      </c>
      <c r="B2" s="5" t="n">
        <f aca="false">PostPro4FW!H8</f>
        <v>4000</v>
      </c>
      <c r="C2" s="5" t="n">
        <f aca="false">PostPro4FW!M8</f>
        <v>800</v>
      </c>
      <c r="D2" s="5" t="n">
        <f aca="false">PostPro4FW!H8+PostPro4FW!I8</f>
        <v>4000</v>
      </c>
      <c r="E2" s="5" t="n">
        <f aca="false">PostPro4FW!S8</f>
        <v>800</v>
      </c>
      <c r="F2" s="5" t="n">
        <f aca="false">PostPro4FW!Q8</f>
        <v>0</v>
      </c>
      <c r="G2" s="0" t="n">
        <f aca="false">PostPro4FW!R8</f>
        <v>0</v>
      </c>
    </row>
    <row r="3" customFormat="false" ht="14.35" hidden="false" customHeight="false" outlineLevel="0" collapsed="false">
      <c r="A3" s="4" t="n">
        <v>8005</v>
      </c>
      <c r="B3" s="5" t="n">
        <f aca="false">PostPro4FW!H9</f>
        <v>2500</v>
      </c>
      <c r="C3" s="5" t="n">
        <f aca="false">PostPro4FW!M9</f>
        <v>800</v>
      </c>
      <c r="D3" s="5" t="n">
        <f aca="false">PostPro4FW!H9+PostPro4FW!I9</f>
        <v>2500</v>
      </c>
      <c r="E3" s="5" t="n">
        <f aca="false">PostPro4FW!S9</f>
        <v>800</v>
      </c>
      <c r="F3" s="5" t="n">
        <f aca="false">PostPro4FW!Q9</f>
        <v>0</v>
      </c>
      <c r="G3" s="0" t="n">
        <f aca="false">PostPro4FW!R9</f>
        <v>0</v>
      </c>
    </row>
    <row r="4" customFormat="false" ht="14.35" hidden="false" customHeight="false" outlineLevel="0" collapsed="false">
      <c r="A4" s="4" t="n">
        <v>8036</v>
      </c>
      <c r="B4" s="5" t="n">
        <f aca="false">PostPro4FW!H10</f>
        <v>3359.18877915726</v>
      </c>
      <c r="C4" s="5" t="n">
        <f aca="false">PostPro4FW!M10</f>
        <v>800</v>
      </c>
      <c r="D4" s="5" t="n">
        <f aca="false">PostPro4FW!H10+PostPro4FW!I10</f>
        <v>3359.18877915726</v>
      </c>
      <c r="E4" s="5" t="n">
        <f aca="false">PostPro4FW!S10</f>
        <v>800</v>
      </c>
      <c r="F4" s="5" t="n">
        <f aca="false">PostPro4FW!Q10</f>
        <v>0</v>
      </c>
      <c r="G4" s="0" t="n">
        <f aca="false">PostPro4FW!R10</f>
        <v>0</v>
      </c>
    </row>
    <row r="5" customFormat="false" ht="14.35" hidden="false" customHeight="false" outlineLevel="0" collapsed="false">
      <c r="A5" s="4" t="n">
        <v>8067</v>
      </c>
      <c r="B5" s="5" t="n">
        <f aca="false">PostPro4FW!H11</f>
        <v>1700</v>
      </c>
      <c r="C5" s="5" t="n">
        <f aca="false">PostPro4FW!M11</f>
        <v>800</v>
      </c>
      <c r="D5" s="5" t="n">
        <f aca="false">PostPro4FW!H11+PostPro4FW!I11</f>
        <v>1700</v>
      </c>
      <c r="E5" s="5" t="n">
        <f aca="false">PostPro4FW!S11</f>
        <v>800</v>
      </c>
      <c r="F5" s="5" t="n">
        <f aca="false">PostPro4FW!Q11</f>
        <v>0</v>
      </c>
      <c r="G5" s="0" t="n">
        <f aca="false">PostPro4FW!R11</f>
        <v>0</v>
      </c>
    </row>
    <row r="6" customFormat="false" ht="14.35" hidden="false" customHeight="false" outlineLevel="0" collapsed="false">
      <c r="A6" s="4" t="n">
        <v>8095</v>
      </c>
      <c r="B6" s="5" t="n">
        <f aca="false">PostPro4FW!H12</f>
        <v>1700</v>
      </c>
      <c r="C6" s="5" t="n">
        <f aca="false">PostPro4FW!M12</f>
        <v>800</v>
      </c>
      <c r="D6" s="5" t="n">
        <f aca="false">PostPro4FW!H12+PostPro4FW!I12</f>
        <v>1700</v>
      </c>
      <c r="E6" s="5" t="n">
        <f aca="false">PostPro4FW!S12</f>
        <v>1571.42857142857</v>
      </c>
      <c r="F6" s="5" t="n">
        <f aca="false">PostPro4FW!Q12</f>
        <v>1700</v>
      </c>
      <c r="G6" s="0" t="n">
        <f aca="false">PostPro4FW!R12</f>
        <v>24</v>
      </c>
    </row>
    <row r="7" customFormat="false" ht="14.35" hidden="false" customHeight="false" outlineLevel="0" collapsed="false">
      <c r="A7" s="4" t="n">
        <v>8126</v>
      </c>
      <c r="B7" s="5" t="n">
        <f aca="false">PostPro4FW!H13</f>
        <v>1700</v>
      </c>
      <c r="C7" s="5" t="n">
        <f aca="false">PostPro4FW!M13</f>
        <v>800</v>
      </c>
      <c r="D7" s="5" t="n">
        <f aca="false">PostPro4FW!H13+PostPro4FW!I13</f>
        <v>1700</v>
      </c>
      <c r="E7" s="5" t="n">
        <f aca="false">PostPro4FW!S13</f>
        <v>800</v>
      </c>
      <c r="F7" s="5" t="n">
        <f aca="false">PostPro4FW!Q13</f>
        <v>0</v>
      </c>
      <c r="G7" s="0" t="n">
        <f aca="false">PostPro4FW!R13</f>
        <v>0</v>
      </c>
    </row>
    <row r="8" customFormat="false" ht="14.35" hidden="false" customHeight="false" outlineLevel="0" collapsed="false">
      <c r="A8" s="4" t="n">
        <v>8156</v>
      </c>
      <c r="B8" s="5" t="n">
        <f aca="false">PostPro4FW!H14</f>
        <v>1000</v>
      </c>
      <c r="C8" s="5" t="n">
        <f aca="false">PostPro4FW!M14</f>
        <v>700</v>
      </c>
      <c r="D8" s="5" t="n">
        <f aca="false">PostPro4FW!H14+PostPro4FW!I14</f>
        <v>1420.13888888889</v>
      </c>
      <c r="E8" s="5" t="n">
        <f aca="false">PostPro4FW!S14</f>
        <v>700</v>
      </c>
      <c r="F8" s="5" t="n">
        <f aca="false">PostPro4FW!Q14</f>
        <v>0</v>
      </c>
      <c r="G8" s="0" t="n">
        <f aca="false">PostPro4FW!R14</f>
        <v>0</v>
      </c>
    </row>
    <row r="9" customFormat="false" ht="14.35" hidden="false" customHeight="false" outlineLevel="0" collapsed="false">
      <c r="A9" s="4" t="n">
        <v>8187</v>
      </c>
      <c r="B9" s="5" t="n">
        <f aca="false">PostPro4FW!H15</f>
        <v>16006.995469136</v>
      </c>
      <c r="C9" s="5" t="n">
        <f aca="false">PostPro4FW!M15</f>
        <v>700</v>
      </c>
      <c r="D9" s="5" t="n">
        <f aca="false">PostPro4FW!H15+PostPro4FW!I15</f>
        <v>16413.5814906414</v>
      </c>
      <c r="E9" s="5" t="n">
        <f aca="false">PostPro4FW!S15</f>
        <v>700</v>
      </c>
      <c r="F9" s="5" t="n">
        <f aca="false">PostPro4FW!Q15</f>
        <v>0</v>
      </c>
      <c r="G9" s="0" t="n">
        <f aca="false">PostPro4FW!R15</f>
        <v>0</v>
      </c>
    </row>
    <row r="10" customFormat="false" ht="14.35" hidden="false" customHeight="false" outlineLevel="0" collapsed="false">
      <c r="A10" s="4" t="n">
        <v>8217</v>
      </c>
      <c r="B10" s="5" t="n">
        <f aca="false">PostPro4FW!H16</f>
        <v>6518.54307301184</v>
      </c>
      <c r="C10" s="5" t="n">
        <f aca="false">PostPro4FW!M16</f>
        <v>700</v>
      </c>
      <c r="D10" s="5" t="n">
        <f aca="false">PostPro4FW!H16+PostPro4FW!I16</f>
        <v>6518.54307301184</v>
      </c>
      <c r="E10" s="5" t="n">
        <f aca="false">PostPro4FW!S16</f>
        <v>700</v>
      </c>
      <c r="F10" s="5" t="n">
        <f aca="false">PostPro4FW!Q16</f>
        <v>0</v>
      </c>
      <c r="G10" s="0" t="n">
        <f aca="false">PostPro4FW!R16</f>
        <v>0</v>
      </c>
    </row>
    <row r="11" customFormat="false" ht="14.35" hidden="false" customHeight="false" outlineLevel="0" collapsed="false">
      <c r="A11" s="4" t="n">
        <v>8248</v>
      </c>
      <c r="B11" s="5" t="n">
        <f aca="false">PostPro4FW!H17</f>
        <v>8339.74594415295</v>
      </c>
      <c r="C11" s="5" t="n">
        <f aca="false">PostPro4FW!M17</f>
        <v>700</v>
      </c>
      <c r="D11" s="5" t="n">
        <f aca="false">PostPro4FW!H17+PostPro4FW!I17</f>
        <v>8339.74594415295</v>
      </c>
      <c r="E11" s="5" t="n">
        <f aca="false">PostPro4FW!S17</f>
        <v>700</v>
      </c>
      <c r="F11" s="5" t="n">
        <f aca="false">PostPro4FW!Q17</f>
        <v>0</v>
      </c>
      <c r="G11" s="0" t="n">
        <f aca="false">PostPro4FW!R17</f>
        <v>0</v>
      </c>
    </row>
    <row r="12" customFormat="false" ht="14.35" hidden="false" customHeight="false" outlineLevel="0" collapsed="false">
      <c r="A12" s="4" t="n">
        <v>8279</v>
      </c>
      <c r="B12" s="5" t="n">
        <f aca="false">PostPro4FW!H18</f>
        <v>6247.46152264166</v>
      </c>
      <c r="C12" s="5" t="n">
        <f aca="false">PostPro4FW!M18</f>
        <v>700</v>
      </c>
      <c r="D12" s="5" t="n">
        <f aca="false">PostPro4FW!H18+PostPro4FW!I18</f>
        <v>6247.46152264166</v>
      </c>
      <c r="E12" s="5" t="n">
        <f aca="false">PostPro4FW!S18</f>
        <v>700</v>
      </c>
      <c r="F12" s="5" t="n">
        <f aca="false">PostPro4FW!Q18</f>
        <v>0</v>
      </c>
      <c r="G12" s="0" t="n">
        <f aca="false">PostPro4FW!R18</f>
        <v>0</v>
      </c>
    </row>
    <row r="13" customFormat="false" ht="14.35" hidden="false" customHeight="false" outlineLevel="0" collapsed="false">
      <c r="A13" s="4" t="n">
        <v>8309</v>
      </c>
      <c r="B13" s="5" t="n">
        <f aca="false">PostPro4FW!H19</f>
        <v>8594.91209119239</v>
      </c>
      <c r="C13" s="5" t="n">
        <f aca="false">PostPro4FW!M19</f>
        <v>773.3333333</v>
      </c>
      <c r="D13" s="5" t="n">
        <f aca="false">PostPro4FW!H19+PostPro4FW!I19</f>
        <v>8594.91209119239</v>
      </c>
      <c r="E13" s="5" t="n">
        <f aca="false">PostPro4FW!S19</f>
        <v>773.3333333</v>
      </c>
      <c r="F13" s="5" t="n">
        <f aca="false">PostPro4FW!Q19</f>
        <v>0</v>
      </c>
      <c r="G13" s="0" t="n">
        <f aca="false">PostPro4FW!R19</f>
        <v>0</v>
      </c>
    </row>
    <row r="14" customFormat="false" ht="14.35" hidden="false" customHeight="false" outlineLevel="0" collapsed="false">
      <c r="A14" s="4" t="n">
        <v>8340</v>
      </c>
      <c r="B14" s="5" t="n">
        <f aca="false">PostPro4FW!H20</f>
        <v>4000</v>
      </c>
      <c r="C14" s="5" t="n">
        <f aca="false">PostPro4FW!M20</f>
        <v>800</v>
      </c>
      <c r="D14" s="5" t="n">
        <f aca="false">PostPro4FW!H20+PostPro4FW!I20</f>
        <v>4000</v>
      </c>
      <c r="E14" s="5" t="n">
        <f aca="false">PostPro4FW!S20</f>
        <v>800</v>
      </c>
      <c r="F14" s="5" t="n">
        <f aca="false">PostPro4FW!Q20</f>
        <v>0</v>
      </c>
      <c r="G14" s="0" t="n">
        <f aca="false">PostPro4FW!R20</f>
        <v>0</v>
      </c>
    </row>
    <row r="15" customFormat="false" ht="14.35" hidden="false" customHeight="false" outlineLevel="0" collapsed="false">
      <c r="A15" s="4" t="n">
        <v>8370</v>
      </c>
      <c r="B15" s="5" t="n">
        <f aca="false">PostPro4FW!H21</f>
        <v>2500</v>
      </c>
      <c r="C15" s="5" t="n">
        <f aca="false">PostPro4FW!M21</f>
        <v>800</v>
      </c>
      <c r="D15" s="5" t="n">
        <f aca="false">PostPro4FW!H21+PostPro4FW!I21</f>
        <v>2500</v>
      </c>
      <c r="E15" s="5" t="n">
        <f aca="false">PostPro4FW!S21</f>
        <v>800</v>
      </c>
      <c r="F15" s="5" t="n">
        <f aca="false">PostPro4FW!Q21</f>
        <v>0</v>
      </c>
      <c r="G15" s="0" t="n">
        <f aca="false">PostPro4FW!R21</f>
        <v>0</v>
      </c>
    </row>
    <row r="16" customFormat="false" ht="14.35" hidden="false" customHeight="false" outlineLevel="0" collapsed="false">
      <c r="A16" s="4" t="n">
        <v>8401</v>
      </c>
      <c r="B16" s="5" t="n">
        <f aca="false">PostPro4FW!H22</f>
        <v>4132.14026757673</v>
      </c>
      <c r="C16" s="5" t="n">
        <f aca="false">PostPro4FW!M22</f>
        <v>800</v>
      </c>
      <c r="D16" s="5" t="n">
        <f aca="false">PostPro4FW!H22+PostPro4FW!I22</f>
        <v>4132.14026757673</v>
      </c>
      <c r="E16" s="5" t="n">
        <f aca="false">PostPro4FW!S22</f>
        <v>800</v>
      </c>
      <c r="F16" s="5" t="n">
        <f aca="false">PostPro4FW!Q22</f>
        <v>0</v>
      </c>
      <c r="G16" s="0" t="n">
        <f aca="false">PostPro4FW!R22</f>
        <v>0</v>
      </c>
    </row>
    <row r="17" customFormat="false" ht="14.35" hidden="false" customHeight="false" outlineLevel="0" collapsed="false">
      <c r="A17" s="4" t="n">
        <v>8432</v>
      </c>
      <c r="B17" s="5" t="n">
        <f aca="false">PostPro4FW!H23</f>
        <v>1700</v>
      </c>
      <c r="C17" s="5" t="n">
        <f aca="false">PostPro4FW!M23</f>
        <v>800</v>
      </c>
      <c r="D17" s="5" t="n">
        <f aca="false">PostPro4FW!H23+PostPro4FW!I23</f>
        <v>1700</v>
      </c>
      <c r="E17" s="5" t="n">
        <f aca="false">PostPro4FW!S23</f>
        <v>800</v>
      </c>
      <c r="F17" s="5" t="n">
        <f aca="false">PostPro4FW!Q23</f>
        <v>0</v>
      </c>
      <c r="G17" s="0" t="n">
        <f aca="false">PostPro4FW!R23</f>
        <v>0</v>
      </c>
    </row>
    <row r="18" customFormat="false" ht="14.35" hidden="false" customHeight="false" outlineLevel="0" collapsed="false">
      <c r="A18" s="4" t="n">
        <v>8460</v>
      </c>
      <c r="B18" s="5" t="n">
        <f aca="false">PostPro4FW!H24</f>
        <v>1909.98852321079</v>
      </c>
      <c r="C18" s="5" t="n">
        <f aca="false">PostPro4FW!M24</f>
        <v>800</v>
      </c>
      <c r="D18" s="5" t="n">
        <f aca="false">PostPro4FW!H24+PostPro4FW!I24</f>
        <v>1909.98852321079</v>
      </c>
      <c r="E18" s="5" t="n">
        <f aca="false">PostPro4FW!S24</f>
        <v>1553.20649789304</v>
      </c>
      <c r="F18" s="5" t="n">
        <f aca="false">PostPro4FW!Q24</f>
        <v>1909.98852321079</v>
      </c>
      <c r="G18" s="0" t="n">
        <f aca="false">PostPro4FW!R24</f>
        <v>19</v>
      </c>
    </row>
    <row r="19" customFormat="false" ht="14.35" hidden="false" customHeight="false" outlineLevel="0" collapsed="false">
      <c r="A19" s="4" t="n">
        <v>8491</v>
      </c>
      <c r="B19" s="5" t="n">
        <f aca="false">PostPro4FW!H25</f>
        <v>1700</v>
      </c>
      <c r="C19" s="5" t="n">
        <f aca="false">PostPro4FW!M25</f>
        <v>800</v>
      </c>
      <c r="D19" s="5" t="n">
        <f aca="false">PostPro4FW!H25+PostPro4FW!I25</f>
        <v>1700</v>
      </c>
      <c r="E19" s="5" t="n">
        <f aca="false">PostPro4FW!S25</f>
        <v>800</v>
      </c>
      <c r="F19" s="5" t="n">
        <f aca="false">PostPro4FW!Q25</f>
        <v>0</v>
      </c>
      <c r="G19" s="0" t="n">
        <f aca="false">PostPro4FW!R25</f>
        <v>0</v>
      </c>
    </row>
    <row r="20" customFormat="false" ht="14.35" hidden="false" customHeight="false" outlineLevel="0" collapsed="false">
      <c r="A20" s="4" t="n">
        <v>8521</v>
      </c>
      <c r="B20" s="5" t="n">
        <f aca="false">PostPro4FW!H26</f>
        <v>1000</v>
      </c>
      <c r="C20" s="5" t="n">
        <f aca="false">PostPro4FW!M26</f>
        <v>700</v>
      </c>
      <c r="D20" s="5" t="n">
        <f aca="false">PostPro4FW!H26+PostPro4FW!I26</f>
        <v>1420.13888888889</v>
      </c>
      <c r="E20" s="5" t="n">
        <f aca="false">PostPro4FW!S26</f>
        <v>700</v>
      </c>
      <c r="F20" s="5" t="n">
        <f aca="false">PostPro4FW!Q26</f>
        <v>0</v>
      </c>
      <c r="G20" s="0" t="n">
        <f aca="false">PostPro4FW!R26</f>
        <v>0</v>
      </c>
    </row>
    <row r="21" customFormat="false" ht="14.35" hidden="false" customHeight="false" outlineLevel="0" collapsed="false">
      <c r="A21" s="4" t="n">
        <v>8552</v>
      </c>
      <c r="B21" s="5" t="n">
        <f aca="false">PostPro4FW!H27</f>
        <v>1000</v>
      </c>
      <c r="C21" s="5" t="n">
        <f aca="false">PostPro4FW!M27</f>
        <v>700</v>
      </c>
      <c r="D21" s="5" t="n">
        <f aca="false">PostPro4FW!H27+PostPro4FW!I27</f>
        <v>1406.58602150538</v>
      </c>
      <c r="E21" s="5" t="n">
        <f aca="false">PostPro4FW!S27</f>
        <v>700</v>
      </c>
      <c r="F21" s="5" t="n">
        <f aca="false">PostPro4FW!Q27</f>
        <v>0</v>
      </c>
      <c r="G21" s="0" t="n">
        <f aca="false">PostPro4FW!R27</f>
        <v>0</v>
      </c>
    </row>
    <row r="22" customFormat="false" ht="14.35" hidden="false" customHeight="false" outlineLevel="0" collapsed="false">
      <c r="A22" s="4" t="n">
        <v>8582</v>
      </c>
      <c r="B22" s="5" t="n">
        <f aca="false">PostPro4FW!H28</f>
        <v>1000</v>
      </c>
      <c r="C22" s="5" t="n">
        <f aca="false">PostPro4FW!M28</f>
        <v>700</v>
      </c>
      <c r="D22" s="5" t="n">
        <f aca="false">PostPro4FW!H28+PostPro4FW!I28</f>
        <v>1000</v>
      </c>
      <c r="E22" s="5" t="n">
        <f aca="false">PostPro4FW!S28</f>
        <v>700</v>
      </c>
      <c r="F22" s="5" t="n">
        <f aca="false">PostPro4FW!Q28</f>
        <v>0</v>
      </c>
      <c r="G22" s="0" t="n">
        <f aca="false">PostPro4FW!R28</f>
        <v>0</v>
      </c>
    </row>
    <row r="23" customFormat="false" ht="14.35" hidden="false" customHeight="false" outlineLevel="0" collapsed="false">
      <c r="A23" s="4" t="n">
        <v>8613</v>
      </c>
      <c r="B23" s="5" t="n">
        <f aca="false">PostPro4FW!H29</f>
        <v>8046.7532221822</v>
      </c>
      <c r="C23" s="5" t="n">
        <f aca="false">PostPro4FW!M29</f>
        <v>700</v>
      </c>
      <c r="D23" s="5" t="n">
        <f aca="false">PostPro4FW!H29+PostPro4FW!I29</f>
        <v>8046.7532221822</v>
      </c>
      <c r="E23" s="5" t="n">
        <f aca="false">PostPro4FW!S29</f>
        <v>700</v>
      </c>
      <c r="F23" s="5" t="n">
        <f aca="false">PostPro4FW!Q29</f>
        <v>0</v>
      </c>
      <c r="G23" s="0" t="n">
        <f aca="false">PostPro4FW!R29</f>
        <v>0</v>
      </c>
    </row>
    <row r="24" customFormat="false" ht="14.35" hidden="false" customHeight="false" outlineLevel="0" collapsed="false">
      <c r="A24" s="4" t="n">
        <v>8644</v>
      </c>
      <c r="B24" s="5" t="n">
        <f aca="false">PostPro4FW!H30</f>
        <v>7470.79827928795</v>
      </c>
      <c r="C24" s="5" t="n">
        <f aca="false">PostPro4FW!M30</f>
        <v>700</v>
      </c>
      <c r="D24" s="5" t="n">
        <f aca="false">PostPro4FW!H30+PostPro4FW!I30</f>
        <v>7470.79827928795</v>
      </c>
      <c r="E24" s="5" t="n">
        <f aca="false">PostPro4FW!S30</f>
        <v>700</v>
      </c>
      <c r="F24" s="5" t="n">
        <f aca="false">PostPro4FW!Q30</f>
        <v>0</v>
      </c>
      <c r="G24" s="0" t="n">
        <f aca="false">PostPro4FW!R30</f>
        <v>0</v>
      </c>
    </row>
    <row r="25" customFormat="false" ht="14.35" hidden="false" customHeight="false" outlineLevel="0" collapsed="false">
      <c r="A25" s="4" t="n">
        <v>8674</v>
      </c>
      <c r="B25" s="5" t="n">
        <f aca="false">PostPro4FW!H31</f>
        <v>5666.36955778672</v>
      </c>
      <c r="C25" s="5" t="n">
        <f aca="false">PostPro4FW!M31</f>
        <v>773.3333333</v>
      </c>
      <c r="D25" s="5" t="n">
        <f aca="false">PostPro4FW!H31+PostPro4FW!I31</f>
        <v>5666.36955778672</v>
      </c>
      <c r="E25" s="5" t="n">
        <f aca="false">PostPro4FW!S31</f>
        <v>773.3333333</v>
      </c>
      <c r="F25" s="5" t="n">
        <f aca="false">PostPro4FW!Q31</f>
        <v>0</v>
      </c>
      <c r="G25" s="0" t="n">
        <f aca="false">PostPro4FW!R31</f>
        <v>0</v>
      </c>
    </row>
    <row r="26" customFormat="false" ht="14.35" hidden="false" customHeight="false" outlineLevel="0" collapsed="false">
      <c r="A26" s="4" t="n">
        <v>8705</v>
      </c>
      <c r="B26" s="5" t="n">
        <f aca="false">PostPro4FW!H32</f>
        <v>1700</v>
      </c>
      <c r="C26" s="5" t="n">
        <f aca="false">PostPro4FW!M32</f>
        <v>800</v>
      </c>
      <c r="D26" s="5" t="n">
        <f aca="false">PostPro4FW!H32+PostPro4FW!I32</f>
        <v>1700</v>
      </c>
      <c r="E26" s="5" t="n">
        <f aca="false">PostPro4FW!S32</f>
        <v>800</v>
      </c>
      <c r="F26" s="5" t="n">
        <f aca="false">PostPro4FW!Q32</f>
        <v>0</v>
      </c>
      <c r="G26" s="0" t="n">
        <f aca="false">PostPro4FW!R32</f>
        <v>0</v>
      </c>
    </row>
    <row r="27" customFormat="false" ht="14.35" hidden="false" customHeight="false" outlineLevel="0" collapsed="false">
      <c r="A27" s="4" t="n">
        <v>8735</v>
      </c>
      <c r="B27" s="5" t="n">
        <f aca="false">PostPro4FW!H33</f>
        <v>1700</v>
      </c>
      <c r="C27" s="5" t="n">
        <f aca="false">PostPro4FW!M33</f>
        <v>800</v>
      </c>
      <c r="D27" s="5" t="n">
        <f aca="false">PostPro4FW!H33+PostPro4FW!I33</f>
        <v>1700</v>
      </c>
      <c r="E27" s="5" t="n">
        <f aca="false">PostPro4FW!S33</f>
        <v>800</v>
      </c>
      <c r="F27" s="5" t="n">
        <f aca="false">PostPro4FW!Q33</f>
        <v>0</v>
      </c>
      <c r="G27" s="0" t="n">
        <f aca="false">PostPro4FW!R33</f>
        <v>0</v>
      </c>
    </row>
    <row r="28" customFormat="false" ht="14.35" hidden="false" customHeight="false" outlineLevel="0" collapsed="false">
      <c r="A28" s="4" t="n">
        <v>8766</v>
      </c>
      <c r="B28" s="5" t="n">
        <f aca="false">PostPro4FW!H34</f>
        <v>1764.8134568897</v>
      </c>
      <c r="C28" s="5" t="n">
        <f aca="false">PostPro4FW!M34</f>
        <v>800</v>
      </c>
      <c r="D28" s="5" t="n">
        <f aca="false">PostPro4FW!H34+PostPro4FW!I34</f>
        <v>1764.8134568897</v>
      </c>
      <c r="E28" s="5" t="n">
        <f aca="false">PostPro4FW!S34</f>
        <v>800</v>
      </c>
      <c r="F28" s="5" t="n">
        <f aca="false">PostPro4FW!Q34</f>
        <v>0</v>
      </c>
      <c r="G28" s="0" t="n">
        <f aca="false">PostPro4FW!R34</f>
        <v>0</v>
      </c>
    </row>
    <row r="29" customFormat="false" ht="14.35" hidden="false" customHeight="false" outlineLevel="0" collapsed="false">
      <c r="A29" s="4" t="n">
        <v>8797</v>
      </c>
      <c r="B29" s="5" t="n">
        <f aca="false">PostPro4FW!H35</f>
        <v>1700</v>
      </c>
      <c r="C29" s="5" t="n">
        <f aca="false">PostPro4FW!M35</f>
        <v>800</v>
      </c>
      <c r="D29" s="5" t="n">
        <f aca="false">PostPro4FW!H35+PostPro4FW!I35</f>
        <v>1700</v>
      </c>
      <c r="E29" s="5" t="n">
        <f aca="false">PostPro4FW!S35</f>
        <v>800</v>
      </c>
      <c r="F29" s="5" t="n">
        <f aca="false">PostPro4FW!Q35</f>
        <v>0</v>
      </c>
      <c r="G29" s="0" t="n">
        <f aca="false">PostPro4FW!R35</f>
        <v>0</v>
      </c>
    </row>
    <row r="30" customFormat="false" ht="14.35" hidden="false" customHeight="false" outlineLevel="0" collapsed="false">
      <c r="A30" s="4" t="n">
        <v>8826</v>
      </c>
      <c r="B30" s="5" t="n">
        <f aca="false">PostPro4FW!H36</f>
        <v>1700</v>
      </c>
      <c r="C30" s="5" t="n">
        <f aca="false">PostPro4FW!M36</f>
        <v>800</v>
      </c>
      <c r="D30" s="5" t="n">
        <f aca="false">PostPro4FW!H36+PostPro4FW!I36</f>
        <v>1700</v>
      </c>
      <c r="E30" s="5" t="n">
        <f aca="false">PostPro4FW!S36</f>
        <v>800</v>
      </c>
      <c r="F30" s="5" t="n">
        <f aca="false">PostPro4FW!Q36</f>
        <v>0</v>
      </c>
      <c r="G30" s="0" t="n">
        <f aca="false">PostPro4FW!R36</f>
        <v>0</v>
      </c>
    </row>
    <row r="31" customFormat="false" ht="14.35" hidden="false" customHeight="false" outlineLevel="0" collapsed="false">
      <c r="A31" s="4" t="n">
        <v>8857</v>
      </c>
      <c r="B31" s="5" t="n">
        <f aca="false">PostPro4FW!H37</f>
        <v>2744.86057373499</v>
      </c>
      <c r="C31" s="5" t="n">
        <f aca="false">PostPro4FW!M37</f>
        <v>800</v>
      </c>
      <c r="D31" s="5" t="n">
        <f aca="false">PostPro4FW!H37+PostPro4FW!I37</f>
        <v>2744.86057373499</v>
      </c>
      <c r="E31" s="5" t="n">
        <f aca="false">PostPro4FW!S37</f>
        <v>800</v>
      </c>
      <c r="F31" s="5" t="n">
        <f aca="false">PostPro4FW!Q37</f>
        <v>0</v>
      </c>
      <c r="G31" s="0" t="n">
        <f aca="false">PostPro4FW!R37</f>
        <v>0</v>
      </c>
    </row>
    <row r="32" customFormat="false" ht="14.35" hidden="false" customHeight="false" outlineLevel="0" collapsed="false">
      <c r="A32" s="4" t="n">
        <v>8887</v>
      </c>
      <c r="B32" s="5" t="n">
        <f aca="false">PostPro4FW!H38</f>
        <v>1480.84850478428</v>
      </c>
      <c r="C32" s="5" t="n">
        <f aca="false">PostPro4FW!M38</f>
        <v>700</v>
      </c>
      <c r="D32" s="5" t="n">
        <f aca="false">PostPro4FW!H38+PostPro4FW!I38</f>
        <v>1480.84850478428</v>
      </c>
      <c r="E32" s="5" t="n">
        <f aca="false">PostPro4FW!S38</f>
        <v>700</v>
      </c>
      <c r="F32" s="5" t="n">
        <f aca="false">PostPro4FW!Q38</f>
        <v>0</v>
      </c>
      <c r="G32" s="0" t="n">
        <f aca="false">PostPro4FW!R38</f>
        <v>0</v>
      </c>
    </row>
    <row r="33" customFormat="false" ht="14.35" hidden="false" customHeight="false" outlineLevel="0" collapsed="false">
      <c r="A33" s="4" t="n">
        <v>8918</v>
      </c>
      <c r="B33" s="5" t="n">
        <f aca="false">PostPro4FW!H39</f>
        <v>2892.91463933273</v>
      </c>
      <c r="C33" s="5" t="n">
        <f aca="false">PostPro4FW!M39</f>
        <v>700</v>
      </c>
      <c r="D33" s="5" t="n">
        <f aca="false">PostPro4FW!H39+PostPro4FW!I39</f>
        <v>2892.91463933273</v>
      </c>
      <c r="E33" s="5" t="n">
        <f aca="false">PostPro4FW!S39</f>
        <v>700</v>
      </c>
      <c r="F33" s="5" t="n">
        <f aca="false">PostPro4FW!Q39</f>
        <v>0</v>
      </c>
      <c r="G33" s="0" t="n">
        <f aca="false">PostPro4FW!R39</f>
        <v>0</v>
      </c>
    </row>
    <row r="34" customFormat="false" ht="14.35" hidden="false" customHeight="false" outlineLevel="0" collapsed="false">
      <c r="A34" s="4" t="n">
        <v>8948</v>
      </c>
      <c r="B34" s="5" t="n">
        <f aca="false">PostPro4FW!H40</f>
        <v>4188.66417761796</v>
      </c>
      <c r="C34" s="5" t="n">
        <f aca="false">PostPro4FW!M40</f>
        <v>700</v>
      </c>
      <c r="D34" s="5" t="n">
        <f aca="false">PostPro4FW!H40+PostPro4FW!I40</f>
        <v>4188.66417761796</v>
      </c>
      <c r="E34" s="5" t="n">
        <f aca="false">PostPro4FW!S40</f>
        <v>700</v>
      </c>
      <c r="F34" s="5" t="n">
        <f aca="false">PostPro4FW!Q40</f>
        <v>0</v>
      </c>
      <c r="G34" s="0" t="n">
        <f aca="false">PostPro4FW!R40</f>
        <v>0</v>
      </c>
    </row>
    <row r="35" customFormat="false" ht="14.35" hidden="false" customHeight="false" outlineLevel="0" collapsed="false">
      <c r="A35" s="4" t="n">
        <v>8979</v>
      </c>
      <c r="B35" s="5" t="n">
        <f aca="false">PostPro4FW!H41</f>
        <v>3906.65386274386</v>
      </c>
      <c r="C35" s="5" t="n">
        <f aca="false">PostPro4FW!M41</f>
        <v>700</v>
      </c>
      <c r="D35" s="5" t="n">
        <f aca="false">PostPro4FW!H41+PostPro4FW!I41</f>
        <v>3906.65386274386</v>
      </c>
      <c r="E35" s="5" t="n">
        <f aca="false">PostPro4FW!S41</f>
        <v>700</v>
      </c>
      <c r="F35" s="5" t="n">
        <f aca="false">PostPro4FW!Q41</f>
        <v>0</v>
      </c>
      <c r="G35" s="0" t="n">
        <f aca="false">PostPro4FW!R41</f>
        <v>0</v>
      </c>
    </row>
    <row r="36" customFormat="false" ht="14.35" hidden="false" customHeight="false" outlineLevel="0" collapsed="false">
      <c r="A36" s="4" t="n">
        <v>9010</v>
      </c>
      <c r="B36" s="5" t="n">
        <f aca="false">PostPro4FW!H42</f>
        <v>2895.82701596613</v>
      </c>
      <c r="C36" s="5" t="n">
        <f aca="false">PostPro4FW!M42</f>
        <v>700</v>
      </c>
      <c r="D36" s="5" t="n">
        <f aca="false">PostPro4FW!H42+PostPro4FW!I42</f>
        <v>2895.82701596613</v>
      </c>
      <c r="E36" s="5" t="n">
        <f aca="false">PostPro4FW!S42</f>
        <v>700</v>
      </c>
      <c r="F36" s="5" t="n">
        <f aca="false">PostPro4FW!Q42</f>
        <v>0</v>
      </c>
      <c r="G36" s="0" t="n">
        <f aca="false">PostPro4FW!R42</f>
        <v>0</v>
      </c>
    </row>
    <row r="37" customFormat="false" ht="14.35" hidden="false" customHeight="false" outlineLevel="0" collapsed="false">
      <c r="A37" s="4" t="n">
        <v>9040</v>
      </c>
      <c r="B37" s="5" t="n">
        <f aca="false">PostPro4FW!H43</f>
        <v>1422.27138451402</v>
      </c>
      <c r="C37" s="5" t="n">
        <f aca="false">PostPro4FW!M43</f>
        <v>773.3333333</v>
      </c>
      <c r="D37" s="5" t="n">
        <f aca="false">PostPro4FW!H43+PostPro4FW!I43</f>
        <v>1422.27138451402</v>
      </c>
      <c r="E37" s="5" t="n">
        <f aca="false">PostPro4FW!S43</f>
        <v>773.3333333</v>
      </c>
      <c r="F37" s="5" t="n">
        <f aca="false">PostPro4FW!Q43</f>
        <v>0</v>
      </c>
      <c r="G37" s="0" t="n">
        <f aca="false">PostPro4FW!R43</f>
        <v>0</v>
      </c>
    </row>
    <row r="38" customFormat="false" ht="14.35" hidden="false" customHeight="false" outlineLevel="0" collapsed="false">
      <c r="A38" s="4" t="n">
        <v>9071</v>
      </c>
      <c r="B38" s="5" t="n">
        <f aca="false">PostPro4FW!H44</f>
        <v>900</v>
      </c>
      <c r="C38" s="5" t="n">
        <f aca="false">PostPro4FW!M44</f>
        <v>800</v>
      </c>
      <c r="D38" s="5" t="n">
        <f aca="false">PostPro4FW!H44+PostPro4FW!I44</f>
        <v>900</v>
      </c>
      <c r="E38" s="5" t="n">
        <f aca="false">PostPro4FW!S44</f>
        <v>800</v>
      </c>
      <c r="F38" s="5" t="n">
        <f aca="false">PostPro4FW!Q44</f>
        <v>0</v>
      </c>
      <c r="G38" s="0" t="n">
        <f aca="false">PostPro4FW!R44</f>
        <v>0</v>
      </c>
    </row>
    <row r="39" customFormat="false" ht="14.35" hidden="false" customHeight="false" outlineLevel="0" collapsed="false">
      <c r="A39" s="4" t="n">
        <v>9101</v>
      </c>
      <c r="B39" s="5" t="n">
        <f aca="false">PostPro4FW!H45</f>
        <v>900</v>
      </c>
      <c r="C39" s="5" t="n">
        <f aca="false">PostPro4FW!M45</f>
        <v>800</v>
      </c>
      <c r="D39" s="5" t="n">
        <f aca="false">PostPro4FW!H45+PostPro4FW!I45</f>
        <v>900</v>
      </c>
      <c r="E39" s="5" t="n">
        <f aca="false">PostPro4FW!S45</f>
        <v>800</v>
      </c>
      <c r="F39" s="5" t="n">
        <f aca="false">PostPro4FW!Q45</f>
        <v>0</v>
      </c>
      <c r="G39" s="0" t="n">
        <f aca="false">PostPro4FW!R45</f>
        <v>0</v>
      </c>
    </row>
    <row r="40" customFormat="false" ht="14.35" hidden="false" customHeight="false" outlineLevel="0" collapsed="false">
      <c r="A40" s="4" t="n">
        <v>9132</v>
      </c>
      <c r="B40" s="5" t="n">
        <f aca="false">PostPro4FW!H46</f>
        <v>906.284733850951</v>
      </c>
      <c r="C40" s="5" t="n">
        <f aca="false">PostPro4FW!M46</f>
        <v>800</v>
      </c>
      <c r="D40" s="5" t="n">
        <f aca="false">PostPro4FW!H46+PostPro4FW!I46</f>
        <v>906.284733850951</v>
      </c>
      <c r="E40" s="5" t="n">
        <f aca="false">PostPro4FW!S46</f>
        <v>800</v>
      </c>
      <c r="F40" s="5" t="n">
        <f aca="false">PostPro4FW!Q46</f>
        <v>0</v>
      </c>
      <c r="G40" s="0" t="n">
        <f aca="false">PostPro4FW!R46</f>
        <v>0</v>
      </c>
    </row>
    <row r="41" customFormat="false" ht="14.35" hidden="false" customHeight="false" outlineLevel="0" collapsed="false">
      <c r="A41" s="4" t="n">
        <v>9163</v>
      </c>
      <c r="B41" s="5" t="n">
        <f aca="false">PostPro4FW!H47</f>
        <v>900</v>
      </c>
      <c r="C41" s="5" t="n">
        <f aca="false">PostPro4FW!M47</f>
        <v>800</v>
      </c>
      <c r="D41" s="5" t="n">
        <f aca="false">PostPro4FW!H47+PostPro4FW!I47</f>
        <v>900</v>
      </c>
      <c r="E41" s="5" t="n">
        <f aca="false">PostPro4FW!S47</f>
        <v>800</v>
      </c>
      <c r="F41" s="5" t="n">
        <f aca="false">PostPro4FW!Q47</f>
        <v>0</v>
      </c>
      <c r="G41" s="0" t="n">
        <f aca="false">PostPro4FW!R47</f>
        <v>0</v>
      </c>
    </row>
    <row r="42" customFormat="false" ht="14.35" hidden="false" customHeight="false" outlineLevel="0" collapsed="false">
      <c r="A42" s="4" t="n">
        <v>9191</v>
      </c>
      <c r="B42" s="5" t="n">
        <f aca="false">PostPro4FW!H48</f>
        <v>900</v>
      </c>
      <c r="C42" s="5" t="n">
        <f aca="false">PostPro4FW!M48</f>
        <v>800</v>
      </c>
      <c r="D42" s="5" t="n">
        <f aca="false">PostPro4FW!H48+PostPro4FW!I48</f>
        <v>900</v>
      </c>
      <c r="E42" s="5" t="n">
        <f aca="false">PostPro4FW!S48</f>
        <v>900</v>
      </c>
      <c r="F42" s="5" t="n">
        <f aca="false">PostPro4FW!Q48</f>
        <v>900</v>
      </c>
      <c r="G42" s="0" t="n">
        <f aca="false">PostPro4FW!R48</f>
        <v>28</v>
      </c>
    </row>
    <row r="43" customFormat="false" ht="14.35" hidden="false" customHeight="false" outlineLevel="0" collapsed="false">
      <c r="A43" s="4" t="n">
        <v>9222</v>
      </c>
      <c r="B43" s="5" t="n">
        <f aca="false">PostPro4FW!H49</f>
        <v>800</v>
      </c>
      <c r="C43" s="5" t="n">
        <f aca="false">PostPro4FW!M49</f>
        <v>800</v>
      </c>
      <c r="D43" s="5" t="n">
        <f aca="false">PostPro4FW!H49+PostPro4FW!I49</f>
        <v>800</v>
      </c>
      <c r="E43" s="5" t="n">
        <f aca="false">PostPro4FW!S49</f>
        <v>800</v>
      </c>
      <c r="F43" s="5" t="n">
        <f aca="false">PostPro4FW!Q49</f>
        <v>0</v>
      </c>
      <c r="G43" s="0" t="n">
        <f aca="false">PostPro4FW!R49</f>
        <v>0</v>
      </c>
    </row>
    <row r="44" customFormat="false" ht="14.35" hidden="false" customHeight="false" outlineLevel="0" collapsed="false">
      <c r="A44" s="4" t="n">
        <v>9252</v>
      </c>
      <c r="B44" s="5" t="n">
        <f aca="false">PostPro4FW!H50</f>
        <v>750</v>
      </c>
      <c r="C44" s="5" t="n">
        <f aca="false">PostPro4FW!M50</f>
        <v>700</v>
      </c>
      <c r="D44" s="5" t="n">
        <f aca="false">PostPro4FW!H50+PostPro4FW!I50</f>
        <v>1170.13888888889</v>
      </c>
      <c r="E44" s="5" t="n">
        <f aca="false">PostPro4FW!S50</f>
        <v>1170.13888888889</v>
      </c>
      <c r="F44" s="5" t="n">
        <f aca="false">PostPro4FW!Q50</f>
        <v>1170.13888888889</v>
      </c>
      <c r="G44" s="0" t="n">
        <f aca="false">PostPro4FW!R50</f>
        <v>30</v>
      </c>
    </row>
    <row r="45" customFormat="false" ht="14.35" hidden="false" customHeight="false" outlineLevel="0" collapsed="false">
      <c r="A45" s="4" t="n">
        <v>9283</v>
      </c>
      <c r="B45" s="5" t="n">
        <f aca="false">PostPro4FW!H51</f>
        <v>750</v>
      </c>
      <c r="C45" s="5" t="n">
        <f aca="false">PostPro4FW!M51</f>
        <v>700</v>
      </c>
      <c r="D45" s="5" t="n">
        <f aca="false">PostPro4FW!H51+PostPro4FW!I51</f>
        <v>1156.58602150538</v>
      </c>
      <c r="E45" s="5" t="n">
        <f aca="false">PostPro4FW!S51</f>
        <v>847.285813388831</v>
      </c>
      <c r="F45" s="5" t="n">
        <f aca="false">PostPro4FW!Q51</f>
        <v>1156.58602150538</v>
      </c>
      <c r="G45" s="0" t="n">
        <f aca="false">PostPro4FW!R51</f>
        <v>10</v>
      </c>
    </row>
    <row r="46" customFormat="false" ht="14.35" hidden="false" customHeight="false" outlineLevel="0" collapsed="false">
      <c r="A46" s="4" t="n">
        <v>9313</v>
      </c>
      <c r="B46" s="5" t="n">
        <f aca="false">PostPro4FW!H52</f>
        <v>1056.30823662604</v>
      </c>
      <c r="C46" s="5" t="n">
        <f aca="false">PostPro4FW!M52</f>
        <v>700</v>
      </c>
      <c r="D46" s="5" t="n">
        <f aca="false">PostPro4FW!H52+PostPro4FW!I52</f>
        <v>1056.30823662604</v>
      </c>
      <c r="E46" s="5" t="n">
        <f aca="false">PostPro4FW!S52</f>
        <v>700</v>
      </c>
      <c r="F46" s="5" t="n">
        <f aca="false">PostPro4FW!Q52</f>
        <v>0</v>
      </c>
      <c r="G46" s="0" t="n">
        <f aca="false">PostPro4FW!R52</f>
        <v>0</v>
      </c>
    </row>
    <row r="47" customFormat="false" ht="14.35" hidden="false" customHeight="false" outlineLevel="0" collapsed="false">
      <c r="A47" s="4" t="n">
        <v>9344</v>
      </c>
      <c r="B47" s="5" t="n">
        <f aca="false">PostPro4FW!H53</f>
        <v>6184.13708223553</v>
      </c>
      <c r="C47" s="5" t="n">
        <f aca="false">PostPro4FW!M53</f>
        <v>700</v>
      </c>
      <c r="D47" s="5" t="n">
        <f aca="false">PostPro4FW!H53+PostPro4FW!I53</f>
        <v>6184.13708223553</v>
      </c>
      <c r="E47" s="5" t="n">
        <f aca="false">PostPro4FW!S53</f>
        <v>700</v>
      </c>
      <c r="F47" s="5" t="n">
        <f aca="false">PostPro4FW!Q53</f>
        <v>0</v>
      </c>
      <c r="G47" s="0" t="n">
        <f aca="false">PostPro4FW!R53</f>
        <v>0</v>
      </c>
    </row>
    <row r="48" customFormat="false" ht="14.35" hidden="false" customHeight="false" outlineLevel="0" collapsed="false">
      <c r="A48" s="4" t="n">
        <v>9375</v>
      </c>
      <c r="B48" s="5" t="n">
        <f aca="false">PostPro4FW!H54</f>
        <v>1825.11587035026</v>
      </c>
      <c r="C48" s="5" t="n">
        <f aca="false">PostPro4FW!M54</f>
        <v>700</v>
      </c>
      <c r="D48" s="5" t="n">
        <f aca="false">PostPro4FW!H54+PostPro4FW!I54</f>
        <v>1825.11587035026</v>
      </c>
      <c r="E48" s="5" t="n">
        <f aca="false">PostPro4FW!S54</f>
        <v>700</v>
      </c>
      <c r="F48" s="5" t="n">
        <f aca="false">PostPro4FW!Q54</f>
        <v>0</v>
      </c>
      <c r="G48" s="0" t="n">
        <f aca="false">PostPro4FW!R54</f>
        <v>0</v>
      </c>
    </row>
    <row r="49" customFormat="false" ht="14.35" hidden="false" customHeight="false" outlineLevel="0" collapsed="false">
      <c r="A49" s="4" t="n">
        <v>9405</v>
      </c>
      <c r="B49" s="5" t="n">
        <f aca="false">PostPro4FW!H55</f>
        <v>901.291402492888</v>
      </c>
      <c r="C49" s="5" t="n">
        <f aca="false">PostPro4FW!M55</f>
        <v>773.3333333</v>
      </c>
      <c r="D49" s="5" t="n">
        <f aca="false">PostPro4FW!H55+PostPro4FW!I55</f>
        <v>901.291402492888</v>
      </c>
      <c r="E49" s="5" t="n">
        <f aca="false">PostPro4FW!S55</f>
        <v>773.3333333</v>
      </c>
      <c r="F49" s="5" t="n">
        <f aca="false">PostPro4FW!Q55</f>
        <v>0</v>
      </c>
      <c r="G49" s="0" t="n">
        <f aca="false">PostPro4FW!R55</f>
        <v>0</v>
      </c>
    </row>
    <row r="50" customFormat="false" ht="14.35" hidden="false" customHeight="false" outlineLevel="0" collapsed="false">
      <c r="A50" s="4" t="n">
        <v>9436</v>
      </c>
      <c r="B50" s="5" t="n">
        <f aca="false">PostPro4FW!H56</f>
        <v>900.000000000001</v>
      </c>
      <c r="C50" s="5" t="n">
        <f aca="false">PostPro4FW!M56</f>
        <v>800</v>
      </c>
      <c r="D50" s="5" t="n">
        <f aca="false">PostPro4FW!H56+PostPro4FW!I56</f>
        <v>900.000000000001</v>
      </c>
      <c r="E50" s="5" t="n">
        <f aca="false">PostPro4FW!S56</f>
        <v>800</v>
      </c>
      <c r="F50" s="5" t="n">
        <f aca="false">PostPro4FW!Q56</f>
        <v>0</v>
      </c>
      <c r="G50" s="0" t="n">
        <f aca="false">PostPro4FW!R56</f>
        <v>0</v>
      </c>
    </row>
    <row r="51" customFormat="false" ht="14.35" hidden="false" customHeight="false" outlineLevel="0" collapsed="false">
      <c r="A51" s="4" t="n">
        <v>9466</v>
      </c>
      <c r="B51" s="5" t="n">
        <f aca="false">PostPro4FW!H57</f>
        <v>900</v>
      </c>
      <c r="C51" s="5" t="n">
        <f aca="false">PostPro4FW!M57</f>
        <v>800</v>
      </c>
      <c r="D51" s="5" t="n">
        <f aca="false">PostPro4FW!H57+PostPro4FW!I57</f>
        <v>900</v>
      </c>
      <c r="E51" s="5" t="n">
        <f aca="false">PostPro4FW!S57</f>
        <v>800</v>
      </c>
      <c r="F51" s="5" t="n">
        <f aca="false">PostPro4FW!Q57</f>
        <v>0</v>
      </c>
      <c r="G51" s="0" t="n">
        <f aca="false">PostPro4FW!R57</f>
        <v>0</v>
      </c>
    </row>
    <row r="52" customFormat="false" ht="14.35" hidden="false" customHeight="false" outlineLevel="0" collapsed="false">
      <c r="A52" s="4" t="n">
        <v>9497</v>
      </c>
      <c r="B52" s="5" t="n">
        <f aca="false">PostPro4FW!H58</f>
        <v>1744.58118641401</v>
      </c>
      <c r="C52" s="5" t="n">
        <f aca="false">PostPro4FW!M58</f>
        <v>800</v>
      </c>
      <c r="D52" s="5" t="n">
        <f aca="false">PostPro4FW!H58+PostPro4FW!I58</f>
        <v>1744.58118641401</v>
      </c>
      <c r="E52" s="5" t="n">
        <f aca="false">PostPro4FW!S58</f>
        <v>800</v>
      </c>
      <c r="F52" s="5" t="n">
        <f aca="false">PostPro4FW!Q58</f>
        <v>0</v>
      </c>
      <c r="G52" s="0" t="n">
        <f aca="false">PostPro4FW!R58</f>
        <v>0</v>
      </c>
    </row>
    <row r="53" customFormat="false" ht="14.35" hidden="false" customHeight="false" outlineLevel="0" collapsed="false">
      <c r="A53" s="4" t="n">
        <v>9528</v>
      </c>
      <c r="B53" s="5" t="n">
        <f aca="false">PostPro4FW!H59</f>
        <v>900</v>
      </c>
      <c r="C53" s="5" t="n">
        <f aca="false">PostPro4FW!M59</f>
        <v>800</v>
      </c>
      <c r="D53" s="5" t="n">
        <f aca="false">PostPro4FW!H59+PostPro4FW!I59</f>
        <v>900</v>
      </c>
      <c r="E53" s="5" t="n">
        <f aca="false">PostPro4FW!S59</f>
        <v>800</v>
      </c>
      <c r="F53" s="5" t="n">
        <f aca="false">PostPro4FW!Q59</f>
        <v>0</v>
      </c>
      <c r="G53" s="0" t="n">
        <f aca="false">PostPro4FW!R59</f>
        <v>0</v>
      </c>
    </row>
    <row r="54" customFormat="false" ht="14.35" hidden="false" customHeight="false" outlineLevel="0" collapsed="false">
      <c r="A54" s="4" t="n">
        <v>9556</v>
      </c>
      <c r="B54" s="5" t="n">
        <f aca="false">PostPro4FW!H60</f>
        <v>900</v>
      </c>
      <c r="C54" s="5" t="n">
        <f aca="false">PostPro4FW!M60</f>
        <v>800</v>
      </c>
      <c r="D54" s="5" t="n">
        <f aca="false">PostPro4FW!H60+PostPro4FW!I60</f>
        <v>900</v>
      </c>
      <c r="E54" s="5" t="n">
        <f aca="false">PostPro4FW!S60</f>
        <v>900</v>
      </c>
      <c r="F54" s="5" t="n">
        <f aca="false">PostPro4FW!Q60</f>
        <v>900</v>
      </c>
      <c r="G54" s="0" t="n">
        <f aca="false">PostPro4FW!R60</f>
        <v>28</v>
      </c>
    </row>
    <row r="55" customFormat="false" ht="14.35" hidden="false" customHeight="false" outlineLevel="0" collapsed="false">
      <c r="A55" s="4" t="n">
        <v>9587</v>
      </c>
      <c r="B55" s="5" t="n">
        <f aca="false">PostPro4FW!H61</f>
        <v>1126.7099268621</v>
      </c>
      <c r="C55" s="5" t="n">
        <f aca="false">PostPro4FW!M61</f>
        <v>800</v>
      </c>
      <c r="D55" s="5" t="n">
        <f aca="false">PostPro4FW!H61+PostPro4FW!I61</f>
        <v>1126.7099268621</v>
      </c>
      <c r="E55" s="5" t="n">
        <f aca="false">PostPro4FW!S61</f>
        <v>1126.7099268621</v>
      </c>
      <c r="F55" s="5" t="n">
        <f aca="false">PostPro4FW!Q61</f>
        <v>1126.7099268621</v>
      </c>
      <c r="G55" s="0" t="n">
        <f aca="false">PostPro4FW!R61</f>
        <v>31</v>
      </c>
    </row>
    <row r="56" customFormat="false" ht="14.35" hidden="false" customHeight="false" outlineLevel="0" collapsed="false">
      <c r="A56" s="4" t="n">
        <v>9617</v>
      </c>
      <c r="B56" s="5" t="n">
        <f aca="false">PostPro4FW!H62</f>
        <v>750</v>
      </c>
      <c r="C56" s="5" t="n">
        <f aca="false">PostPro4FW!M62</f>
        <v>700</v>
      </c>
      <c r="D56" s="5" t="n">
        <f aca="false">PostPro4FW!H62+PostPro4FW!I62</f>
        <v>1170.13888888889</v>
      </c>
      <c r="E56" s="5" t="n">
        <f aca="false">PostPro4FW!S62</f>
        <v>982.083333333333</v>
      </c>
      <c r="F56" s="5" t="n">
        <f aca="false">PostPro4FW!Q62</f>
        <v>1170.13888888889</v>
      </c>
      <c r="G56" s="0" t="n">
        <f aca="false">PostPro4FW!R62</f>
        <v>18</v>
      </c>
    </row>
    <row r="57" customFormat="false" ht="14.35" hidden="false" customHeight="false" outlineLevel="0" collapsed="false">
      <c r="A57" s="4" t="n">
        <v>9648</v>
      </c>
      <c r="B57" s="5" t="n">
        <f aca="false">PostPro4FW!H63</f>
        <v>3103.48242879183</v>
      </c>
      <c r="C57" s="5" t="n">
        <f aca="false">PostPro4FW!M63</f>
        <v>700</v>
      </c>
      <c r="D57" s="5" t="n">
        <f aca="false">PostPro4FW!H63+PostPro4FW!I63</f>
        <v>3510.06845029721</v>
      </c>
      <c r="E57" s="5" t="n">
        <f aca="false">PostPro4FW!S63</f>
        <v>700</v>
      </c>
      <c r="F57" s="5" t="n">
        <f aca="false">PostPro4FW!Q63</f>
        <v>0</v>
      </c>
      <c r="G57" s="0" t="n">
        <f aca="false">PostPro4FW!R63</f>
        <v>0</v>
      </c>
    </row>
    <row r="58" customFormat="false" ht="14.35" hidden="false" customHeight="false" outlineLevel="0" collapsed="false">
      <c r="A58" s="4" t="n">
        <v>9678</v>
      </c>
      <c r="B58" s="5" t="n">
        <f aca="false">PostPro4FW!H64</f>
        <v>5735.42790999036</v>
      </c>
      <c r="C58" s="5" t="n">
        <f aca="false">PostPro4FW!M64</f>
        <v>700</v>
      </c>
      <c r="D58" s="5" t="n">
        <f aca="false">PostPro4FW!H64+PostPro4FW!I64</f>
        <v>5735.42790999036</v>
      </c>
      <c r="E58" s="5" t="n">
        <f aca="false">PostPro4FW!S64</f>
        <v>700</v>
      </c>
      <c r="F58" s="5" t="n">
        <f aca="false">PostPro4FW!Q64</f>
        <v>0</v>
      </c>
      <c r="G58" s="0" t="n">
        <f aca="false">PostPro4FW!R64</f>
        <v>0</v>
      </c>
    </row>
    <row r="59" customFormat="false" ht="14.35" hidden="false" customHeight="false" outlineLevel="0" collapsed="false">
      <c r="A59" s="4" t="n">
        <v>9709</v>
      </c>
      <c r="B59" s="5" t="n">
        <f aca="false">PostPro4FW!H65</f>
        <v>7615.83156085365</v>
      </c>
      <c r="C59" s="5" t="n">
        <f aca="false">PostPro4FW!M65</f>
        <v>700</v>
      </c>
      <c r="D59" s="5" t="n">
        <f aca="false">PostPro4FW!H65+PostPro4FW!I65</f>
        <v>7615.83156085365</v>
      </c>
      <c r="E59" s="5" t="n">
        <f aca="false">PostPro4FW!S65</f>
        <v>700</v>
      </c>
      <c r="F59" s="5" t="n">
        <f aca="false">PostPro4FW!Q65</f>
        <v>0</v>
      </c>
      <c r="G59" s="0" t="n">
        <f aca="false">PostPro4FW!R65</f>
        <v>0</v>
      </c>
    </row>
    <row r="60" customFormat="false" ht="14.35" hidden="false" customHeight="false" outlineLevel="0" collapsed="false">
      <c r="A60" s="4" t="n">
        <v>9740</v>
      </c>
      <c r="B60" s="5" t="n">
        <f aca="false">PostPro4FW!H66</f>
        <v>2105.99342307134</v>
      </c>
      <c r="C60" s="5" t="n">
        <f aca="false">PostPro4FW!M66</f>
        <v>700</v>
      </c>
      <c r="D60" s="5" t="n">
        <f aca="false">PostPro4FW!H66+PostPro4FW!I66</f>
        <v>2105.99342307134</v>
      </c>
      <c r="E60" s="5" t="n">
        <f aca="false">PostPro4FW!S66</f>
        <v>700</v>
      </c>
      <c r="F60" s="5" t="n">
        <f aca="false">PostPro4FW!Q66</f>
        <v>0</v>
      </c>
      <c r="G60" s="0" t="n">
        <f aca="false">PostPro4FW!R66</f>
        <v>0</v>
      </c>
    </row>
    <row r="61" customFormat="false" ht="14.35" hidden="false" customHeight="false" outlineLevel="0" collapsed="false">
      <c r="A61" s="4" t="n">
        <v>9770</v>
      </c>
      <c r="B61" s="5" t="n">
        <f aca="false">PostPro4FW!H67</f>
        <v>992.376431051323</v>
      </c>
      <c r="C61" s="5" t="n">
        <f aca="false">PostPro4FW!M67</f>
        <v>773.3333333</v>
      </c>
      <c r="D61" s="5" t="n">
        <f aca="false">PostPro4FW!H67+PostPro4FW!I67</f>
        <v>992.376431051323</v>
      </c>
      <c r="E61" s="5" t="n">
        <f aca="false">PostPro4FW!S67</f>
        <v>773.3333333</v>
      </c>
      <c r="F61" s="5" t="n">
        <f aca="false">PostPro4FW!Q67</f>
        <v>0</v>
      </c>
      <c r="G61" s="0" t="n">
        <f aca="false">PostPro4FW!R67</f>
        <v>0</v>
      </c>
    </row>
    <row r="62" customFormat="false" ht="14.35" hidden="false" customHeight="false" outlineLevel="0" collapsed="false">
      <c r="A62" s="4" t="n">
        <v>9801</v>
      </c>
      <c r="B62" s="5" t="n">
        <f aca="false">PostPro4FW!H68</f>
        <v>900.000000000001</v>
      </c>
      <c r="C62" s="5" t="n">
        <f aca="false">PostPro4FW!M68</f>
        <v>800</v>
      </c>
      <c r="D62" s="5" t="n">
        <f aca="false">PostPro4FW!H68+PostPro4FW!I68</f>
        <v>900.000000000001</v>
      </c>
      <c r="E62" s="5" t="n">
        <f aca="false">PostPro4FW!S68</f>
        <v>800</v>
      </c>
      <c r="F62" s="5" t="n">
        <f aca="false">PostPro4FW!Q68</f>
        <v>0</v>
      </c>
      <c r="G62" s="0" t="n">
        <f aca="false">PostPro4FW!R68</f>
        <v>0</v>
      </c>
    </row>
    <row r="63" customFormat="false" ht="14.35" hidden="false" customHeight="false" outlineLevel="0" collapsed="false">
      <c r="A63" s="4" t="n">
        <v>9831</v>
      </c>
      <c r="B63" s="5" t="n">
        <f aca="false">PostPro4FW!H69</f>
        <v>900</v>
      </c>
      <c r="C63" s="5" t="n">
        <f aca="false">PostPro4FW!M69</f>
        <v>800</v>
      </c>
      <c r="D63" s="5" t="n">
        <f aca="false">PostPro4FW!H69+PostPro4FW!I69</f>
        <v>900</v>
      </c>
      <c r="E63" s="5" t="n">
        <f aca="false">PostPro4FW!S69</f>
        <v>800</v>
      </c>
      <c r="F63" s="5" t="n">
        <f aca="false">PostPro4FW!Q69</f>
        <v>0</v>
      </c>
      <c r="G63" s="0" t="n">
        <f aca="false">PostPro4FW!R69</f>
        <v>0</v>
      </c>
    </row>
    <row r="64" customFormat="false" ht="14.35" hidden="false" customHeight="false" outlineLevel="0" collapsed="false">
      <c r="A64" s="4" t="n">
        <v>9862</v>
      </c>
      <c r="B64" s="5" t="n">
        <f aca="false">PostPro4FW!H70</f>
        <v>3769.73339966359</v>
      </c>
      <c r="C64" s="5" t="n">
        <f aca="false">PostPro4FW!M70</f>
        <v>800</v>
      </c>
      <c r="D64" s="5" t="n">
        <f aca="false">PostPro4FW!H70+PostPro4FW!I70</f>
        <v>3769.73339966359</v>
      </c>
      <c r="E64" s="5" t="n">
        <f aca="false">PostPro4FW!S70</f>
        <v>800</v>
      </c>
      <c r="F64" s="5" t="n">
        <f aca="false">PostPro4FW!Q70</f>
        <v>0</v>
      </c>
      <c r="G64" s="0" t="n">
        <f aca="false">PostPro4FW!R70</f>
        <v>0</v>
      </c>
    </row>
    <row r="65" customFormat="false" ht="14.35" hidden="false" customHeight="false" outlineLevel="0" collapsed="false">
      <c r="A65" s="4" t="n">
        <v>9893</v>
      </c>
      <c r="B65" s="5" t="n">
        <f aca="false">PostPro4FW!H71</f>
        <v>900</v>
      </c>
      <c r="C65" s="5" t="n">
        <f aca="false">PostPro4FW!M71</f>
        <v>800</v>
      </c>
      <c r="D65" s="5" t="n">
        <f aca="false">PostPro4FW!H71+PostPro4FW!I71</f>
        <v>900</v>
      </c>
      <c r="E65" s="5" t="n">
        <f aca="false">PostPro4FW!S71</f>
        <v>800</v>
      </c>
      <c r="F65" s="5" t="n">
        <f aca="false">PostPro4FW!Q71</f>
        <v>0</v>
      </c>
      <c r="G65" s="0" t="n">
        <f aca="false">PostPro4FW!R71</f>
        <v>0</v>
      </c>
    </row>
    <row r="66" customFormat="false" ht="14.35" hidden="false" customHeight="false" outlineLevel="0" collapsed="false">
      <c r="A66" s="4" t="n">
        <v>9921</v>
      </c>
      <c r="B66" s="5" t="n">
        <f aca="false">PostPro4FW!H72</f>
        <v>900</v>
      </c>
      <c r="C66" s="5" t="n">
        <f aca="false">PostPro4FW!M72</f>
        <v>800</v>
      </c>
      <c r="D66" s="5" t="n">
        <f aca="false">PostPro4FW!H72+PostPro4FW!I72</f>
        <v>900</v>
      </c>
      <c r="E66" s="5" t="n">
        <f aca="false">PostPro4FW!S72</f>
        <v>800</v>
      </c>
      <c r="F66" s="5" t="n">
        <f aca="false">PostPro4FW!Q72</f>
        <v>0</v>
      </c>
      <c r="G66" s="0" t="n">
        <f aca="false">PostPro4FW!R72</f>
        <v>0</v>
      </c>
    </row>
    <row r="67" customFormat="false" ht="14.35" hidden="false" customHeight="false" outlineLevel="0" collapsed="false">
      <c r="A67" s="4" t="n">
        <v>9952</v>
      </c>
      <c r="B67" s="5" t="n">
        <f aca="false">PostPro4FW!H73</f>
        <v>4824.50401000756</v>
      </c>
      <c r="C67" s="5" t="n">
        <f aca="false">PostPro4FW!M73</f>
        <v>800</v>
      </c>
      <c r="D67" s="5" t="n">
        <f aca="false">PostPro4FW!H73+PostPro4FW!I73</f>
        <v>4824.50401000756</v>
      </c>
      <c r="E67" s="5" t="n">
        <f aca="false">PostPro4FW!S73</f>
        <v>800</v>
      </c>
      <c r="F67" s="5" t="n">
        <f aca="false">PostPro4FW!Q73</f>
        <v>0</v>
      </c>
      <c r="G67" s="0" t="n">
        <f aca="false">PostPro4FW!R73</f>
        <v>0</v>
      </c>
    </row>
    <row r="68" customFormat="false" ht="14.35" hidden="false" customHeight="false" outlineLevel="0" collapsed="false">
      <c r="A68" s="4" t="n">
        <v>9982</v>
      </c>
      <c r="B68" s="5" t="n">
        <f aca="false">PostPro4FW!H74</f>
        <v>4780.42510376718</v>
      </c>
      <c r="C68" s="5" t="n">
        <f aca="false">PostPro4FW!M74</f>
        <v>700</v>
      </c>
      <c r="D68" s="5" t="n">
        <f aca="false">PostPro4FW!H74+PostPro4FW!I74</f>
        <v>4780.42510376718</v>
      </c>
      <c r="E68" s="5" t="n">
        <f aca="false">PostPro4FW!S74</f>
        <v>700</v>
      </c>
      <c r="F68" s="5" t="n">
        <f aca="false">PostPro4FW!Q74</f>
        <v>0</v>
      </c>
      <c r="G68" s="0" t="n">
        <f aca="false">PostPro4FW!R74</f>
        <v>0</v>
      </c>
    </row>
    <row r="69" customFormat="false" ht="14.35" hidden="false" customHeight="false" outlineLevel="0" collapsed="false">
      <c r="A69" s="4" t="n">
        <v>10013</v>
      </c>
      <c r="B69" s="5" t="n">
        <f aca="false">PostPro4FW!H75</f>
        <v>4032.72453605766</v>
      </c>
      <c r="C69" s="5" t="n">
        <f aca="false">PostPro4FW!M75</f>
        <v>700</v>
      </c>
      <c r="D69" s="5" t="n">
        <f aca="false">PostPro4FW!H75+PostPro4FW!I75</f>
        <v>4032.72453605766</v>
      </c>
      <c r="E69" s="5" t="n">
        <f aca="false">PostPro4FW!S75</f>
        <v>700</v>
      </c>
      <c r="F69" s="5" t="n">
        <f aca="false">PostPro4FW!Q75</f>
        <v>0</v>
      </c>
      <c r="G69" s="0" t="n">
        <f aca="false">PostPro4FW!R75</f>
        <v>0</v>
      </c>
    </row>
    <row r="70" customFormat="false" ht="14.35" hidden="false" customHeight="false" outlineLevel="0" collapsed="false">
      <c r="A70" s="4" t="n">
        <v>10043</v>
      </c>
      <c r="B70" s="5" t="n">
        <f aca="false">PostPro4FW!H76</f>
        <v>2024.27816832632</v>
      </c>
      <c r="C70" s="5" t="n">
        <f aca="false">PostPro4FW!M76</f>
        <v>700</v>
      </c>
      <c r="D70" s="5" t="n">
        <f aca="false">PostPro4FW!H76+PostPro4FW!I76</f>
        <v>2024.27816832632</v>
      </c>
      <c r="E70" s="5" t="n">
        <f aca="false">PostPro4FW!S76</f>
        <v>700</v>
      </c>
      <c r="F70" s="5" t="n">
        <f aca="false">PostPro4FW!Q76</f>
        <v>0</v>
      </c>
      <c r="G70" s="0" t="n">
        <f aca="false">PostPro4FW!R76</f>
        <v>0</v>
      </c>
    </row>
    <row r="71" customFormat="false" ht="14.35" hidden="false" customHeight="false" outlineLevel="0" collapsed="false">
      <c r="A71" s="4" t="n">
        <v>10074</v>
      </c>
      <c r="B71" s="5" t="n">
        <f aca="false">PostPro4FW!H77</f>
        <v>8798.50132386267</v>
      </c>
      <c r="C71" s="5" t="n">
        <f aca="false">PostPro4FW!M77</f>
        <v>700</v>
      </c>
      <c r="D71" s="5" t="n">
        <f aca="false">PostPro4FW!H77+PostPro4FW!I77</f>
        <v>8798.50132386267</v>
      </c>
      <c r="E71" s="5" t="n">
        <f aca="false">PostPro4FW!S77</f>
        <v>700</v>
      </c>
      <c r="F71" s="5" t="n">
        <f aca="false">PostPro4FW!Q77</f>
        <v>0</v>
      </c>
      <c r="G71" s="0" t="n">
        <f aca="false">PostPro4FW!R77</f>
        <v>0</v>
      </c>
    </row>
    <row r="72" customFormat="false" ht="14.35" hidden="false" customHeight="false" outlineLevel="0" collapsed="false">
      <c r="A72" s="4" t="n">
        <v>10105</v>
      </c>
      <c r="B72" s="5" t="n">
        <f aca="false">PostPro4FW!H78</f>
        <v>8179.57422635813</v>
      </c>
      <c r="C72" s="5" t="n">
        <f aca="false">PostPro4FW!M78</f>
        <v>700</v>
      </c>
      <c r="D72" s="5" t="n">
        <f aca="false">PostPro4FW!H78+PostPro4FW!I78</f>
        <v>8179.57422635813</v>
      </c>
      <c r="E72" s="5" t="n">
        <f aca="false">PostPro4FW!S78</f>
        <v>700</v>
      </c>
      <c r="F72" s="5" t="n">
        <f aca="false">PostPro4FW!Q78</f>
        <v>0</v>
      </c>
      <c r="G72" s="0" t="n">
        <f aca="false">PostPro4FW!R78</f>
        <v>0</v>
      </c>
    </row>
    <row r="73" customFormat="false" ht="14.35" hidden="false" customHeight="false" outlineLevel="0" collapsed="false">
      <c r="A73" s="4" t="n">
        <v>10135</v>
      </c>
      <c r="B73" s="5" t="n">
        <f aca="false">PostPro4FW!H79</f>
        <v>9351.6764676552</v>
      </c>
      <c r="C73" s="5" t="n">
        <f aca="false">PostPro4FW!M79</f>
        <v>773.3333333</v>
      </c>
      <c r="D73" s="5" t="n">
        <f aca="false">PostPro4FW!H79+PostPro4FW!I79</f>
        <v>9351.6764676552</v>
      </c>
      <c r="E73" s="5" t="n">
        <f aca="false">PostPro4FW!S79</f>
        <v>773.3333333</v>
      </c>
      <c r="F73" s="5" t="n">
        <f aca="false">PostPro4FW!Q79</f>
        <v>0</v>
      </c>
      <c r="G73" s="0" t="n">
        <f aca="false">PostPro4FW!R79</f>
        <v>0</v>
      </c>
    </row>
    <row r="74" customFormat="false" ht="14.35" hidden="false" customHeight="false" outlineLevel="0" collapsed="false">
      <c r="A74" s="4" t="n">
        <v>10166</v>
      </c>
      <c r="B74" s="5" t="n">
        <f aca="false">PostPro4FW!H80</f>
        <v>4000</v>
      </c>
      <c r="C74" s="5" t="n">
        <f aca="false">PostPro4FW!M80</f>
        <v>800</v>
      </c>
      <c r="D74" s="5" t="n">
        <f aca="false">PostPro4FW!H80+PostPro4FW!I80</f>
        <v>4000</v>
      </c>
      <c r="E74" s="5" t="n">
        <f aca="false">PostPro4FW!S80</f>
        <v>800</v>
      </c>
      <c r="F74" s="5" t="n">
        <f aca="false">PostPro4FW!Q80</f>
        <v>0</v>
      </c>
      <c r="G74" s="0" t="n">
        <f aca="false">PostPro4FW!R80</f>
        <v>0</v>
      </c>
    </row>
    <row r="75" customFormat="false" ht="14.35" hidden="false" customHeight="false" outlineLevel="0" collapsed="false">
      <c r="A75" s="4" t="n">
        <v>10196</v>
      </c>
      <c r="B75" s="5" t="n">
        <f aca="false">PostPro4FW!H81</f>
        <v>2500</v>
      </c>
      <c r="C75" s="5" t="n">
        <f aca="false">PostPro4FW!M81</f>
        <v>800</v>
      </c>
      <c r="D75" s="5" t="n">
        <f aca="false">PostPro4FW!H81+PostPro4FW!I81</f>
        <v>2500</v>
      </c>
      <c r="E75" s="5" t="n">
        <f aca="false">PostPro4FW!S81</f>
        <v>800</v>
      </c>
      <c r="F75" s="5" t="n">
        <f aca="false">PostPro4FW!Q81</f>
        <v>0</v>
      </c>
      <c r="G75" s="0" t="n">
        <f aca="false">PostPro4FW!R81</f>
        <v>0</v>
      </c>
    </row>
    <row r="76" customFormat="false" ht="14.35" hidden="false" customHeight="false" outlineLevel="0" collapsed="false">
      <c r="A76" s="4" t="n">
        <v>10227</v>
      </c>
      <c r="B76" s="5" t="n">
        <f aca="false">PostPro4FW!H82</f>
        <v>2936.4421571439</v>
      </c>
      <c r="C76" s="5" t="n">
        <f aca="false">PostPro4FW!M82</f>
        <v>800</v>
      </c>
      <c r="D76" s="5" t="n">
        <f aca="false">PostPro4FW!H82+PostPro4FW!I82</f>
        <v>2936.4421571439</v>
      </c>
      <c r="E76" s="5" t="n">
        <f aca="false">PostPro4FW!S82</f>
        <v>800</v>
      </c>
      <c r="F76" s="5" t="n">
        <f aca="false">PostPro4FW!Q82</f>
        <v>0</v>
      </c>
      <c r="G76" s="0" t="n">
        <f aca="false">PostPro4FW!R82</f>
        <v>0</v>
      </c>
    </row>
    <row r="77" customFormat="false" ht="14.35" hidden="false" customHeight="false" outlineLevel="0" collapsed="false">
      <c r="A77" s="4" t="n">
        <v>10258</v>
      </c>
      <c r="B77" s="5" t="n">
        <f aca="false">PostPro4FW!H83</f>
        <v>1700</v>
      </c>
      <c r="C77" s="5" t="n">
        <f aca="false">PostPro4FW!M83</f>
        <v>800</v>
      </c>
      <c r="D77" s="5" t="n">
        <f aca="false">PostPro4FW!H83+PostPro4FW!I83</f>
        <v>1700</v>
      </c>
      <c r="E77" s="5" t="n">
        <f aca="false">PostPro4FW!S83</f>
        <v>800</v>
      </c>
      <c r="F77" s="5" t="n">
        <f aca="false">PostPro4FW!Q83</f>
        <v>0</v>
      </c>
      <c r="G77" s="0" t="n">
        <f aca="false">PostPro4FW!R83</f>
        <v>0</v>
      </c>
    </row>
    <row r="78" customFormat="false" ht="14.35" hidden="false" customHeight="false" outlineLevel="0" collapsed="false">
      <c r="A78" s="4" t="n">
        <v>10287</v>
      </c>
      <c r="B78" s="5" t="n">
        <f aca="false">PostPro4FW!H84</f>
        <v>3732.89315394379</v>
      </c>
      <c r="C78" s="5" t="n">
        <f aca="false">PostPro4FW!M84</f>
        <v>800</v>
      </c>
      <c r="D78" s="5" t="n">
        <f aca="false">PostPro4FW!H84+PostPro4FW!I84</f>
        <v>3732.89315394379</v>
      </c>
      <c r="E78" s="5" t="n">
        <f aca="false">PostPro4FW!S84</f>
        <v>1544.8275862069</v>
      </c>
      <c r="F78" s="5" t="n">
        <f aca="false">PostPro4FW!Q84</f>
        <v>2000</v>
      </c>
      <c r="G78" s="0" t="n">
        <f aca="false">PostPro4FW!R84</f>
        <v>18</v>
      </c>
    </row>
    <row r="79" customFormat="false" ht="14.35" hidden="false" customHeight="false" outlineLevel="0" collapsed="false">
      <c r="A79" s="4" t="n">
        <v>10318</v>
      </c>
      <c r="B79" s="5" t="n">
        <f aca="false">PostPro4FW!H85</f>
        <v>4843.97382655866</v>
      </c>
      <c r="C79" s="5" t="n">
        <f aca="false">PostPro4FW!M85</f>
        <v>800</v>
      </c>
      <c r="D79" s="5" t="n">
        <f aca="false">PostPro4FW!H85+PostPro4FW!I85</f>
        <v>4843.97382655866</v>
      </c>
      <c r="E79" s="5" t="n">
        <f aca="false">PostPro4FW!S85</f>
        <v>800</v>
      </c>
      <c r="F79" s="5" t="n">
        <f aca="false">PostPro4FW!Q85</f>
        <v>0</v>
      </c>
      <c r="G79" s="0" t="n">
        <f aca="false">PostPro4FW!R85</f>
        <v>0</v>
      </c>
    </row>
    <row r="80" customFormat="false" ht="14.35" hidden="false" customHeight="false" outlineLevel="0" collapsed="false">
      <c r="A80" s="4" t="n">
        <v>10348</v>
      </c>
      <c r="B80" s="5" t="n">
        <f aca="false">PostPro4FW!H86</f>
        <v>1000</v>
      </c>
      <c r="C80" s="5" t="n">
        <f aca="false">PostPro4FW!M86</f>
        <v>700</v>
      </c>
      <c r="D80" s="5" t="n">
        <f aca="false">PostPro4FW!H86+PostPro4FW!I86</f>
        <v>1420.13888888889</v>
      </c>
      <c r="E80" s="5" t="n">
        <f aca="false">PostPro4FW!S86</f>
        <v>700</v>
      </c>
      <c r="F80" s="5" t="n">
        <f aca="false">PostPro4FW!Q86</f>
        <v>0</v>
      </c>
      <c r="G80" s="0" t="n">
        <f aca="false">PostPro4FW!R86</f>
        <v>0</v>
      </c>
    </row>
    <row r="81" customFormat="false" ht="14.35" hidden="false" customHeight="false" outlineLevel="0" collapsed="false">
      <c r="A81" s="4" t="n">
        <v>10379</v>
      </c>
      <c r="B81" s="5" t="n">
        <f aca="false">PostPro4FW!H87</f>
        <v>1000</v>
      </c>
      <c r="C81" s="5" t="n">
        <f aca="false">PostPro4FW!M87</f>
        <v>700</v>
      </c>
      <c r="D81" s="5" t="n">
        <f aca="false">PostPro4FW!H87+PostPro4FW!I87</f>
        <v>1406.58602150538</v>
      </c>
      <c r="E81" s="5" t="n">
        <f aca="false">PostPro4FW!S87</f>
        <v>700</v>
      </c>
      <c r="F81" s="5" t="n">
        <f aca="false">PostPro4FW!Q87</f>
        <v>0</v>
      </c>
      <c r="G81" s="0" t="n">
        <f aca="false">PostPro4FW!R87</f>
        <v>0</v>
      </c>
    </row>
    <row r="82" customFormat="false" ht="14.35" hidden="false" customHeight="false" outlineLevel="0" collapsed="false">
      <c r="A82" s="4" t="n">
        <v>10409</v>
      </c>
      <c r="B82" s="5" t="n">
        <f aca="false">PostPro4FW!H88</f>
        <v>3463.25724535071</v>
      </c>
      <c r="C82" s="5" t="n">
        <f aca="false">PostPro4FW!M88</f>
        <v>700</v>
      </c>
      <c r="D82" s="5" t="n">
        <f aca="false">PostPro4FW!H88+PostPro4FW!I88</f>
        <v>3463.25724535071</v>
      </c>
      <c r="E82" s="5" t="n">
        <f aca="false">PostPro4FW!S88</f>
        <v>700</v>
      </c>
      <c r="F82" s="5" t="n">
        <f aca="false">PostPro4FW!Q88</f>
        <v>0</v>
      </c>
      <c r="G82" s="0" t="n">
        <f aca="false">PostPro4FW!R88</f>
        <v>0</v>
      </c>
    </row>
    <row r="83" customFormat="false" ht="14.35" hidden="false" customHeight="false" outlineLevel="0" collapsed="false">
      <c r="A83" s="4" t="n">
        <v>10440</v>
      </c>
      <c r="B83" s="5" t="n">
        <f aca="false">PostPro4FW!H89</f>
        <v>9483.1251105978</v>
      </c>
      <c r="C83" s="5" t="n">
        <f aca="false">PostPro4FW!M89</f>
        <v>700</v>
      </c>
      <c r="D83" s="5" t="n">
        <f aca="false">PostPro4FW!H89+PostPro4FW!I89</f>
        <v>9483.1251105978</v>
      </c>
      <c r="E83" s="5" t="n">
        <f aca="false">PostPro4FW!S89</f>
        <v>700</v>
      </c>
      <c r="F83" s="5" t="n">
        <f aca="false">PostPro4FW!Q89</f>
        <v>0</v>
      </c>
      <c r="G83" s="0" t="n">
        <f aca="false">PostPro4FW!R89</f>
        <v>0</v>
      </c>
    </row>
    <row r="84" customFormat="false" ht="14.35" hidden="false" customHeight="false" outlineLevel="0" collapsed="false">
      <c r="A84" s="4" t="n">
        <v>10471</v>
      </c>
      <c r="B84" s="5" t="n">
        <f aca="false">PostPro4FW!H90</f>
        <v>8221.99595556094</v>
      </c>
      <c r="C84" s="5" t="n">
        <f aca="false">PostPro4FW!M90</f>
        <v>700</v>
      </c>
      <c r="D84" s="5" t="n">
        <f aca="false">PostPro4FW!H90+PostPro4FW!I90</f>
        <v>8221.99595556094</v>
      </c>
      <c r="E84" s="5" t="n">
        <f aca="false">PostPro4FW!S90</f>
        <v>700</v>
      </c>
      <c r="F84" s="5" t="n">
        <f aca="false">PostPro4FW!Q90</f>
        <v>0</v>
      </c>
      <c r="G84" s="0" t="n">
        <f aca="false">PostPro4FW!R90</f>
        <v>0</v>
      </c>
    </row>
    <row r="85" customFormat="false" ht="14.35" hidden="false" customHeight="false" outlineLevel="0" collapsed="false">
      <c r="A85" s="4" t="n">
        <v>10501</v>
      </c>
      <c r="B85" s="5" t="n">
        <f aca="false">PostPro4FW!H91</f>
        <v>7560.5900326036</v>
      </c>
      <c r="C85" s="5" t="n">
        <f aca="false">PostPro4FW!M91</f>
        <v>773.3333333</v>
      </c>
      <c r="D85" s="5" t="n">
        <f aca="false">PostPro4FW!H91+PostPro4FW!I91</f>
        <v>7560.5900326036</v>
      </c>
      <c r="E85" s="5" t="n">
        <f aca="false">PostPro4FW!S91</f>
        <v>773.3333333</v>
      </c>
      <c r="F85" s="5" t="n">
        <f aca="false">PostPro4FW!Q91</f>
        <v>0</v>
      </c>
      <c r="G85" s="0" t="n">
        <f aca="false">PostPro4FW!R91</f>
        <v>0</v>
      </c>
    </row>
    <row r="86" customFormat="false" ht="14.35" hidden="false" customHeight="false" outlineLevel="0" collapsed="false">
      <c r="A86" s="4" t="n">
        <v>10532</v>
      </c>
      <c r="B86" s="5" t="n">
        <f aca="false">PostPro4FW!H92</f>
        <v>1700</v>
      </c>
      <c r="C86" s="5" t="n">
        <f aca="false">PostPro4FW!M92</f>
        <v>800</v>
      </c>
      <c r="D86" s="5" t="n">
        <f aca="false">PostPro4FW!H92+PostPro4FW!I92</f>
        <v>1700</v>
      </c>
      <c r="E86" s="5" t="n">
        <f aca="false">PostPro4FW!S92</f>
        <v>800</v>
      </c>
      <c r="F86" s="5" t="n">
        <f aca="false">PostPro4FW!Q92</f>
        <v>0</v>
      </c>
      <c r="G86" s="0" t="n">
        <f aca="false">PostPro4FW!R92</f>
        <v>0</v>
      </c>
    </row>
    <row r="87" customFormat="false" ht="14.35" hidden="false" customHeight="false" outlineLevel="0" collapsed="false">
      <c r="A87" s="4" t="n">
        <v>10562</v>
      </c>
      <c r="B87" s="5" t="n">
        <f aca="false">PostPro4FW!H93</f>
        <v>1823.55027872742</v>
      </c>
      <c r="C87" s="5" t="n">
        <f aca="false">PostPro4FW!M93</f>
        <v>800</v>
      </c>
      <c r="D87" s="5" t="n">
        <f aca="false">PostPro4FW!H93+PostPro4FW!I93</f>
        <v>1823.55027872742</v>
      </c>
      <c r="E87" s="5" t="n">
        <f aca="false">PostPro4FW!S93</f>
        <v>800</v>
      </c>
      <c r="F87" s="5" t="n">
        <f aca="false">PostPro4FW!Q93</f>
        <v>0</v>
      </c>
      <c r="G87" s="0" t="n">
        <f aca="false">PostPro4FW!R93</f>
        <v>0</v>
      </c>
    </row>
    <row r="88" customFormat="false" ht="14.35" hidden="false" customHeight="false" outlineLevel="0" collapsed="false">
      <c r="A88" s="4" t="n">
        <v>10593</v>
      </c>
      <c r="B88" s="5" t="n">
        <f aca="false">PostPro4FW!H94</f>
        <v>1699.99999999999</v>
      </c>
      <c r="C88" s="5" t="n">
        <f aca="false">PostPro4FW!M94</f>
        <v>800</v>
      </c>
      <c r="D88" s="5" t="n">
        <f aca="false">PostPro4FW!H94+PostPro4FW!I94</f>
        <v>1699.99999999999</v>
      </c>
      <c r="E88" s="5" t="n">
        <f aca="false">PostPro4FW!S94</f>
        <v>800</v>
      </c>
      <c r="F88" s="5" t="n">
        <f aca="false">PostPro4FW!Q94</f>
        <v>0</v>
      </c>
      <c r="G88" s="0" t="n">
        <f aca="false">PostPro4FW!R94</f>
        <v>0</v>
      </c>
    </row>
    <row r="89" customFormat="false" ht="14.35" hidden="false" customHeight="false" outlineLevel="0" collapsed="false">
      <c r="A89" s="4" t="n">
        <v>10624</v>
      </c>
      <c r="B89" s="5" t="n">
        <f aca="false">PostPro4FW!H95</f>
        <v>1700</v>
      </c>
      <c r="C89" s="5" t="n">
        <f aca="false">PostPro4FW!M95</f>
        <v>800</v>
      </c>
      <c r="D89" s="5" t="n">
        <f aca="false">PostPro4FW!H95+PostPro4FW!I95</f>
        <v>1700</v>
      </c>
      <c r="E89" s="5" t="n">
        <f aca="false">PostPro4FW!S95</f>
        <v>800</v>
      </c>
      <c r="F89" s="5" t="n">
        <f aca="false">PostPro4FW!Q95</f>
        <v>0</v>
      </c>
      <c r="G89" s="0" t="n">
        <f aca="false">PostPro4FW!R95</f>
        <v>0</v>
      </c>
    </row>
    <row r="90" customFormat="false" ht="14.35" hidden="false" customHeight="false" outlineLevel="0" collapsed="false">
      <c r="A90" s="4" t="n">
        <v>10652</v>
      </c>
      <c r="B90" s="5" t="n">
        <f aca="false">PostPro4FW!H96</f>
        <v>1700</v>
      </c>
      <c r="C90" s="5" t="n">
        <f aca="false">PostPro4FW!M96</f>
        <v>800</v>
      </c>
      <c r="D90" s="5" t="n">
        <f aca="false">PostPro4FW!H96+PostPro4FW!I96</f>
        <v>1700</v>
      </c>
      <c r="E90" s="5" t="n">
        <f aca="false">PostPro4FW!S96</f>
        <v>800</v>
      </c>
      <c r="F90" s="5" t="n">
        <f aca="false">PostPro4FW!Q96</f>
        <v>0</v>
      </c>
      <c r="G90" s="0" t="n">
        <f aca="false">PostPro4FW!R96</f>
        <v>0</v>
      </c>
    </row>
    <row r="91" customFormat="false" ht="14.35" hidden="false" customHeight="false" outlineLevel="0" collapsed="false">
      <c r="A91" s="4" t="n">
        <v>10683</v>
      </c>
      <c r="B91" s="5" t="n">
        <f aca="false">PostPro4FW!H97</f>
        <v>1700</v>
      </c>
      <c r="C91" s="5" t="n">
        <f aca="false">PostPro4FW!M97</f>
        <v>800</v>
      </c>
      <c r="D91" s="5" t="n">
        <f aca="false">PostPro4FW!H97+PostPro4FW!I97</f>
        <v>1700</v>
      </c>
      <c r="E91" s="5" t="n">
        <f aca="false">PostPro4FW!S97</f>
        <v>800</v>
      </c>
      <c r="F91" s="5" t="n">
        <f aca="false">PostPro4FW!Q97</f>
        <v>0</v>
      </c>
      <c r="G91" s="0" t="n">
        <f aca="false">PostPro4FW!R97</f>
        <v>0</v>
      </c>
    </row>
    <row r="92" customFormat="false" ht="14.35" hidden="false" customHeight="false" outlineLevel="0" collapsed="false">
      <c r="A92" s="4" t="n">
        <v>10713</v>
      </c>
      <c r="B92" s="5" t="n">
        <f aca="false">PostPro4FW!H98</f>
        <v>1938.57576970086</v>
      </c>
      <c r="C92" s="5" t="n">
        <f aca="false">PostPro4FW!M98</f>
        <v>700</v>
      </c>
      <c r="D92" s="5" t="n">
        <f aca="false">PostPro4FW!H98+PostPro4FW!I98</f>
        <v>1938.57576970086</v>
      </c>
      <c r="E92" s="5" t="n">
        <f aca="false">PostPro4FW!S98</f>
        <v>700</v>
      </c>
      <c r="F92" s="5" t="n">
        <f aca="false">PostPro4FW!Q98</f>
        <v>0</v>
      </c>
      <c r="G92" s="0" t="n">
        <f aca="false">PostPro4FW!R98</f>
        <v>0</v>
      </c>
    </row>
    <row r="93" customFormat="false" ht="14.35" hidden="false" customHeight="false" outlineLevel="0" collapsed="false">
      <c r="A93" s="4" t="n">
        <v>10744</v>
      </c>
      <c r="B93" s="5" t="n">
        <f aca="false">PostPro4FW!H99</f>
        <v>2590.09159339847</v>
      </c>
      <c r="C93" s="5" t="n">
        <f aca="false">PostPro4FW!M99</f>
        <v>700</v>
      </c>
      <c r="D93" s="5" t="n">
        <f aca="false">PostPro4FW!H99+PostPro4FW!I99</f>
        <v>2590.09159339847</v>
      </c>
      <c r="E93" s="5" t="n">
        <f aca="false">PostPro4FW!S99</f>
        <v>700</v>
      </c>
      <c r="F93" s="5" t="n">
        <f aca="false">PostPro4FW!Q99</f>
        <v>0</v>
      </c>
      <c r="G93" s="0" t="n">
        <f aca="false">PostPro4FW!R99</f>
        <v>0</v>
      </c>
    </row>
    <row r="94" customFormat="false" ht="14.35" hidden="false" customHeight="false" outlineLevel="0" collapsed="false">
      <c r="A94" s="4" t="n">
        <v>10774</v>
      </c>
      <c r="B94" s="5" t="n">
        <f aca="false">PostPro4FW!H100</f>
        <v>3230.51438733272</v>
      </c>
      <c r="C94" s="5" t="n">
        <f aca="false">PostPro4FW!M100</f>
        <v>700</v>
      </c>
      <c r="D94" s="5" t="n">
        <f aca="false">PostPro4FW!H100+PostPro4FW!I100</f>
        <v>3230.51438733272</v>
      </c>
      <c r="E94" s="5" t="n">
        <f aca="false">PostPro4FW!S100</f>
        <v>700</v>
      </c>
      <c r="F94" s="5" t="n">
        <f aca="false">PostPro4FW!Q100</f>
        <v>0</v>
      </c>
      <c r="G94" s="0" t="n">
        <f aca="false">PostPro4FW!R100</f>
        <v>0</v>
      </c>
    </row>
    <row r="95" customFormat="false" ht="14.35" hidden="false" customHeight="false" outlineLevel="0" collapsed="false">
      <c r="A95" s="4" t="n">
        <v>10805</v>
      </c>
      <c r="B95" s="5" t="n">
        <f aca="false">PostPro4FW!H101</f>
        <v>2996.89444213349</v>
      </c>
      <c r="C95" s="5" t="n">
        <f aca="false">PostPro4FW!M101</f>
        <v>700</v>
      </c>
      <c r="D95" s="5" t="n">
        <f aca="false">PostPro4FW!H101+PostPro4FW!I101</f>
        <v>2996.89444213349</v>
      </c>
      <c r="E95" s="5" t="n">
        <f aca="false">PostPro4FW!S101</f>
        <v>700</v>
      </c>
      <c r="F95" s="5" t="n">
        <f aca="false">PostPro4FW!Q101</f>
        <v>0</v>
      </c>
      <c r="G95" s="0" t="n">
        <f aca="false">PostPro4FW!R101</f>
        <v>0</v>
      </c>
    </row>
    <row r="96" customFormat="false" ht="14.35" hidden="false" customHeight="false" outlineLevel="0" collapsed="false">
      <c r="A96" s="4" t="n">
        <v>10836</v>
      </c>
      <c r="B96" s="5" t="n">
        <f aca="false">PostPro4FW!H102</f>
        <v>2039.80681329411</v>
      </c>
      <c r="C96" s="5" t="n">
        <f aca="false">PostPro4FW!M102</f>
        <v>700</v>
      </c>
      <c r="D96" s="5" t="n">
        <f aca="false">PostPro4FW!H102+PostPro4FW!I102</f>
        <v>2039.80681329411</v>
      </c>
      <c r="E96" s="5" t="n">
        <f aca="false">PostPro4FW!S102</f>
        <v>700</v>
      </c>
      <c r="F96" s="5" t="n">
        <f aca="false">PostPro4FW!Q102</f>
        <v>0</v>
      </c>
      <c r="G96" s="0" t="n">
        <f aca="false">PostPro4FW!R102</f>
        <v>0</v>
      </c>
    </row>
    <row r="97" customFormat="false" ht="14.35" hidden="false" customHeight="false" outlineLevel="0" collapsed="false">
      <c r="A97" s="4" t="n">
        <v>10866</v>
      </c>
      <c r="B97" s="5" t="n">
        <f aca="false">PostPro4FW!H103</f>
        <v>773.333333299997</v>
      </c>
      <c r="C97" s="5" t="n">
        <f aca="false">PostPro4FW!M103</f>
        <v>773.3333333</v>
      </c>
      <c r="D97" s="5" t="n">
        <f aca="false">PostPro4FW!H103+PostPro4FW!I103</f>
        <v>773.333333299997</v>
      </c>
      <c r="E97" s="5" t="n">
        <f aca="false">PostPro4FW!S103</f>
        <v>773.3333333</v>
      </c>
      <c r="F97" s="5" t="n">
        <f aca="false">PostPro4FW!Q103</f>
        <v>0</v>
      </c>
      <c r="G97" s="0" t="n">
        <f aca="false">PostPro4FW!R103</f>
        <v>0</v>
      </c>
    </row>
    <row r="98" customFormat="false" ht="14.35" hidden="false" customHeight="false" outlineLevel="0" collapsed="false">
      <c r="A98" s="4" t="n">
        <v>10897</v>
      </c>
      <c r="B98" s="5" t="n">
        <f aca="false">PostPro4FW!H104</f>
        <v>899.999999999994</v>
      </c>
      <c r="C98" s="5" t="n">
        <f aca="false">PostPro4FW!M104</f>
        <v>800</v>
      </c>
      <c r="D98" s="5" t="n">
        <f aca="false">PostPro4FW!H104+PostPro4FW!I104</f>
        <v>899.999999999994</v>
      </c>
      <c r="E98" s="5" t="n">
        <f aca="false">PostPro4FW!S104</f>
        <v>800</v>
      </c>
      <c r="F98" s="5" t="n">
        <f aca="false">PostPro4FW!Q104</f>
        <v>0</v>
      </c>
      <c r="G98" s="0" t="n">
        <f aca="false">PostPro4FW!R104</f>
        <v>0</v>
      </c>
    </row>
    <row r="99" customFormat="false" ht="14.35" hidden="false" customHeight="false" outlineLevel="0" collapsed="false">
      <c r="A99" s="4" t="n">
        <v>10927</v>
      </c>
      <c r="B99" s="5" t="n">
        <f aca="false">PostPro4FW!H105</f>
        <v>925.628810573894</v>
      </c>
      <c r="C99" s="5" t="n">
        <f aca="false">PostPro4FW!M105</f>
        <v>800</v>
      </c>
      <c r="D99" s="5" t="n">
        <f aca="false">PostPro4FW!H105+PostPro4FW!I105</f>
        <v>925.628810573894</v>
      </c>
      <c r="E99" s="5" t="n">
        <f aca="false">PostPro4FW!S105</f>
        <v>800</v>
      </c>
      <c r="F99" s="5" t="n">
        <f aca="false">PostPro4FW!Q105</f>
        <v>0</v>
      </c>
      <c r="G99" s="0" t="n">
        <f aca="false">PostPro4FW!R105</f>
        <v>0</v>
      </c>
    </row>
    <row r="100" customFormat="false" ht="14.35" hidden="false" customHeight="false" outlineLevel="0" collapsed="false">
      <c r="A100" s="4" t="n">
        <v>10958</v>
      </c>
      <c r="B100" s="5" t="n">
        <f aca="false">PostPro4FW!H106</f>
        <v>3626.82696331766</v>
      </c>
      <c r="C100" s="5" t="n">
        <f aca="false">PostPro4FW!M106</f>
        <v>800</v>
      </c>
      <c r="D100" s="5" t="n">
        <f aca="false">PostPro4FW!H106+PostPro4FW!I106</f>
        <v>3626.82696331766</v>
      </c>
      <c r="E100" s="5" t="n">
        <f aca="false">PostPro4FW!S106</f>
        <v>800</v>
      </c>
      <c r="F100" s="5" t="n">
        <f aca="false">PostPro4FW!Q106</f>
        <v>0</v>
      </c>
      <c r="G100" s="0" t="n">
        <f aca="false">PostPro4FW!R106</f>
        <v>0</v>
      </c>
    </row>
    <row r="101" customFormat="false" ht="14.35" hidden="false" customHeight="false" outlineLevel="0" collapsed="false">
      <c r="A101" s="4" t="n">
        <v>10989</v>
      </c>
      <c r="B101" s="5" t="n">
        <f aca="false">PostPro4FW!H107</f>
        <v>900</v>
      </c>
      <c r="C101" s="5" t="n">
        <f aca="false">PostPro4FW!M107</f>
        <v>800</v>
      </c>
      <c r="D101" s="5" t="n">
        <f aca="false">PostPro4FW!H107+PostPro4FW!I107</f>
        <v>900</v>
      </c>
      <c r="E101" s="5" t="n">
        <f aca="false">PostPro4FW!S107</f>
        <v>800</v>
      </c>
      <c r="F101" s="5" t="n">
        <f aca="false">PostPro4FW!Q107</f>
        <v>0</v>
      </c>
      <c r="G101" s="0" t="n">
        <f aca="false">PostPro4FW!R107</f>
        <v>0</v>
      </c>
    </row>
    <row r="102" customFormat="false" ht="14.35" hidden="false" customHeight="false" outlineLevel="0" collapsed="false">
      <c r="A102" s="4" t="n">
        <v>11017</v>
      </c>
      <c r="B102" s="5" t="n">
        <f aca="false">PostPro4FW!H108</f>
        <v>3427.13181290596</v>
      </c>
      <c r="C102" s="5" t="n">
        <f aca="false">PostPro4FW!M108</f>
        <v>800</v>
      </c>
      <c r="D102" s="5" t="n">
        <f aca="false">PostPro4FW!H108+PostPro4FW!I108</f>
        <v>3427.13181290596</v>
      </c>
      <c r="E102" s="5" t="n">
        <f aca="false">PostPro4FW!S108</f>
        <v>1571.42857142857</v>
      </c>
      <c r="F102" s="5" t="n">
        <f aca="false">PostPro4FW!Q108</f>
        <v>2000</v>
      </c>
      <c r="G102" s="0" t="n">
        <f aca="false">PostPro4FW!R108</f>
        <v>18</v>
      </c>
    </row>
    <row r="103" customFormat="false" ht="14.35" hidden="false" customHeight="false" outlineLevel="0" collapsed="false">
      <c r="A103" s="4" t="n">
        <v>11048</v>
      </c>
      <c r="B103" s="5" t="n">
        <f aca="false">PostPro4FW!H109</f>
        <v>800</v>
      </c>
      <c r="C103" s="5" t="n">
        <f aca="false">PostPro4FW!M109</f>
        <v>800</v>
      </c>
      <c r="D103" s="5" t="n">
        <f aca="false">PostPro4FW!H109+PostPro4FW!I109</f>
        <v>800</v>
      </c>
      <c r="E103" s="5" t="n">
        <f aca="false">PostPro4FW!S109</f>
        <v>800</v>
      </c>
      <c r="F103" s="5" t="n">
        <f aca="false">PostPro4FW!Q109</f>
        <v>0</v>
      </c>
      <c r="G103" s="0" t="n">
        <f aca="false">PostPro4FW!R109</f>
        <v>0</v>
      </c>
    </row>
    <row r="104" customFormat="false" ht="14.35" hidden="false" customHeight="false" outlineLevel="0" collapsed="false">
      <c r="A104" s="4" t="n">
        <v>11078</v>
      </c>
      <c r="B104" s="5" t="n">
        <f aca="false">PostPro4FW!H110</f>
        <v>750</v>
      </c>
      <c r="C104" s="5" t="n">
        <f aca="false">PostPro4FW!M110</f>
        <v>700</v>
      </c>
      <c r="D104" s="5" t="n">
        <f aca="false">PostPro4FW!H110+PostPro4FW!I110</f>
        <v>1170.13888888889</v>
      </c>
      <c r="E104" s="5" t="n">
        <f aca="false">PostPro4FW!S110</f>
        <v>700</v>
      </c>
      <c r="F104" s="5" t="n">
        <f aca="false">PostPro4FW!Q110</f>
        <v>0</v>
      </c>
      <c r="G104" s="0" t="n">
        <f aca="false">PostPro4FW!R110</f>
        <v>0</v>
      </c>
    </row>
    <row r="105" customFormat="false" ht="14.35" hidden="false" customHeight="false" outlineLevel="0" collapsed="false">
      <c r="A105" s="4" t="n">
        <v>11109</v>
      </c>
      <c r="B105" s="5" t="n">
        <f aca="false">PostPro4FW!H111</f>
        <v>750</v>
      </c>
      <c r="C105" s="5" t="n">
        <f aca="false">PostPro4FW!M111</f>
        <v>700</v>
      </c>
      <c r="D105" s="5" t="n">
        <f aca="false">PostPro4FW!H111+PostPro4FW!I111</f>
        <v>1156.58602150538</v>
      </c>
      <c r="E105" s="5" t="n">
        <f aca="false">PostPro4FW!S111</f>
        <v>700</v>
      </c>
      <c r="F105" s="5" t="n">
        <f aca="false">PostPro4FW!Q111</f>
        <v>0</v>
      </c>
      <c r="G105" s="0" t="n">
        <f aca="false">PostPro4FW!R111</f>
        <v>0</v>
      </c>
    </row>
    <row r="106" customFormat="false" ht="14.35" hidden="false" customHeight="false" outlineLevel="0" collapsed="false">
      <c r="A106" s="4" t="n">
        <v>11139</v>
      </c>
      <c r="B106" s="5" t="n">
        <f aca="false">PostPro4FW!H112</f>
        <v>6064.69373443149</v>
      </c>
      <c r="C106" s="5" t="n">
        <f aca="false">PostPro4FW!M112</f>
        <v>700</v>
      </c>
      <c r="D106" s="5" t="n">
        <f aca="false">PostPro4FW!H112+PostPro4FW!I112</f>
        <v>6064.69373443149</v>
      </c>
      <c r="E106" s="5" t="n">
        <f aca="false">PostPro4FW!S112</f>
        <v>700</v>
      </c>
      <c r="F106" s="5" t="n">
        <f aca="false">PostPro4FW!Q112</f>
        <v>0</v>
      </c>
      <c r="G106" s="0" t="n">
        <f aca="false">PostPro4FW!R112</f>
        <v>0</v>
      </c>
    </row>
    <row r="107" customFormat="false" ht="14.35" hidden="false" customHeight="false" outlineLevel="0" collapsed="false">
      <c r="A107" s="4" t="n">
        <v>11170</v>
      </c>
      <c r="B107" s="5" t="n">
        <f aca="false">PostPro4FW!H113</f>
        <v>9578.75967402054</v>
      </c>
      <c r="C107" s="5" t="n">
        <f aca="false">PostPro4FW!M113</f>
        <v>700</v>
      </c>
      <c r="D107" s="5" t="n">
        <f aca="false">PostPro4FW!H113+PostPro4FW!I113</f>
        <v>9578.75967402054</v>
      </c>
      <c r="E107" s="5" t="n">
        <f aca="false">PostPro4FW!S113</f>
        <v>700</v>
      </c>
      <c r="F107" s="5" t="n">
        <f aca="false">PostPro4FW!Q113</f>
        <v>0</v>
      </c>
      <c r="G107" s="0" t="n">
        <f aca="false">PostPro4FW!R113</f>
        <v>0</v>
      </c>
    </row>
    <row r="108" customFormat="false" ht="14.35" hidden="false" customHeight="false" outlineLevel="0" collapsed="false">
      <c r="A108" s="4" t="n">
        <v>11201</v>
      </c>
      <c r="B108" s="5" t="n">
        <f aca="false">PostPro4FW!H114</f>
        <v>2130.245460727</v>
      </c>
      <c r="C108" s="5" t="n">
        <f aca="false">PostPro4FW!M114</f>
        <v>700</v>
      </c>
      <c r="D108" s="5" t="n">
        <f aca="false">PostPro4FW!H114+PostPro4FW!I114</f>
        <v>2130.245460727</v>
      </c>
      <c r="E108" s="5" t="n">
        <f aca="false">PostPro4FW!S114</f>
        <v>700</v>
      </c>
      <c r="F108" s="5" t="n">
        <f aca="false">PostPro4FW!Q114</f>
        <v>0</v>
      </c>
      <c r="G108" s="0" t="n">
        <f aca="false">PostPro4FW!R114</f>
        <v>0</v>
      </c>
    </row>
    <row r="109" customFormat="false" ht="14.35" hidden="false" customHeight="false" outlineLevel="0" collapsed="false">
      <c r="A109" s="4" t="n">
        <v>11231</v>
      </c>
      <c r="B109" s="5" t="n">
        <f aca="false">PostPro4FW!H115</f>
        <v>773.333333300057</v>
      </c>
      <c r="C109" s="5" t="n">
        <f aca="false">PostPro4FW!M115</f>
        <v>773.3333333</v>
      </c>
      <c r="D109" s="5" t="n">
        <f aca="false">PostPro4FW!H115+PostPro4FW!I115</f>
        <v>773.333333300057</v>
      </c>
      <c r="E109" s="5" t="n">
        <f aca="false">PostPro4FW!S115</f>
        <v>773.3333333</v>
      </c>
      <c r="F109" s="5" t="n">
        <f aca="false">PostPro4FW!Q115</f>
        <v>0</v>
      </c>
      <c r="G109" s="0" t="n">
        <f aca="false">PostPro4FW!R115</f>
        <v>0</v>
      </c>
    </row>
    <row r="110" customFormat="false" ht="14.35" hidden="false" customHeight="false" outlineLevel="0" collapsed="false">
      <c r="A110" s="4" t="n">
        <v>11262</v>
      </c>
      <c r="B110" s="5" t="n">
        <f aca="false">PostPro4FW!H116</f>
        <v>900</v>
      </c>
      <c r="C110" s="5" t="n">
        <f aca="false">PostPro4FW!M116</f>
        <v>800</v>
      </c>
      <c r="D110" s="5" t="n">
        <f aca="false">PostPro4FW!H116+PostPro4FW!I116</f>
        <v>900</v>
      </c>
      <c r="E110" s="5" t="n">
        <f aca="false">PostPro4FW!S116</f>
        <v>800</v>
      </c>
      <c r="F110" s="5" t="n">
        <f aca="false">PostPro4FW!Q116</f>
        <v>0</v>
      </c>
      <c r="G110" s="0" t="n">
        <f aca="false">PostPro4FW!R116</f>
        <v>0</v>
      </c>
    </row>
    <row r="111" customFormat="false" ht="14.35" hidden="false" customHeight="false" outlineLevel="0" collapsed="false">
      <c r="A111" s="4" t="n">
        <v>11292</v>
      </c>
      <c r="B111" s="5" t="n">
        <f aca="false">PostPro4FW!H117</f>
        <v>900</v>
      </c>
      <c r="C111" s="5" t="n">
        <f aca="false">PostPro4FW!M117</f>
        <v>800</v>
      </c>
      <c r="D111" s="5" t="n">
        <f aca="false">PostPro4FW!H117+PostPro4FW!I117</f>
        <v>900</v>
      </c>
      <c r="E111" s="5" t="n">
        <f aca="false">PostPro4FW!S117</f>
        <v>800</v>
      </c>
      <c r="F111" s="5" t="n">
        <f aca="false">PostPro4FW!Q117</f>
        <v>0</v>
      </c>
      <c r="G111" s="0" t="n">
        <f aca="false">PostPro4FW!R117</f>
        <v>0</v>
      </c>
    </row>
    <row r="112" customFormat="false" ht="14.35" hidden="false" customHeight="false" outlineLevel="0" collapsed="false">
      <c r="A112" s="4" t="n">
        <v>11323</v>
      </c>
      <c r="B112" s="5" t="n">
        <f aca="false">PostPro4FW!H118</f>
        <v>900</v>
      </c>
      <c r="C112" s="5" t="n">
        <f aca="false">PostPro4FW!M118</f>
        <v>800</v>
      </c>
      <c r="D112" s="5" t="n">
        <f aca="false">PostPro4FW!H118+PostPro4FW!I118</f>
        <v>900</v>
      </c>
      <c r="E112" s="5" t="n">
        <f aca="false">PostPro4FW!S118</f>
        <v>800</v>
      </c>
      <c r="F112" s="5" t="n">
        <f aca="false">PostPro4FW!Q118</f>
        <v>0</v>
      </c>
      <c r="G112" s="0" t="n">
        <f aca="false">PostPro4FW!R118</f>
        <v>0</v>
      </c>
    </row>
    <row r="113" customFormat="false" ht="14.35" hidden="false" customHeight="false" outlineLevel="0" collapsed="false">
      <c r="A113" s="4" t="n">
        <v>11354</v>
      </c>
      <c r="B113" s="5" t="n">
        <f aca="false">PostPro4FW!H119</f>
        <v>900</v>
      </c>
      <c r="C113" s="5" t="n">
        <f aca="false">PostPro4FW!M119</f>
        <v>800</v>
      </c>
      <c r="D113" s="5" t="n">
        <f aca="false">PostPro4FW!H119+PostPro4FW!I119</f>
        <v>900</v>
      </c>
      <c r="E113" s="5" t="n">
        <f aca="false">PostPro4FW!S119</f>
        <v>800</v>
      </c>
      <c r="F113" s="5" t="n">
        <f aca="false">PostPro4FW!Q119</f>
        <v>0</v>
      </c>
      <c r="G113" s="0" t="n">
        <f aca="false">PostPro4FW!R119</f>
        <v>0</v>
      </c>
    </row>
    <row r="114" customFormat="false" ht="14.35" hidden="false" customHeight="false" outlineLevel="0" collapsed="false">
      <c r="A114" s="4" t="n">
        <v>11382</v>
      </c>
      <c r="B114" s="5" t="n">
        <f aca="false">PostPro4FW!H120</f>
        <v>900</v>
      </c>
      <c r="C114" s="5" t="n">
        <f aca="false">PostPro4FW!M120</f>
        <v>800</v>
      </c>
      <c r="D114" s="5" t="n">
        <f aca="false">PostPro4FW!H120+PostPro4FW!I120</f>
        <v>900</v>
      </c>
      <c r="E114" s="5" t="n">
        <f aca="false">PostPro4FW!S120</f>
        <v>800</v>
      </c>
      <c r="F114" s="5" t="n">
        <f aca="false">PostPro4FW!Q120</f>
        <v>0</v>
      </c>
      <c r="G114" s="0" t="n">
        <f aca="false">PostPro4FW!R120</f>
        <v>0</v>
      </c>
    </row>
    <row r="115" customFormat="false" ht="14.35" hidden="false" customHeight="false" outlineLevel="0" collapsed="false">
      <c r="A115" s="4" t="n">
        <v>11413</v>
      </c>
      <c r="B115" s="5" t="n">
        <f aca="false">PostPro4FW!H121</f>
        <v>800</v>
      </c>
      <c r="C115" s="5" t="n">
        <f aca="false">PostPro4FW!M121</f>
        <v>800</v>
      </c>
      <c r="D115" s="5" t="n">
        <f aca="false">PostPro4FW!H121+PostPro4FW!I121</f>
        <v>800</v>
      </c>
      <c r="E115" s="5" t="n">
        <f aca="false">PostPro4FW!S121</f>
        <v>800</v>
      </c>
      <c r="F115" s="5" t="n">
        <f aca="false">PostPro4FW!Q121</f>
        <v>0</v>
      </c>
      <c r="G115" s="0" t="n">
        <f aca="false">PostPro4FW!R121</f>
        <v>0</v>
      </c>
    </row>
    <row r="116" customFormat="false" ht="14.35" hidden="false" customHeight="false" outlineLevel="0" collapsed="false">
      <c r="A116" s="4" t="n">
        <v>11443</v>
      </c>
      <c r="B116" s="5" t="n">
        <f aca="false">PostPro4FW!H122</f>
        <v>2336.44791969309</v>
      </c>
      <c r="C116" s="5" t="n">
        <f aca="false">PostPro4FW!M122</f>
        <v>700</v>
      </c>
      <c r="D116" s="5" t="n">
        <f aca="false">PostPro4FW!H122+PostPro4FW!I122</f>
        <v>2336.44791969309</v>
      </c>
      <c r="E116" s="5" t="n">
        <f aca="false">PostPro4FW!S122</f>
        <v>700</v>
      </c>
      <c r="F116" s="5" t="n">
        <f aca="false">PostPro4FW!Q122</f>
        <v>0</v>
      </c>
      <c r="G116" s="0" t="n">
        <f aca="false">PostPro4FW!R122</f>
        <v>0</v>
      </c>
    </row>
    <row r="117" customFormat="false" ht="14.35" hidden="false" customHeight="false" outlineLevel="0" collapsed="false">
      <c r="A117" s="4" t="n">
        <v>11474</v>
      </c>
      <c r="B117" s="5" t="n">
        <f aca="false">PostPro4FW!H123</f>
        <v>1920.51001305255</v>
      </c>
      <c r="C117" s="5" t="n">
        <f aca="false">PostPro4FW!M123</f>
        <v>700</v>
      </c>
      <c r="D117" s="5" t="n">
        <f aca="false">PostPro4FW!H123+PostPro4FW!I123</f>
        <v>1920.51001305255</v>
      </c>
      <c r="E117" s="5" t="n">
        <f aca="false">PostPro4FW!S123</f>
        <v>700</v>
      </c>
      <c r="F117" s="5" t="n">
        <f aca="false">PostPro4FW!Q123</f>
        <v>0</v>
      </c>
      <c r="G117" s="0" t="n">
        <f aca="false">PostPro4FW!R123</f>
        <v>0</v>
      </c>
    </row>
    <row r="118" customFormat="false" ht="14.35" hidden="false" customHeight="false" outlineLevel="0" collapsed="false">
      <c r="A118" s="4" t="n">
        <v>11504</v>
      </c>
      <c r="B118" s="5" t="n">
        <f aca="false">PostPro4FW!H124</f>
        <v>3610.24587777126</v>
      </c>
      <c r="C118" s="5" t="n">
        <f aca="false">PostPro4FW!M124</f>
        <v>700</v>
      </c>
      <c r="D118" s="5" t="n">
        <f aca="false">PostPro4FW!H124+PostPro4FW!I124</f>
        <v>3610.24587777126</v>
      </c>
      <c r="E118" s="5" t="n">
        <f aca="false">PostPro4FW!S124</f>
        <v>700</v>
      </c>
      <c r="F118" s="5" t="n">
        <f aca="false">PostPro4FW!Q124</f>
        <v>0</v>
      </c>
      <c r="G118" s="0" t="n">
        <f aca="false">PostPro4FW!R124</f>
        <v>0</v>
      </c>
    </row>
    <row r="119" customFormat="false" ht="14.35" hidden="false" customHeight="false" outlineLevel="0" collapsed="false">
      <c r="A119" s="4" t="n">
        <v>11535</v>
      </c>
      <c r="B119" s="5" t="n">
        <f aca="false">PostPro4FW!H125</f>
        <v>4332.08982819401</v>
      </c>
      <c r="C119" s="5" t="n">
        <f aca="false">PostPro4FW!M125</f>
        <v>700</v>
      </c>
      <c r="D119" s="5" t="n">
        <f aca="false">PostPro4FW!H125+PostPro4FW!I125</f>
        <v>4332.08982819401</v>
      </c>
      <c r="E119" s="5" t="n">
        <f aca="false">PostPro4FW!S125</f>
        <v>700</v>
      </c>
      <c r="F119" s="5" t="n">
        <f aca="false">PostPro4FW!Q125</f>
        <v>0</v>
      </c>
      <c r="G119" s="0" t="n">
        <f aca="false">PostPro4FW!R125</f>
        <v>0</v>
      </c>
    </row>
    <row r="120" customFormat="false" ht="14.35" hidden="false" customHeight="false" outlineLevel="0" collapsed="false">
      <c r="A120" s="4" t="n">
        <v>11566</v>
      </c>
      <c r="B120" s="5" t="n">
        <f aca="false">PostPro4FW!H126</f>
        <v>3360.13861157408</v>
      </c>
      <c r="C120" s="5" t="n">
        <f aca="false">PostPro4FW!M126</f>
        <v>700</v>
      </c>
      <c r="D120" s="5" t="n">
        <f aca="false">PostPro4FW!H126+PostPro4FW!I126</f>
        <v>3360.13861157408</v>
      </c>
      <c r="E120" s="5" t="n">
        <f aca="false">PostPro4FW!S126</f>
        <v>700</v>
      </c>
      <c r="F120" s="5" t="n">
        <f aca="false">PostPro4FW!Q126</f>
        <v>0</v>
      </c>
      <c r="G120" s="0" t="n">
        <f aca="false">PostPro4FW!R126</f>
        <v>0</v>
      </c>
    </row>
    <row r="121" customFormat="false" ht="14.35" hidden="false" customHeight="false" outlineLevel="0" collapsed="false">
      <c r="A121" s="4" t="n">
        <v>11596</v>
      </c>
      <c r="B121" s="5" t="n">
        <f aca="false">PostPro4FW!H127</f>
        <v>1232.60560121714</v>
      </c>
      <c r="C121" s="5" t="n">
        <f aca="false">PostPro4FW!M127</f>
        <v>773.3333333</v>
      </c>
      <c r="D121" s="5" t="n">
        <f aca="false">PostPro4FW!H127+PostPro4FW!I127</f>
        <v>1232.60560121714</v>
      </c>
      <c r="E121" s="5" t="n">
        <f aca="false">PostPro4FW!S127</f>
        <v>773.3333333</v>
      </c>
      <c r="F121" s="5" t="n">
        <f aca="false">PostPro4FW!Q127</f>
        <v>0</v>
      </c>
      <c r="G121" s="0" t="n">
        <f aca="false">PostPro4FW!R127</f>
        <v>0</v>
      </c>
    </row>
    <row r="122" customFormat="false" ht="14.35" hidden="false" customHeight="false" outlineLevel="0" collapsed="false">
      <c r="A122" s="4" t="n">
        <v>11627</v>
      </c>
      <c r="B122" s="5" t="n">
        <f aca="false">PostPro4FW!H128</f>
        <v>900.000000000001</v>
      </c>
      <c r="C122" s="5" t="n">
        <f aca="false">PostPro4FW!M128</f>
        <v>800</v>
      </c>
      <c r="D122" s="5" t="n">
        <f aca="false">PostPro4FW!H128+PostPro4FW!I128</f>
        <v>900.000000000001</v>
      </c>
      <c r="E122" s="5" t="n">
        <f aca="false">PostPro4FW!S128</f>
        <v>800</v>
      </c>
      <c r="F122" s="5" t="n">
        <f aca="false">PostPro4FW!Q128</f>
        <v>0</v>
      </c>
      <c r="G122" s="0" t="n">
        <f aca="false">PostPro4FW!R128</f>
        <v>0</v>
      </c>
    </row>
    <row r="123" customFormat="false" ht="14.35" hidden="false" customHeight="false" outlineLevel="0" collapsed="false">
      <c r="A123" s="4" t="n">
        <v>11657</v>
      </c>
      <c r="B123" s="5" t="n">
        <f aca="false">PostPro4FW!H129</f>
        <v>996.462746090844</v>
      </c>
      <c r="C123" s="5" t="n">
        <f aca="false">PostPro4FW!M129</f>
        <v>800</v>
      </c>
      <c r="D123" s="5" t="n">
        <f aca="false">PostPro4FW!H129+PostPro4FW!I129</f>
        <v>996.462746090844</v>
      </c>
      <c r="E123" s="5" t="n">
        <f aca="false">PostPro4FW!S129</f>
        <v>800</v>
      </c>
      <c r="F123" s="5" t="n">
        <f aca="false">PostPro4FW!Q129</f>
        <v>0</v>
      </c>
      <c r="G123" s="0" t="n">
        <f aca="false">PostPro4FW!R129</f>
        <v>0</v>
      </c>
    </row>
    <row r="124" customFormat="false" ht="14.35" hidden="false" customHeight="false" outlineLevel="0" collapsed="false">
      <c r="A124" s="4" t="n">
        <v>11688</v>
      </c>
      <c r="B124" s="5" t="n">
        <f aca="false">PostPro4FW!H130</f>
        <v>4303.51201056665</v>
      </c>
      <c r="C124" s="5" t="n">
        <f aca="false">PostPro4FW!M130</f>
        <v>800</v>
      </c>
      <c r="D124" s="5" t="n">
        <f aca="false">PostPro4FW!H130+PostPro4FW!I130</f>
        <v>4303.51201056665</v>
      </c>
      <c r="E124" s="5" t="n">
        <f aca="false">PostPro4FW!S130</f>
        <v>800</v>
      </c>
      <c r="F124" s="5" t="n">
        <f aca="false">PostPro4FW!Q130</f>
        <v>0</v>
      </c>
      <c r="G124" s="0" t="n">
        <f aca="false">PostPro4FW!R130</f>
        <v>0</v>
      </c>
    </row>
    <row r="125" customFormat="false" ht="14.35" hidden="false" customHeight="false" outlineLevel="0" collapsed="false">
      <c r="A125" s="4" t="n">
        <v>11719</v>
      </c>
      <c r="B125" s="5" t="n">
        <f aca="false">PostPro4FW!H131</f>
        <v>900</v>
      </c>
      <c r="C125" s="5" t="n">
        <f aca="false">PostPro4FW!M131</f>
        <v>800</v>
      </c>
      <c r="D125" s="5" t="n">
        <f aca="false">PostPro4FW!H131+PostPro4FW!I131</f>
        <v>900</v>
      </c>
      <c r="E125" s="5" t="n">
        <f aca="false">PostPro4FW!S131</f>
        <v>800</v>
      </c>
      <c r="F125" s="5" t="n">
        <f aca="false">PostPro4FW!Q131</f>
        <v>0</v>
      </c>
      <c r="G125" s="0" t="n">
        <f aca="false">PostPro4FW!R131</f>
        <v>0</v>
      </c>
    </row>
    <row r="126" customFormat="false" ht="14.35" hidden="false" customHeight="false" outlineLevel="0" collapsed="false">
      <c r="A126" s="4" t="n">
        <v>11748</v>
      </c>
      <c r="B126" s="5" t="n">
        <f aca="false">PostPro4FW!H132</f>
        <v>900</v>
      </c>
      <c r="C126" s="5" t="n">
        <f aca="false">PostPro4FW!M132</f>
        <v>800</v>
      </c>
      <c r="D126" s="5" t="n">
        <f aca="false">PostPro4FW!H132+PostPro4FW!I132</f>
        <v>900</v>
      </c>
      <c r="E126" s="5" t="n">
        <f aca="false">PostPro4FW!S132</f>
        <v>900</v>
      </c>
      <c r="F126" s="5" t="n">
        <f aca="false">PostPro4FW!Q132</f>
        <v>900</v>
      </c>
      <c r="G126" s="0" t="n">
        <f aca="false">PostPro4FW!R132</f>
        <v>29</v>
      </c>
    </row>
    <row r="127" customFormat="false" ht="14.35" hidden="false" customHeight="false" outlineLevel="0" collapsed="false">
      <c r="A127" s="4" t="n">
        <v>11779</v>
      </c>
      <c r="B127" s="5" t="n">
        <f aca="false">PostPro4FW!H133</f>
        <v>2371.04930258743</v>
      </c>
      <c r="C127" s="5" t="n">
        <f aca="false">PostPro4FW!M133</f>
        <v>800</v>
      </c>
      <c r="D127" s="5" t="n">
        <f aca="false">PostPro4FW!H133+PostPro4FW!I133</f>
        <v>2371.04930258743</v>
      </c>
      <c r="E127" s="5" t="n">
        <f aca="false">PostPro4FW!S133</f>
        <v>1380.64516129032</v>
      </c>
      <c r="F127" s="5" t="n">
        <f aca="false">PostPro4FW!Q133</f>
        <v>2000</v>
      </c>
      <c r="G127" s="0" t="n">
        <f aca="false">PostPro4FW!R133</f>
        <v>15</v>
      </c>
    </row>
    <row r="128" customFormat="false" ht="14.35" hidden="false" customHeight="false" outlineLevel="0" collapsed="false">
      <c r="A128" s="4" t="n">
        <v>11809</v>
      </c>
      <c r="B128" s="5" t="n">
        <f aca="false">PostPro4FW!H134</f>
        <v>750.000000000004</v>
      </c>
      <c r="C128" s="5" t="n">
        <f aca="false">PostPro4FW!M134</f>
        <v>700</v>
      </c>
      <c r="D128" s="5" t="n">
        <f aca="false">PostPro4FW!H134+PostPro4FW!I134</f>
        <v>1170.13888888889</v>
      </c>
      <c r="E128" s="5" t="n">
        <f aca="false">PostPro4FW!S134</f>
        <v>700</v>
      </c>
      <c r="F128" s="5" t="n">
        <f aca="false">PostPro4FW!Q134</f>
        <v>0</v>
      </c>
      <c r="G128" s="0" t="n">
        <f aca="false">PostPro4FW!R134</f>
        <v>0</v>
      </c>
    </row>
    <row r="129" customFormat="false" ht="14.35" hidden="false" customHeight="false" outlineLevel="0" collapsed="false">
      <c r="A129" s="4" t="n">
        <v>11840</v>
      </c>
      <c r="B129" s="5" t="n">
        <f aca="false">PostPro4FW!H135</f>
        <v>749.99999999999</v>
      </c>
      <c r="C129" s="5" t="n">
        <f aca="false">PostPro4FW!M135</f>
        <v>700</v>
      </c>
      <c r="D129" s="5" t="n">
        <f aca="false">PostPro4FW!H135+PostPro4FW!I135</f>
        <v>1156.58602150537</v>
      </c>
      <c r="E129" s="5" t="n">
        <f aca="false">PostPro4FW!S135</f>
        <v>700</v>
      </c>
      <c r="F129" s="5" t="n">
        <f aca="false">PostPro4FW!Q135</f>
        <v>0</v>
      </c>
      <c r="G129" s="0" t="n">
        <f aca="false">PostPro4FW!R135</f>
        <v>0</v>
      </c>
    </row>
    <row r="130" customFormat="false" ht="14.35" hidden="false" customHeight="false" outlineLevel="0" collapsed="false">
      <c r="A130" s="4" t="n">
        <v>11870</v>
      </c>
      <c r="B130" s="5" t="n">
        <f aca="false">PostPro4FW!H136</f>
        <v>2165.973939563</v>
      </c>
      <c r="C130" s="5" t="n">
        <f aca="false">PostPro4FW!M136</f>
        <v>700</v>
      </c>
      <c r="D130" s="5" t="n">
        <f aca="false">PostPro4FW!H136+PostPro4FW!I136</f>
        <v>2165.973939563</v>
      </c>
      <c r="E130" s="5" t="n">
        <f aca="false">PostPro4FW!S136</f>
        <v>700</v>
      </c>
      <c r="F130" s="5" t="n">
        <f aca="false">PostPro4FW!Q136</f>
        <v>0</v>
      </c>
      <c r="G130" s="0" t="n">
        <f aca="false">PostPro4FW!R136</f>
        <v>0</v>
      </c>
    </row>
    <row r="131" customFormat="false" ht="14.35" hidden="false" customHeight="false" outlineLevel="0" collapsed="false">
      <c r="A131" s="4" t="n">
        <v>11901</v>
      </c>
      <c r="B131" s="5" t="n">
        <f aca="false">PostPro4FW!H137</f>
        <v>6376.08127877228</v>
      </c>
      <c r="C131" s="5" t="n">
        <f aca="false">PostPro4FW!M137</f>
        <v>700</v>
      </c>
      <c r="D131" s="5" t="n">
        <f aca="false">PostPro4FW!H137+PostPro4FW!I137</f>
        <v>6376.08127877228</v>
      </c>
      <c r="E131" s="5" t="n">
        <f aca="false">PostPro4FW!S137</f>
        <v>700</v>
      </c>
      <c r="F131" s="5" t="n">
        <f aca="false">PostPro4FW!Q137</f>
        <v>0</v>
      </c>
      <c r="G131" s="0" t="n">
        <f aca="false">PostPro4FW!R137</f>
        <v>0</v>
      </c>
    </row>
    <row r="132" customFormat="false" ht="14.35" hidden="false" customHeight="false" outlineLevel="0" collapsed="false">
      <c r="A132" s="4" t="n">
        <v>11932</v>
      </c>
      <c r="B132" s="5" t="n">
        <f aca="false">PostPro4FW!H138</f>
        <v>1491.80342339279</v>
      </c>
      <c r="C132" s="5" t="n">
        <f aca="false">PostPro4FW!M138</f>
        <v>700</v>
      </c>
      <c r="D132" s="5" t="n">
        <f aca="false">PostPro4FW!H138+PostPro4FW!I138</f>
        <v>1491.80342339279</v>
      </c>
      <c r="E132" s="5" t="n">
        <f aca="false">PostPro4FW!S138</f>
        <v>700</v>
      </c>
      <c r="F132" s="5" t="n">
        <f aca="false">PostPro4FW!Q138</f>
        <v>0</v>
      </c>
      <c r="G132" s="0" t="n">
        <f aca="false">PostPro4FW!R138</f>
        <v>0</v>
      </c>
    </row>
    <row r="133" customFormat="false" ht="14.35" hidden="false" customHeight="false" outlineLevel="0" collapsed="false">
      <c r="A133" s="4" t="n">
        <v>11962</v>
      </c>
      <c r="B133" s="5" t="n">
        <f aca="false">PostPro4FW!H139</f>
        <v>970.359170005355</v>
      </c>
      <c r="C133" s="5" t="n">
        <f aca="false">PostPro4FW!M139</f>
        <v>773.3333333</v>
      </c>
      <c r="D133" s="5" t="n">
        <f aca="false">PostPro4FW!H139+PostPro4FW!I139</f>
        <v>970.359170005355</v>
      </c>
      <c r="E133" s="5" t="n">
        <f aca="false">PostPro4FW!S139</f>
        <v>773.3333333</v>
      </c>
      <c r="F133" s="5" t="n">
        <f aca="false">PostPro4FW!Q139</f>
        <v>0</v>
      </c>
      <c r="G133" s="0" t="n">
        <f aca="false">PostPro4FW!R139</f>
        <v>0</v>
      </c>
    </row>
    <row r="134" customFormat="false" ht="14.35" hidden="false" customHeight="false" outlineLevel="0" collapsed="false">
      <c r="A134" s="4" t="n">
        <v>11993</v>
      </c>
      <c r="B134" s="5" t="n">
        <f aca="false">PostPro4FW!H140</f>
        <v>900.000000000007</v>
      </c>
      <c r="C134" s="5" t="n">
        <f aca="false">PostPro4FW!M140</f>
        <v>800</v>
      </c>
      <c r="D134" s="5" t="n">
        <f aca="false">PostPro4FW!H140+PostPro4FW!I140</f>
        <v>900.000000000007</v>
      </c>
      <c r="E134" s="5" t="n">
        <f aca="false">PostPro4FW!S140</f>
        <v>800</v>
      </c>
      <c r="F134" s="5" t="n">
        <f aca="false">PostPro4FW!Q140</f>
        <v>0</v>
      </c>
      <c r="G134" s="0" t="n">
        <f aca="false">PostPro4FW!R140</f>
        <v>0</v>
      </c>
    </row>
    <row r="135" customFormat="false" ht="14.35" hidden="false" customHeight="false" outlineLevel="0" collapsed="false">
      <c r="A135" s="4" t="n">
        <v>12023</v>
      </c>
      <c r="B135" s="5" t="n">
        <f aca="false">PostPro4FW!H141</f>
        <v>1178.1961819729</v>
      </c>
      <c r="C135" s="5" t="n">
        <f aca="false">PostPro4FW!M141</f>
        <v>800</v>
      </c>
      <c r="D135" s="5" t="n">
        <f aca="false">PostPro4FW!H141+PostPro4FW!I141</f>
        <v>1178.1961819729</v>
      </c>
      <c r="E135" s="5" t="n">
        <f aca="false">PostPro4FW!S141</f>
        <v>800</v>
      </c>
      <c r="F135" s="5" t="n">
        <f aca="false">PostPro4FW!Q141</f>
        <v>0</v>
      </c>
      <c r="G135" s="0" t="n">
        <f aca="false">PostPro4FW!R141</f>
        <v>0</v>
      </c>
    </row>
    <row r="136" customFormat="false" ht="14.35" hidden="false" customHeight="false" outlineLevel="0" collapsed="false">
      <c r="A136" s="4" t="n">
        <v>12054</v>
      </c>
      <c r="B136" s="5" t="n">
        <f aca="false">PostPro4FW!H142</f>
        <v>900</v>
      </c>
      <c r="C136" s="5" t="n">
        <f aca="false">PostPro4FW!M142</f>
        <v>800</v>
      </c>
      <c r="D136" s="5" t="n">
        <f aca="false">PostPro4FW!H142+PostPro4FW!I142</f>
        <v>900</v>
      </c>
      <c r="E136" s="5" t="n">
        <f aca="false">PostPro4FW!S142</f>
        <v>800</v>
      </c>
      <c r="F136" s="5" t="n">
        <f aca="false">PostPro4FW!Q142</f>
        <v>0</v>
      </c>
      <c r="G136" s="0" t="n">
        <f aca="false">PostPro4FW!R142</f>
        <v>0</v>
      </c>
    </row>
    <row r="137" customFormat="false" ht="14.35" hidden="false" customHeight="false" outlineLevel="0" collapsed="false">
      <c r="A137" s="4" t="n">
        <v>12085</v>
      </c>
      <c r="B137" s="5" t="n">
        <f aca="false">PostPro4FW!H143</f>
        <v>900</v>
      </c>
      <c r="C137" s="5" t="n">
        <f aca="false">PostPro4FW!M143</f>
        <v>800</v>
      </c>
      <c r="D137" s="5" t="n">
        <f aca="false">PostPro4FW!H143+PostPro4FW!I143</f>
        <v>900</v>
      </c>
      <c r="E137" s="5" t="n">
        <f aca="false">PostPro4FW!S143</f>
        <v>800</v>
      </c>
      <c r="F137" s="5" t="n">
        <f aca="false">PostPro4FW!Q143</f>
        <v>0</v>
      </c>
      <c r="G137" s="0" t="n">
        <f aca="false">PostPro4FW!R143</f>
        <v>0</v>
      </c>
    </row>
    <row r="138" customFormat="false" ht="14.35" hidden="false" customHeight="false" outlineLevel="0" collapsed="false">
      <c r="A138" s="4" t="n">
        <v>12113</v>
      </c>
      <c r="B138" s="5" t="n">
        <f aca="false">PostPro4FW!H144</f>
        <v>900</v>
      </c>
      <c r="C138" s="5" t="n">
        <f aca="false">PostPro4FW!M144</f>
        <v>800</v>
      </c>
      <c r="D138" s="5" t="n">
        <f aca="false">PostPro4FW!H144+PostPro4FW!I144</f>
        <v>900</v>
      </c>
      <c r="E138" s="5" t="n">
        <f aca="false">PostPro4FW!S144</f>
        <v>800</v>
      </c>
      <c r="F138" s="5" t="n">
        <f aca="false">PostPro4FW!Q144</f>
        <v>0</v>
      </c>
      <c r="G138" s="0" t="n">
        <f aca="false">PostPro4FW!R144</f>
        <v>0</v>
      </c>
    </row>
    <row r="139" customFormat="false" ht="14.35" hidden="false" customHeight="false" outlineLevel="0" collapsed="false">
      <c r="A139" s="4" t="n">
        <v>12144</v>
      </c>
      <c r="B139" s="5" t="n">
        <f aca="false">PostPro4FW!H145</f>
        <v>4809.19732033547</v>
      </c>
      <c r="C139" s="5" t="n">
        <f aca="false">PostPro4FW!M145</f>
        <v>800</v>
      </c>
      <c r="D139" s="5" t="n">
        <f aca="false">PostPro4FW!H145+PostPro4FW!I145</f>
        <v>4809.19732033547</v>
      </c>
      <c r="E139" s="5" t="n">
        <f aca="false">PostPro4FW!S145</f>
        <v>800</v>
      </c>
      <c r="F139" s="5" t="n">
        <f aca="false">PostPro4FW!Q145</f>
        <v>0</v>
      </c>
      <c r="G139" s="0" t="n">
        <f aca="false">PostPro4FW!R145</f>
        <v>0</v>
      </c>
    </row>
    <row r="140" customFormat="false" ht="14.35" hidden="false" customHeight="false" outlineLevel="0" collapsed="false">
      <c r="A140" s="4" t="n">
        <v>12174</v>
      </c>
      <c r="B140" s="5" t="n">
        <f aca="false">PostPro4FW!H146</f>
        <v>750</v>
      </c>
      <c r="C140" s="5" t="n">
        <f aca="false">PostPro4FW!M146</f>
        <v>700</v>
      </c>
      <c r="D140" s="5" t="n">
        <f aca="false">PostPro4FW!H146+PostPro4FW!I146</f>
        <v>750</v>
      </c>
      <c r="E140" s="5" t="n">
        <f aca="false">PostPro4FW!S146</f>
        <v>700</v>
      </c>
      <c r="F140" s="5" t="n">
        <f aca="false">PostPro4FW!Q146</f>
        <v>0</v>
      </c>
      <c r="G140" s="0" t="n">
        <f aca="false">PostPro4FW!R146</f>
        <v>0</v>
      </c>
    </row>
    <row r="141" customFormat="false" ht="14.35" hidden="false" customHeight="false" outlineLevel="0" collapsed="false">
      <c r="A141" s="4" t="n">
        <v>12205</v>
      </c>
      <c r="B141" s="5" t="n">
        <f aca="false">PostPro4FW!H147</f>
        <v>2295.50121837601</v>
      </c>
      <c r="C141" s="5" t="n">
        <f aca="false">PostPro4FW!M147</f>
        <v>700</v>
      </c>
      <c r="D141" s="5" t="n">
        <f aca="false">PostPro4FW!H147+PostPro4FW!I147</f>
        <v>2295.50121837601</v>
      </c>
      <c r="E141" s="5" t="n">
        <f aca="false">PostPro4FW!S147</f>
        <v>700</v>
      </c>
      <c r="F141" s="5" t="n">
        <f aca="false">PostPro4FW!Q147</f>
        <v>0</v>
      </c>
      <c r="G141" s="0" t="n">
        <f aca="false">PostPro4FW!R147</f>
        <v>0</v>
      </c>
    </row>
    <row r="142" customFormat="false" ht="14.35" hidden="false" customHeight="false" outlineLevel="0" collapsed="false">
      <c r="A142" s="4" t="n">
        <v>12235</v>
      </c>
      <c r="B142" s="5" t="n">
        <f aca="false">PostPro4FW!H148</f>
        <v>2715.53249281935</v>
      </c>
      <c r="C142" s="5" t="n">
        <f aca="false">PostPro4FW!M148</f>
        <v>700</v>
      </c>
      <c r="D142" s="5" t="n">
        <f aca="false">PostPro4FW!H148+PostPro4FW!I148</f>
        <v>2715.53249281935</v>
      </c>
      <c r="E142" s="5" t="n">
        <f aca="false">PostPro4FW!S148</f>
        <v>700</v>
      </c>
      <c r="F142" s="5" t="n">
        <f aca="false">PostPro4FW!Q148</f>
        <v>0</v>
      </c>
      <c r="G142" s="0" t="n">
        <f aca="false">PostPro4FW!R148</f>
        <v>0</v>
      </c>
    </row>
    <row r="143" customFormat="false" ht="14.35" hidden="false" customHeight="false" outlineLevel="0" collapsed="false">
      <c r="A143" s="4" t="n">
        <v>12266</v>
      </c>
      <c r="B143" s="5" t="n">
        <f aca="false">PostPro4FW!H149</f>
        <v>3109.30517367239</v>
      </c>
      <c r="C143" s="5" t="n">
        <f aca="false">PostPro4FW!M149</f>
        <v>700</v>
      </c>
      <c r="D143" s="5" t="n">
        <f aca="false">PostPro4FW!H149+PostPro4FW!I149</f>
        <v>3109.30517367239</v>
      </c>
      <c r="E143" s="5" t="n">
        <f aca="false">PostPro4FW!S149</f>
        <v>700</v>
      </c>
      <c r="F143" s="5" t="n">
        <f aca="false">PostPro4FW!Q149</f>
        <v>0</v>
      </c>
      <c r="G143" s="0" t="n">
        <f aca="false">PostPro4FW!R149</f>
        <v>0</v>
      </c>
    </row>
    <row r="144" customFormat="false" ht="14.35" hidden="false" customHeight="false" outlineLevel="0" collapsed="false">
      <c r="A144" s="4" t="n">
        <v>12297</v>
      </c>
      <c r="B144" s="5" t="n">
        <f aca="false">PostPro4FW!H150</f>
        <v>1971.23607310444</v>
      </c>
      <c r="C144" s="5" t="n">
        <f aca="false">PostPro4FW!M150</f>
        <v>700</v>
      </c>
      <c r="D144" s="5" t="n">
        <f aca="false">PostPro4FW!H150+PostPro4FW!I150</f>
        <v>1971.23607310444</v>
      </c>
      <c r="E144" s="5" t="n">
        <f aca="false">PostPro4FW!S150</f>
        <v>700</v>
      </c>
      <c r="F144" s="5" t="n">
        <f aca="false">PostPro4FW!Q150</f>
        <v>0</v>
      </c>
      <c r="G144" s="0" t="n">
        <f aca="false">PostPro4FW!R150</f>
        <v>0</v>
      </c>
    </row>
    <row r="145" customFormat="false" ht="14.35" hidden="false" customHeight="false" outlineLevel="0" collapsed="false">
      <c r="A145" s="4" t="n">
        <v>12327</v>
      </c>
      <c r="B145" s="5" t="n">
        <f aca="false">PostPro4FW!H151</f>
        <v>773.434471169754</v>
      </c>
      <c r="C145" s="5" t="n">
        <f aca="false">PostPro4FW!M151</f>
        <v>773.3333333</v>
      </c>
      <c r="D145" s="5" t="n">
        <f aca="false">PostPro4FW!H151+PostPro4FW!I151</f>
        <v>773.434471169754</v>
      </c>
      <c r="E145" s="5" t="n">
        <f aca="false">PostPro4FW!S151</f>
        <v>773.3333333</v>
      </c>
      <c r="F145" s="5" t="n">
        <f aca="false">PostPro4FW!Q151</f>
        <v>0</v>
      </c>
      <c r="G145" s="0" t="n">
        <f aca="false">PostPro4FW!R151</f>
        <v>0</v>
      </c>
    </row>
    <row r="146" customFormat="false" ht="14.35" hidden="false" customHeight="false" outlineLevel="0" collapsed="false">
      <c r="A146" s="4" t="n">
        <v>12358</v>
      </c>
      <c r="B146" s="5" t="n">
        <f aca="false">PostPro4FW!H152</f>
        <v>900</v>
      </c>
      <c r="C146" s="5" t="n">
        <f aca="false">PostPro4FW!M152</f>
        <v>800</v>
      </c>
      <c r="D146" s="5" t="n">
        <f aca="false">PostPro4FW!H152+PostPro4FW!I152</f>
        <v>900</v>
      </c>
      <c r="E146" s="5" t="n">
        <f aca="false">PostPro4FW!S152</f>
        <v>800</v>
      </c>
      <c r="F146" s="5" t="n">
        <f aca="false">PostPro4FW!Q152</f>
        <v>0</v>
      </c>
      <c r="G146" s="0" t="n">
        <f aca="false">PostPro4FW!R152</f>
        <v>0</v>
      </c>
    </row>
    <row r="147" customFormat="false" ht="14.35" hidden="false" customHeight="false" outlineLevel="0" collapsed="false">
      <c r="A147" s="4" t="n">
        <v>12388</v>
      </c>
      <c r="B147" s="5" t="n">
        <f aca="false">PostPro4FW!H153</f>
        <v>900.000000000005</v>
      </c>
      <c r="C147" s="5" t="n">
        <f aca="false">PostPro4FW!M153</f>
        <v>800</v>
      </c>
      <c r="D147" s="5" t="n">
        <f aca="false">PostPro4FW!H153+PostPro4FW!I153</f>
        <v>900.000000000005</v>
      </c>
      <c r="E147" s="5" t="n">
        <f aca="false">PostPro4FW!S153</f>
        <v>800</v>
      </c>
      <c r="F147" s="5" t="n">
        <f aca="false">PostPro4FW!Q153</f>
        <v>0</v>
      </c>
      <c r="G147" s="0" t="n">
        <f aca="false">PostPro4FW!R153</f>
        <v>0</v>
      </c>
    </row>
    <row r="148" customFormat="false" ht="14.35" hidden="false" customHeight="false" outlineLevel="0" collapsed="false">
      <c r="A148" s="4" t="n">
        <v>12419</v>
      </c>
      <c r="B148" s="5" t="n">
        <f aca="false">PostPro4FW!H154</f>
        <v>2777.28446869846</v>
      </c>
      <c r="C148" s="5" t="n">
        <f aca="false">PostPro4FW!M154</f>
        <v>800</v>
      </c>
      <c r="D148" s="5" t="n">
        <f aca="false">PostPro4FW!H154+PostPro4FW!I154</f>
        <v>2777.28446869846</v>
      </c>
      <c r="E148" s="5" t="n">
        <f aca="false">PostPro4FW!S154</f>
        <v>800</v>
      </c>
      <c r="F148" s="5" t="n">
        <f aca="false">PostPro4FW!Q154</f>
        <v>0</v>
      </c>
      <c r="G148" s="0" t="n">
        <f aca="false">PostPro4FW!R154</f>
        <v>0</v>
      </c>
    </row>
    <row r="149" customFormat="false" ht="14.35" hidden="false" customHeight="false" outlineLevel="0" collapsed="false">
      <c r="A149" s="4" t="n">
        <v>12450</v>
      </c>
      <c r="B149" s="5" t="n">
        <f aca="false">PostPro4FW!H155</f>
        <v>900</v>
      </c>
      <c r="C149" s="5" t="n">
        <f aca="false">PostPro4FW!M155</f>
        <v>800</v>
      </c>
      <c r="D149" s="5" t="n">
        <f aca="false">PostPro4FW!H155+PostPro4FW!I155</f>
        <v>900</v>
      </c>
      <c r="E149" s="5" t="n">
        <f aca="false">PostPro4FW!S155</f>
        <v>800</v>
      </c>
      <c r="F149" s="5" t="n">
        <f aca="false">PostPro4FW!Q155</f>
        <v>0</v>
      </c>
      <c r="G149" s="0" t="n">
        <f aca="false">PostPro4FW!R155</f>
        <v>0</v>
      </c>
    </row>
    <row r="150" customFormat="false" ht="14.35" hidden="false" customHeight="false" outlineLevel="0" collapsed="false">
      <c r="A150" s="4" t="n">
        <v>12478</v>
      </c>
      <c r="B150" s="5" t="n">
        <f aca="false">PostPro4FW!H156</f>
        <v>3244.86018306398</v>
      </c>
      <c r="C150" s="5" t="n">
        <f aca="false">PostPro4FW!M156</f>
        <v>800</v>
      </c>
      <c r="D150" s="5" t="n">
        <f aca="false">PostPro4FW!H156+PostPro4FW!I156</f>
        <v>3244.86018306398</v>
      </c>
      <c r="E150" s="5" t="n">
        <f aca="false">PostPro4FW!S156</f>
        <v>800</v>
      </c>
      <c r="F150" s="5" t="n">
        <f aca="false">PostPro4FW!Q156</f>
        <v>0</v>
      </c>
      <c r="G150" s="0" t="n">
        <f aca="false">PostPro4FW!R156</f>
        <v>0</v>
      </c>
    </row>
    <row r="151" customFormat="false" ht="14.35" hidden="false" customHeight="false" outlineLevel="0" collapsed="false">
      <c r="A151" s="4" t="n">
        <v>12509</v>
      </c>
      <c r="B151" s="5" t="n">
        <f aca="false">PostPro4FW!H157</f>
        <v>800</v>
      </c>
      <c r="C151" s="5" t="n">
        <f aca="false">PostPro4FW!M157</f>
        <v>800</v>
      </c>
      <c r="D151" s="5" t="n">
        <f aca="false">PostPro4FW!H157+PostPro4FW!I157</f>
        <v>800</v>
      </c>
      <c r="E151" s="5" t="n">
        <f aca="false">PostPro4FW!S157</f>
        <v>800</v>
      </c>
      <c r="F151" s="5" t="n">
        <f aca="false">PostPro4FW!Q157</f>
        <v>0</v>
      </c>
      <c r="G151" s="0" t="n">
        <f aca="false">PostPro4FW!R157</f>
        <v>0</v>
      </c>
    </row>
    <row r="152" customFormat="false" ht="14.35" hidden="false" customHeight="false" outlineLevel="0" collapsed="false">
      <c r="A152" s="4" t="n">
        <v>12539</v>
      </c>
      <c r="B152" s="5" t="n">
        <f aca="false">PostPro4FW!H158</f>
        <v>1014.48657224732</v>
      </c>
      <c r="C152" s="5" t="n">
        <f aca="false">PostPro4FW!M158</f>
        <v>700</v>
      </c>
      <c r="D152" s="5" t="n">
        <f aca="false">PostPro4FW!H158+PostPro4FW!I158</f>
        <v>1014.48657224732</v>
      </c>
      <c r="E152" s="5" t="n">
        <f aca="false">PostPro4FW!S158</f>
        <v>700</v>
      </c>
      <c r="F152" s="5" t="n">
        <f aca="false">PostPro4FW!Q158</f>
        <v>0</v>
      </c>
      <c r="G152" s="0" t="n">
        <f aca="false">PostPro4FW!R158</f>
        <v>0</v>
      </c>
    </row>
    <row r="153" customFormat="false" ht="14.35" hidden="false" customHeight="false" outlineLevel="0" collapsed="false">
      <c r="A153" s="4" t="n">
        <v>12570</v>
      </c>
      <c r="B153" s="5" t="n">
        <f aca="false">PostPro4FW!H159</f>
        <v>3840.64724263324</v>
      </c>
      <c r="C153" s="5" t="n">
        <f aca="false">PostPro4FW!M159</f>
        <v>700</v>
      </c>
      <c r="D153" s="5" t="n">
        <f aca="false">PostPro4FW!H159+PostPro4FW!I159</f>
        <v>3840.64724263324</v>
      </c>
      <c r="E153" s="5" t="n">
        <f aca="false">PostPro4FW!S159</f>
        <v>700</v>
      </c>
      <c r="F153" s="5" t="n">
        <f aca="false">PostPro4FW!Q159</f>
        <v>0</v>
      </c>
      <c r="G153" s="0" t="n">
        <f aca="false">PostPro4FW!R159</f>
        <v>0</v>
      </c>
    </row>
    <row r="154" customFormat="false" ht="14.35" hidden="false" customHeight="false" outlineLevel="0" collapsed="false">
      <c r="A154" s="4" t="n">
        <v>12600</v>
      </c>
      <c r="B154" s="5" t="n">
        <f aca="false">PostPro4FW!H160</f>
        <v>4956.31586848195</v>
      </c>
      <c r="C154" s="5" t="n">
        <f aca="false">PostPro4FW!M160</f>
        <v>700</v>
      </c>
      <c r="D154" s="5" t="n">
        <f aca="false">PostPro4FW!H160+PostPro4FW!I160</f>
        <v>4956.31586848195</v>
      </c>
      <c r="E154" s="5" t="n">
        <f aca="false">PostPro4FW!S160</f>
        <v>700</v>
      </c>
      <c r="F154" s="5" t="n">
        <f aca="false">PostPro4FW!Q160</f>
        <v>0</v>
      </c>
      <c r="G154" s="0" t="n">
        <f aca="false">PostPro4FW!R160</f>
        <v>0</v>
      </c>
    </row>
    <row r="155" customFormat="false" ht="14.35" hidden="false" customHeight="false" outlineLevel="0" collapsed="false">
      <c r="A155" s="4" t="n">
        <v>12631</v>
      </c>
      <c r="B155" s="5" t="n">
        <f aca="false">PostPro4FW!H161</f>
        <v>4196.32471704624</v>
      </c>
      <c r="C155" s="5" t="n">
        <f aca="false">PostPro4FW!M161</f>
        <v>700</v>
      </c>
      <c r="D155" s="5" t="n">
        <f aca="false">PostPro4FW!H161+PostPro4FW!I161</f>
        <v>4196.32471704624</v>
      </c>
      <c r="E155" s="5" t="n">
        <f aca="false">PostPro4FW!S161</f>
        <v>700</v>
      </c>
      <c r="F155" s="5" t="n">
        <f aca="false">PostPro4FW!Q161</f>
        <v>0</v>
      </c>
      <c r="G155" s="0" t="n">
        <f aca="false">PostPro4FW!R161</f>
        <v>0</v>
      </c>
    </row>
    <row r="156" customFormat="false" ht="14.35" hidden="false" customHeight="false" outlineLevel="0" collapsed="false">
      <c r="A156" s="4" t="n">
        <v>12662</v>
      </c>
      <c r="B156" s="5" t="n">
        <f aca="false">PostPro4FW!H162</f>
        <v>2809.87461341057</v>
      </c>
      <c r="C156" s="5" t="n">
        <f aca="false">PostPro4FW!M162</f>
        <v>700</v>
      </c>
      <c r="D156" s="5" t="n">
        <f aca="false">PostPro4FW!H162+PostPro4FW!I162</f>
        <v>2809.87461341057</v>
      </c>
      <c r="E156" s="5" t="n">
        <f aca="false">PostPro4FW!S162</f>
        <v>700</v>
      </c>
      <c r="F156" s="5" t="n">
        <f aca="false">PostPro4FW!Q162</f>
        <v>0</v>
      </c>
      <c r="G156" s="0" t="n">
        <f aca="false">PostPro4FW!R162</f>
        <v>0</v>
      </c>
    </row>
    <row r="157" customFormat="false" ht="14.35" hidden="false" customHeight="false" outlineLevel="0" collapsed="false">
      <c r="A157" s="4" t="n">
        <v>12692</v>
      </c>
      <c r="B157" s="5" t="n">
        <f aca="false">PostPro4FW!H163</f>
        <v>1378.2347687381</v>
      </c>
      <c r="C157" s="5" t="n">
        <f aca="false">PostPro4FW!M163</f>
        <v>773.3333333</v>
      </c>
      <c r="D157" s="5" t="n">
        <f aca="false">PostPro4FW!H163+PostPro4FW!I163</f>
        <v>1378.2347687381</v>
      </c>
      <c r="E157" s="5" t="n">
        <f aca="false">PostPro4FW!S163</f>
        <v>773.3333333</v>
      </c>
      <c r="F157" s="5" t="n">
        <f aca="false">PostPro4FW!Q163</f>
        <v>0</v>
      </c>
      <c r="G157" s="0" t="n">
        <f aca="false">PostPro4FW!R163</f>
        <v>0</v>
      </c>
    </row>
    <row r="158" customFormat="false" ht="14.35" hidden="false" customHeight="false" outlineLevel="0" collapsed="false">
      <c r="A158" s="4" t="n">
        <v>12723</v>
      </c>
      <c r="B158" s="5" t="n">
        <f aca="false">PostPro4FW!H164</f>
        <v>1031.26332516638</v>
      </c>
      <c r="C158" s="5" t="n">
        <f aca="false">PostPro4FW!M164</f>
        <v>800</v>
      </c>
      <c r="D158" s="5" t="n">
        <f aca="false">PostPro4FW!H164+PostPro4FW!I164</f>
        <v>1031.26332516638</v>
      </c>
      <c r="E158" s="5" t="n">
        <f aca="false">PostPro4FW!S164</f>
        <v>800</v>
      </c>
      <c r="F158" s="5" t="n">
        <f aca="false">PostPro4FW!Q164</f>
        <v>0</v>
      </c>
      <c r="G158" s="0" t="n">
        <f aca="false">PostPro4FW!R164</f>
        <v>0</v>
      </c>
    </row>
    <row r="159" customFormat="false" ht="14.35" hidden="false" customHeight="false" outlineLevel="0" collapsed="false">
      <c r="A159" s="4" t="n">
        <v>12753</v>
      </c>
      <c r="B159" s="5" t="n">
        <f aca="false">PostPro4FW!H165</f>
        <v>900</v>
      </c>
      <c r="C159" s="5" t="n">
        <f aca="false">PostPro4FW!M165</f>
        <v>800</v>
      </c>
      <c r="D159" s="5" t="n">
        <f aca="false">PostPro4FW!H165+PostPro4FW!I165</f>
        <v>900</v>
      </c>
      <c r="E159" s="5" t="n">
        <f aca="false">PostPro4FW!S165</f>
        <v>800</v>
      </c>
      <c r="F159" s="5" t="n">
        <f aca="false">PostPro4FW!Q165</f>
        <v>0</v>
      </c>
      <c r="G159" s="0" t="n">
        <f aca="false">PostPro4FW!R165</f>
        <v>0</v>
      </c>
    </row>
    <row r="160" customFormat="false" ht="14.35" hidden="false" customHeight="false" outlineLevel="0" collapsed="false">
      <c r="A160" s="4" t="n">
        <v>12784</v>
      </c>
      <c r="B160" s="5" t="n">
        <f aca="false">PostPro4FW!H166</f>
        <v>900</v>
      </c>
      <c r="C160" s="5" t="n">
        <f aca="false">PostPro4FW!M166</f>
        <v>800</v>
      </c>
      <c r="D160" s="5" t="n">
        <f aca="false">PostPro4FW!H166+PostPro4FW!I166</f>
        <v>900</v>
      </c>
      <c r="E160" s="5" t="n">
        <f aca="false">PostPro4FW!S166</f>
        <v>800</v>
      </c>
      <c r="F160" s="5" t="n">
        <f aca="false">PostPro4FW!Q166</f>
        <v>0</v>
      </c>
      <c r="G160" s="0" t="n">
        <f aca="false">PostPro4FW!R166</f>
        <v>0</v>
      </c>
    </row>
    <row r="161" customFormat="false" ht="14.35" hidden="false" customHeight="false" outlineLevel="0" collapsed="false">
      <c r="A161" s="4" t="n">
        <v>12815</v>
      </c>
      <c r="B161" s="5" t="n">
        <f aca="false">PostPro4FW!H167</f>
        <v>900</v>
      </c>
      <c r="C161" s="5" t="n">
        <f aca="false">PostPro4FW!M167</f>
        <v>800</v>
      </c>
      <c r="D161" s="5" t="n">
        <f aca="false">PostPro4FW!H167+PostPro4FW!I167</f>
        <v>900</v>
      </c>
      <c r="E161" s="5" t="n">
        <f aca="false">PostPro4FW!S167</f>
        <v>800</v>
      </c>
      <c r="F161" s="5" t="n">
        <f aca="false">PostPro4FW!Q167</f>
        <v>0</v>
      </c>
      <c r="G161" s="0" t="n">
        <f aca="false">PostPro4FW!R167</f>
        <v>0</v>
      </c>
    </row>
    <row r="162" customFormat="false" ht="14.35" hidden="false" customHeight="false" outlineLevel="0" collapsed="false">
      <c r="A162" s="4" t="n">
        <v>12843</v>
      </c>
      <c r="B162" s="5" t="n">
        <f aca="false">PostPro4FW!H168</f>
        <v>971.850821906195</v>
      </c>
      <c r="C162" s="5" t="n">
        <f aca="false">PostPro4FW!M168</f>
        <v>800</v>
      </c>
      <c r="D162" s="5" t="n">
        <f aca="false">PostPro4FW!H168+PostPro4FW!I168</f>
        <v>971.850821906195</v>
      </c>
      <c r="E162" s="5" t="n">
        <f aca="false">PostPro4FW!S168</f>
        <v>971.850821906195</v>
      </c>
      <c r="F162" s="5" t="n">
        <f aca="false">PostPro4FW!Q168</f>
        <v>971.850821906195</v>
      </c>
      <c r="G162" s="0" t="n">
        <f aca="false">PostPro4FW!R168</f>
        <v>28</v>
      </c>
    </row>
    <row r="163" customFormat="false" ht="14.35" hidden="false" customHeight="false" outlineLevel="0" collapsed="false">
      <c r="A163" s="4" t="n">
        <v>12874</v>
      </c>
      <c r="B163" s="5" t="n">
        <f aca="false">PostPro4FW!H169</f>
        <v>800</v>
      </c>
      <c r="C163" s="5" t="n">
        <f aca="false">PostPro4FW!M169</f>
        <v>800</v>
      </c>
      <c r="D163" s="5" t="n">
        <f aca="false">PostPro4FW!H169+PostPro4FW!I169</f>
        <v>800</v>
      </c>
      <c r="E163" s="5" t="n">
        <f aca="false">PostPro4FW!S169</f>
        <v>800</v>
      </c>
      <c r="F163" s="5" t="n">
        <f aca="false">PostPro4FW!Q169</f>
        <v>0</v>
      </c>
      <c r="G163" s="0" t="n">
        <f aca="false">PostPro4FW!R169</f>
        <v>0</v>
      </c>
    </row>
    <row r="164" customFormat="false" ht="14.35" hidden="false" customHeight="false" outlineLevel="0" collapsed="false">
      <c r="A164" s="4" t="n">
        <v>12904</v>
      </c>
      <c r="B164" s="5" t="n">
        <f aca="false">PostPro4FW!H170</f>
        <v>1000</v>
      </c>
      <c r="C164" s="5" t="n">
        <f aca="false">PostPro4FW!M170</f>
        <v>700</v>
      </c>
      <c r="D164" s="5" t="n">
        <f aca="false">PostPro4FW!H170+PostPro4FW!I170</f>
        <v>1420.13888888889</v>
      </c>
      <c r="E164" s="5" t="n">
        <f aca="false">PostPro4FW!S170</f>
        <v>1252.10648148148</v>
      </c>
      <c r="F164" s="5" t="n">
        <f aca="false">PostPro4FW!Q170</f>
        <v>1420.13888888889</v>
      </c>
      <c r="G164" s="0" t="n">
        <f aca="false">PostPro4FW!R170</f>
        <v>23</v>
      </c>
    </row>
    <row r="165" customFormat="false" ht="14.35" hidden="false" customHeight="false" outlineLevel="0" collapsed="false">
      <c r="A165" s="4" t="n">
        <v>12935</v>
      </c>
      <c r="B165" s="5" t="n">
        <f aca="false">PostPro4FW!H171</f>
        <v>1000</v>
      </c>
      <c r="C165" s="5" t="n">
        <f aca="false">PostPro4FW!M171</f>
        <v>700</v>
      </c>
      <c r="D165" s="5" t="n">
        <f aca="false">PostPro4FW!H171+PostPro4FW!I171</f>
        <v>1406.58602150538</v>
      </c>
      <c r="E165" s="5" t="n">
        <f aca="false">PostPro4FW!S171</f>
        <v>700</v>
      </c>
      <c r="F165" s="5" t="n">
        <f aca="false">PostPro4FW!Q171</f>
        <v>0</v>
      </c>
      <c r="G165" s="0" t="n">
        <f aca="false">PostPro4FW!R171</f>
        <v>0</v>
      </c>
    </row>
    <row r="166" customFormat="false" ht="14.35" hidden="false" customHeight="false" outlineLevel="0" collapsed="false">
      <c r="A166" s="4" t="n">
        <v>12965</v>
      </c>
      <c r="B166" s="5" t="n">
        <f aca="false">PostPro4FW!H172</f>
        <v>2152.08851470146</v>
      </c>
      <c r="C166" s="5" t="n">
        <f aca="false">PostPro4FW!M172</f>
        <v>700</v>
      </c>
      <c r="D166" s="5" t="n">
        <f aca="false">PostPro4FW!H172+PostPro4FW!I172</f>
        <v>2152.08851470146</v>
      </c>
      <c r="E166" s="5" t="n">
        <f aca="false">PostPro4FW!S172</f>
        <v>700</v>
      </c>
      <c r="F166" s="5" t="n">
        <f aca="false">PostPro4FW!Q172</f>
        <v>0</v>
      </c>
      <c r="G166" s="0" t="n">
        <f aca="false">PostPro4FW!R172</f>
        <v>0</v>
      </c>
    </row>
    <row r="167" customFormat="false" ht="14.35" hidden="false" customHeight="false" outlineLevel="0" collapsed="false">
      <c r="A167" s="4" t="n">
        <v>12996</v>
      </c>
      <c r="B167" s="5" t="n">
        <f aca="false">PostPro4FW!H173</f>
        <v>8194.40785203873</v>
      </c>
      <c r="C167" s="5" t="n">
        <f aca="false">PostPro4FW!M173</f>
        <v>700</v>
      </c>
      <c r="D167" s="5" t="n">
        <f aca="false">PostPro4FW!H173+PostPro4FW!I173</f>
        <v>8194.40785203873</v>
      </c>
      <c r="E167" s="5" t="n">
        <f aca="false">PostPro4FW!S173</f>
        <v>700</v>
      </c>
      <c r="F167" s="5" t="n">
        <f aca="false">PostPro4FW!Q173</f>
        <v>0</v>
      </c>
      <c r="G167" s="0" t="n">
        <f aca="false">PostPro4FW!R173</f>
        <v>0</v>
      </c>
    </row>
    <row r="168" customFormat="false" ht="14.35" hidden="false" customHeight="false" outlineLevel="0" collapsed="false">
      <c r="A168" s="4" t="n">
        <v>13027</v>
      </c>
      <c r="B168" s="5" t="n">
        <f aca="false">PostPro4FW!H174</f>
        <v>7792.23568642189</v>
      </c>
      <c r="C168" s="5" t="n">
        <f aca="false">PostPro4FW!M174</f>
        <v>700</v>
      </c>
      <c r="D168" s="5" t="n">
        <f aca="false">PostPro4FW!H174+PostPro4FW!I174</f>
        <v>7792.23568642189</v>
      </c>
      <c r="E168" s="5" t="n">
        <f aca="false">PostPro4FW!S174</f>
        <v>700</v>
      </c>
      <c r="F168" s="5" t="n">
        <f aca="false">PostPro4FW!Q174</f>
        <v>0</v>
      </c>
      <c r="G168" s="0" t="n">
        <f aca="false">PostPro4FW!R174</f>
        <v>0</v>
      </c>
    </row>
    <row r="169" customFormat="false" ht="14.35" hidden="false" customHeight="false" outlineLevel="0" collapsed="false">
      <c r="A169" s="4" t="n">
        <v>13057</v>
      </c>
      <c r="B169" s="5" t="n">
        <f aca="false">PostPro4FW!H175</f>
        <v>1498.41578311714</v>
      </c>
      <c r="C169" s="5" t="n">
        <f aca="false">PostPro4FW!M175</f>
        <v>773.3333333</v>
      </c>
      <c r="D169" s="5" t="n">
        <f aca="false">PostPro4FW!H175+PostPro4FW!I175</f>
        <v>1498.41578311714</v>
      </c>
      <c r="E169" s="5" t="n">
        <f aca="false">PostPro4FW!S175</f>
        <v>773.3333333</v>
      </c>
      <c r="F169" s="5" t="n">
        <f aca="false">PostPro4FW!Q175</f>
        <v>0</v>
      </c>
      <c r="G169" s="0" t="n">
        <f aca="false">PostPro4FW!R175</f>
        <v>0</v>
      </c>
    </row>
    <row r="170" customFormat="false" ht="14.35" hidden="false" customHeight="false" outlineLevel="0" collapsed="false">
      <c r="A170" s="4" t="n">
        <v>13088</v>
      </c>
      <c r="B170" s="5" t="n">
        <f aca="false">PostPro4FW!H176</f>
        <v>1700</v>
      </c>
      <c r="C170" s="5" t="n">
        <f aca="false">PostPro4FW!M176</f>
        <v>800</v>
      </c>
      <c r="D170" s="5" t="n">
        <f aca="false">PostPro4FW!H176+PostPro4FW!I176</f>
        <v>1700</v>
      </c>
      <c r="E170" s="5" t="n">
        <f aca="false">PostPro4FW!S176</f>
        <v>800</v>
      </c>
      <c r="F170" s="5" t="n">
        <f aca="false">PostPro4FW!Q176</f>
        <v>0</v>
      </c>
      <c r="G170" s="0" t="n">
        <f aca="false">PostPro4FW!R176</f>
        <v>0</v>
      </c>
    </row>
    <row r="171" customFormat="false" ht="14.35" hidden="false" customHeight="false" outlineLevel="0" collapsed="false">
      <c r="A171" s="4" t="n">
        <v>13118</v>
      </c>
      <c r="B171" s="5" t="n">
        <f aca="false">PostPro4FW!H177</f>
        <v>1700</v>
      </c>
      <c r="C171" s="5" t="n">
        <f aca="false">PostPro4FW!M177</f>
        <v>800</v>
      </c>
      <c r="D171" s="5" t="n">
        <f aca="false">PostPro4FW!H177+PostPro4FW!I177</f>
        <v>1700</v>
      </c>
      <c r="E171" s="5" t="n">
        <f aca="false">PostPro4FW!S177</f>
        <v>800</v>
      </c>
      <c r="F171" s="5" t="n">
        <f aca="false">PostPro4FW!Q177</f>
        <v>0</v>
      </c>
      <c r="G171" s="0" t="n">
        <f aca="false">PostPro4FW!R177</f>
        <v>0</v>
      </c>
    </row>
    <row r="172" customFormat="false" ht="14.35" hidden="false" customHeight="false" outlineLevel="0" collapsed="false">
      <c r="A172" s="4" t="n">
        <v>13149</v>
      </c>
      <c r="B172" s="5" t="n">
        <f aca="false">PostPro4FW!H178</f>
        <v>1700</v>
      </c>
      <c r="C172" s="5" t="n">
        <f aca="false">PostPro4FW!M178</f>
        <v>800</v>
      </c>
      <c r="D172" s="5" t="n">
        <f aca="false">PostPro4FW!H178+PostPro4FW!I178</f>
        <v>1700</v>
      </c>
      <c r="E172" s="5" t="n">
        <f aca="false">PostPro4FW!S178</f>
        <v>800</v>
      </c>
      <c r="F172" s="5" t="n">
        <f aca="false">PostPro4FW!Q178</f>
        <v>0</v>
      </c>
      <c r="G172" s="0" t="n">
        <f aca="false">PostPro4FW!R178</f>
        <v>0</v>
      </c>
    </row>
    <row r="173" customFormat="false" ht="14.35" hidden="false" customHeight="false" outlineLevel="0" collapsed="false">
      <c r="A173" s="4" t="n">
        <v>13180</v>
      </c>
      <c r="B173" s="5" t="n">
        <f aca="false">PostPro4FW!H179</f>
        <v>1700</v>
      </c>
      <c r="C173" s="5" t="n">
        <f aca="false">PostPro4FW!M179</f>
        <v>800</v>
      </c>
      <c r="D173" s="5" t="n">
        <f aca="false">PostPro4FW!H179+PostPro4FW!I179</f>
        <v>1700</v>
      </c>
      <c r="E173" s="5" t="n">
        <f aca="false">PostPro4FW!S179</f>
        <v>800</v>
      </c>
      <c r="F173" s="5" t="n">
        <f aca="false">PostPro4FW!Q179</f>
        <v>0</v>
      </c>
      <c r="G173" s="0" t="n">
        <f aca="false">PostPro4FW!R179</f>
        <v>0</v>
      </c>
    </row>
    <row r="174" customFormat="false" ht="14.35" hidden="false" customHeight="false" outlineLevel="0" collapsed="false">
      <c r="A174" s="4" t="n">
        <v>13209</v>
      </c>
      <c r="B174" s="5" t="n">
        <f aca="false">PostPro4FW!H180</f>
        <v>1700</v>
      </c>
      <c r="C174" s="5" t="n">
        <f aca="false">PostPro4FW!M180</f>
        <v>800</v>
      </c>
      <c r="D174" s="5" t="n">
        <f aca="false">PostPro4FW!H180+PostPro4FW!I180</f>
        <v>1700</v>
      </c>
      <c r="E174" s="5" t="n">
        <f aca="false">PostPro4FW!S180</f>
        <v>1544.8275862069</v>
      </c>
      <c r="F174" s="5" t="n">
        <f aca="false">PostPro4FW!Q180</f>
        <v>1700</v>
      </c>
      <c r="G174" s="0" t="n">
        <f aca="false">PostPro4FW!R180</f>
        <v>24</v>
      </c>
    </row>
    <row r="175" customFormat="false" ht="14.35" hidden="false" customHeight="false" outlineLevel="0" collapsed="false">
      <c r="A175" s="4" t="n">
        <v>13240</v>
      </c>
      <c r="B175" s="5" t="n">
        <f aca="false">PostPro4FW!H181</f>
        <v>1700</v>
      </c>
      <c r="C175" s="5" t="n">
        <f aca="false">PostPro4FW!M181</f>
        <v>800</v>
      </c>
      <c r="D175" s="5" t="n">
        <f aca="false">PostPro4FW!H181+PostPro4FW!I181</f>
        <v>1700</v>
      </c>
      <c r="E175" s="5" t="n">
        <f aca="false">PostPro4FW!S181</f>
        <v>800</v>
      </c>
      <c r="F175" s="5" t="n">
        <f aca="false">PostPro4FW!Q181</f>
        <v>0</v>
      </c>
      <c r="G175" s="0" t="n">
        <f aca="false">PostPro4FW!R181</f>
        <v>0</v>
      </c>
    </row>
    <row r="176" customFormat="false" ht="14.35" hidden="false" customHeight="false" outlineLevel="0" collapsed="false">
      <c r="A176" s="4" t="n">
        <v>13270</v>
      </c>
      <c r="B176" s="5" t="n">
        <f aca="false">PostPro4FW!H182</f>
        <v>1000</v>
      </c>
      <c r="C176" s="5" t="n">
        <f aca="false">PostPro4FW!M182</f>
        <v>700</v>
      </c>
      <c r="D176" s="5" t="n">
        <f aca="false">PostPro4FW!H182+PostPro4FW!I182</f>
        <v>1420.13888888889</v>
      </c>
      <c r="E176" s="5" t="n">
        <f aca="false">PostPro4FW!S182</f>
        <v>700</v>
      </c>
      <c r="F176" s="5" t="n">
        <f aca="false">PostPro4FW!Q182</f>
        <v>0</v>
      </c>
      <c r="G176" s="0" t="n">
        <f aca="false">PostPro4FW!R182</f>
        <v>0</v>
      </c>
    </row>
    <row r="177" customFormat="false" ht="14.35" hidden="false" customHeight="false" outlineLevel="0" collapsed="false">
      <c r="A177" s="4" t="n">
        <v>13301</v>
      </c>
      <c r="B177" s="5" t="n">
        <f aca="false">PostPro4FW!H183</f>
        <v>1000</v>
      </c>
      <c r="C177" s="5" t="n">
        <f aca="false">PostPro4FW!M183</f>
        <v>700</v>
      </c>
      <c r="D177" s="5" t="n">
        <f aca="false">PostPro4FW!H183+PostPro4FW!I183</f>
        <v>1406.58602150538</v>
      </c>
      <c r="E177" s="5" t="n">
        <f aca="false">PostPro4FW!S183</f>
        <v>700</v>
      </c>
      <c r="F177" s="5" t="n">
        <f aca="false">PostPro4FW!Q183</f>
        <v>0</v>
      </c>
      <c r="G177" s="0" t="n">
        <f aca="false">PostPro4FW!R183</f>
        <v>0</v>
      </c>
    </row>
    <row r="178" customFormat="false" ht="14.35" hidden="false" customHeight="false" outlineLevel="0" collapsed="false">
      <c r="A178" s="4" t="n">
        <v>13331</v>
      </c>
      <c r="B178" s="5" t="n">
        <f aca="false">PostPro4FW!H184</f>
        <v>1000</v>
      </c>
      <c r="C178" s="5" t="n">
        <f aca="false">PostPro4FW!M184</f>
        <v>700</v>
      </c>
      <c r="D178" s="5" t="n">
        <f aca="false">PostPro4FW!H184+PostPro4FW!I184</f>
        <v>1000</v>
      </c>
      <c r="E178" s="5" t="n">
        <f aca="false">PostPro4FW!S184</f>
        <v>700</v>
      </c>
      <c r="F178" s="5" t="n">
        <f aca="false">PostPro4FW!Q184</f>
        <v>0</v>
      </c>
      <c r="G178" s="0" t="n">
        <f aca="false">PostPro4FW!R184</f>
        <v>0</v>
      </c>
    </row>
    <row r="179" customFormat="false" ht="14.35" hidden="false" customHeight="false" outlineLevel="0" collapsed="false">
      <c r="A179" s="4" t="n">
        <v>13362</v>
      </c>
      <c r="B179" s="5" t="n">
        <f aca="false">PostPro4FW!H185</f>
        <v>8228.93978053922</v>
      </c>
      <c r="C179" s="5" t="n">
        <f aca="false">PostPro4FW!M185</f>
        <v>700</v>
      </c>
      <c r="D179" s="5" t="n">
        <f aca="false">PostPro4FW!H185+PostPro4FW!I185</f>
        <v>8228.93978053922</v>
      </c>
      <c r="E179" s="5" t="n">
        <f aca="false">PostPro4FW!S185</f>
        <v>700</v>
      </c>
      <c r="F179" s="5" t="n">
        <f aca="false">PostPro4FW!Q185</f>
        <v>0</v>
      </c>
      <c r="G179" s="0" t="n">
        <f aca="false">PostPro4FW!R185</f>
        <v>0</v>
      </c>
    </row>
    <row r="180" customFormat="false" ht="14.35" hidden="false" customHeight="false" outlineLevel="0" collapsed="false">
      <c r="A180" s="4" t="n">
        <v>13393</v>
      </c>
      <c r="B180" s="5" t="n">
        <f aca="false">PostPro4FW!H186</f>
        <v>7781.96255156381</v>
      </c>
      <c r="C180" s="5" t="n">
        <f aca="false">PostPro4FW!M186</f>
        <v>700</v>
      </c>
      <c r="D180" s="5" t="n">
        <f aca="false">PostPro4FW!H186+PostPro4FW!I186</f>
        <v>7781.96255156381</v>
      </c>
      <c r="E180" s="5" t="n">
        <f aca="false">PostPro4FW!S186</f>
        <v>700</v>
      </c>
      <c r="F180" s="5" t="n">
        <f aca="false">PostPro4FW!Q186</f>
        <v>0</v>
      </c>
      <c r="G180" s="0" t="n">
        <f aca="false">PostPro4FW!R186</f>
        <v>0</v>
      </c>
    </row>
    <row r="181" customFormat="false" ht="14.35" hidden="false" customHeight="false" outlineLevel="0" collapsed="false">
      <c r="A181" s="4" t="n">
        <v>13423</v>
      </c>
      <c r="B181" s="5" t="n">
        <f aca="false">PostPro4FW!H187</f>
        <v>5802.94371119681</v>
      </c>
      <c r="C181" s="5" t="n">
        <f aca="false">PostPro4FW!M187</f>
        <v>773.3333333</v>
      </c>
      <c r="D181" s="5" t="n">
        <f aca="false">PostPro4FW!H187+PostPro4FW!I187</f>
        <v>5802.94371119681</v>
      </c>
      <c r="E181" s="5" t="n">
        <f aca="false">PostPro4FW!S187</f>
        <v>773.3333333</v>
      </c>
      <c r="F181" s="5" t="n">
        <f aca="false">PostPro4FW!Q187</f>
        <v>0</v>
      </c>
      <c r="G181" s="0" t="n">
        <f aca="false">PostPro4FW!R187</f>
        <v>0</v>
      </c>
    </row>
    <row r="182" customFormat="false" ht="14.35" hidden="false" customHeight="false" outlineLevel="0" collapsed="false">
      <c r="A182" s="4" t="n">
        <v>13454</v>
      </c>
      <c r="B182" s="5" t="n">
        <f aca="false">PostPro4FW!H188</f>
        <v>3705.44725625414</v>
      </c>
      <c r="C182" s="5" t="n">
        <f aca="false">PostPro4FW!M188</f>
        <v>800</v>
      </c>
      <c r="D182" s="5" t="n">
        <f aca="false">PostPro4FW!H188+PostPro4FW!I188</f>
        <v>3705.44725625414</v>
      </c>
      <c r="E182" s="5" t="n">
        <f aca="false">PostPro4FW!S188</f>
        <v>800</v>
      </c>
      <c r="F182" s="5" t="n">
        <f aca="false">PostPro4FW!Q188</f>
        <v>0</v>
      </c>
      <c r="G182" s="0" t="n">
        <f aca="false">PostPro4FW!R188</f>
        <v>0</v>
      </c>
    </row>
    <row r="183" customFormat="false" ht="14.35" hidden="false" customHeight="false" outlineLevel="0" collapsed="false">
      <c r="A183" s="4" t="n">
        <v>13484</v>
      </c>
      <c r="B183" s="5" t="n">
        <f aca="false">PostPro4FW!H189</f>
        <v>1700</v>
      </c>
      <c r="C183" s="5" t="n">
        <f aca="false">PostPro4FW!M189</f>
        <v>800</v>
      </c>
      <c r="D183" s="5" t="n">
        <f aca="false">PostPro4FW!H189+PostPro4FW!I189</f>
        <v>1700</v>
      </c>
      <c r="E183" s="5" t="n">
        <f aca="false">PostPro4FW!S189</f>
        <v>800</v>
      </c>
      <c r="F183" s="5" t="n">
        <f aca="false">PostPro4FW!Q189</f>
        <v>0</v>
      </c>
      <c r="G183" s="0" t="n">
        <f aca="false">PostPro4FW!R189</f>
        <v>0</v>
      </c>
    </row>
    <row r="184" customFormat="false" ht="14.35" hidden="false" customHeight="false" outlineLevel="0" collapsed="false">
      <c r="A184" s="4" t="n">
        <v>13515</v>
      </c>
      <c r="B184" s="5" t="n">
        <f aca="false">PostPro4FW!H190</f>
        <v>1700</v>
      </c>
      <c r="C184" s="5" t="n">
        <f aca="false">PostPro4FW!M190</f>
        <v>800</v>
      </c>
      <c r="D184" s="5" t="n">
        <f aca="false">PostPro4FW!H190+PostPro4FW!I190</f>
        <v>1700</v>
      </c>
      <c r="E184" s="5" t="n">
        <f aca="false">PostPro4FW!S190</f>
        <v>800</v>
      </c>
      <c r="F184" s="5" t="n">
        <f aca="false">PostPro4FW!Q190</f>
        <v>0</v>
      </c>
      <c r="G184" s="0" t="n">
        <f aca="false">PostPro4FW!R190</f>
        <v>0</v>
      </c>
    </row>
    <row r="185" customFormat="false" ht="14.35" hidden="false" customHeight="false" outlineLevel="0" collapsed="false">
      <c r="A185" s="4" t="n">
        <v>13546</v>
      </c>
      <c r="B185" s="5" t="n">
        <f aca="false">PostPro4FW!H191</f>
        <v>1700</v>
      </c>
      <c r="C185" s="5" t="n">
        <f aca="false">PostPro4FW!M191</f>
        <v>800</v>
      </c>
      <c r="D185" s="5" t="n">
        <f aca="false">PostPro4FW!H191+PostPro4FW!I191</f>
        <v>1700</v>
      </c>
      <c r="E185" s="5" t="n">
        <f aca="false">PostPro4FW!S191</f>
        <v>800</v>
      </c>
      <c r="F185" s="5" t="n">
        <f aca="false">PostPro4FW!Q191</f>
        <v>0</v>
      </c>
      <c r="G185" s="0" t="n">
        <f aca="false">PostPro4FW!R191</f>
        <v>0</v>
      </c>
    </row>
    <row r="186" customFormat="false" ht="14.35" hidden="false" customHeight="false" outlineLevel="0" collapsed="false">
      <c r="A186" s="4" t="n">
        <v>13574</v>
      </c>
      <c r="B186" s="5" t="n">
        <f aca="false">PostPro4FW!H192</f>
        <v>1700</v>
      </c>
      <c r="C186" s="5" t="n">
        <f aca="false">PostPro4FW!M192</f>
        <v>800</v>
      </c>
      <c r="D186" s="5" t="n">
        <f aca="false">PostPro4FW!H192+PostPro4FW!I192</f>
        <v>1700</v>
      </c>
      <c r="E186" s="5" t="n">
        <f aca="false">PostPro4FW!S192</f>
        <v>1571.42857142857</v>
      </c>
      <c r="F186" s="5" t="n">
        <f aca="false">PostPro4FW!Q192</f>
        <v>1700</v>
      </c>
      <c r="G186" s="0" t="n">
        <f aca="false">PostPro4FW!R192</f>
        <v>24</v>
      </c>
    </row>
    <row r="187" customFormat="false" ht="14.35" hidden="false" customHeight="false" outlineLevel="0" collapsed="false">
      <c r="A187" s="4" t="n">
        <v>13605</v>
      </c>
      <c r="B187" s="5" t="n">
        <f aca="false">PostPro4FW!H193</f>
        <v>1700</v>
      </c>
      <c r="C187" s="5" t="n">
        <f aca="false">PostPro4FW!M193</f>
        <v>800</v>
      </c>
      <c r="D187" s="5" t="n">
        <f aca="false">PostPro4FW!H193+PostPro4FW!I193</f>
        <v>1700</v>
      </c>
      <c r="E187" s="5" t="n">
        <f aca="false">PostPro4FW!S193</f>
        <v>800</v>
      </c>
      <c r="F187" s="5" t="n">
        <f aca="false">PostPro4FW!Q193</f>
        <v>0</v>
      </c>
      <c r="G187" s="0" t="n">
        <f aca="false">PostPro4FW!R193</f>
        <v>0</v>
      </c>
    </row>
    <row r="188" customFormat="false" ht="14.35" hidden="false" customHeight="false" outlineLevel="0" collapsed="false">
      <c r="A188" s="4" t="n">
        <v>13635</v>
      </c>
      <c r="B188" s="5" t="n">
        <f aca="false">PostPro4FW!H194</f>
        <v>1000</v>
      </c>
      <c r="C188" s="5" t="n">
        <f aca="false">PostPro4FW!M194</f>
        <v>700</v>
      </c>
      <c r="D188" s="5" t="n">
        <f aca="false">PostPro4FW!H194+PostPro4FW!I194</f>
        <v>1420.13888888889</v>
      </c>
      <c r="E188" s="5" t="n">
        <f aca="false">PostPro4FW!S194</f>
        <v>700</v>
      </c>
      <c r="F188" s="5" t="n">
        <f aca="false">PostPro4FW!Q194</f>
        <v>0</v>
      </c>
      <c r="G188" s="0" t="n">
        <f aca="false">PostPro4FW!R194</f>
        <v>0</v>
      </c>
    </row>
    <row r="189" customFormat="false" ht="14.35" hidden="false" customHeight="false" outlineLevel="0" collapsed="false">
      <c r="A189" s="4" t="n">
        <v>13666</v>
      </c>
      <c r="B189" s="5" t="n">
        <f aca="false">PostPro4FW!H195</f>
        <v>1000</v>
      </c>
      <c r="C189" s="5" t="n">
        <f aca="false">PostPro4FW!M195</f>
        <v>700</v>
      </c>
      <c r="D189" s="5" t="n">
        <f aca="false">PostPro4FW!H195+PostPro4FW!I195</f>
        <v>1406.58602150538</v>
      </c>
      <c r="E189" s="5" t="n">
        <f aca="false">PostPro4FW!S195</f>
        <v>700</v>
      </c>
      <c r="F189" s="5" t="n">
        <f aca="false">PostPro4FW!Q195</f>
        <v>0</v>
      </c>
      <c r="G189" s="0" t="n">
        <f aca="false">PostPro4FW!R195</f>
        <v>0</v>
      </c>
    </row>
    <row r="190" customFormat="false" ht="14.35" hidden="false" customHeight="false" outlineLevel="0" collapsed="false">
      <c r="A190" s="4" t="n">
        <v>13696</v>
      </c>
      <c r="B190" s="5" t="n">
        <f aca="false">PostPro4FW!H196</f>
        <v>5945.48435268788</v>
      </c>
      <c r="C190" s="5" t="n">
        <f aca="false">PostPro4FW!M196</f>
        <v>700</v>
      </c>
      <c r="D190" s="5" t="n">
        <f aca="false">PostPro4FW!H196+PostPro4FW!I196</f>
        <v>5945.48435268788</v>
      </c>
      <c r="E190" s="5" t="n">
        <f aca="false">PostPro4FW!S196</f>
        <v>700</v>
      </c>
      <c r="F190" s="5" t="n">
        <f aca="false">PostPro4FW!Q196</f>
        <v>0</v>
      </c>
      <c r="G190" s="0" t="n">
        <f aca="false">PostPro4FW!R196</f>
        <v>0</v>
      </c>
    </row>
    <row r="191" customFormat="false" ht="14.35" hidden="false" customHeight="false" outlineLevel="0" collapsed="false">
      <c r="A191" s="4" t="n">
        <v>13727</v>
      </c>
      <c r="B191" s="5" t="n">
        <f aca="false">PostPro4FW!H197</f>
        <v>8338.00400572152</v>
      </c>
      <c r="C191" s="5" t="n">
        <f aca="false">PostPro4FW!M197</f>
        <v>700</v>
      </c>
      <c r="D191" s="5" t="n">
        <f aca="false">PostPro4FW!H197+PostPro4FW!I197</f>
        <v>8338.00400572152</v>
      </c>
      <c r="E191" s="5" t="n">
        <f aca="false">PostPro4FW!S197</f>
        <v>700</v>
      </c>
      <c r="F191" s="5" t="n">
        <f aca="false">PostPro4FW!Q197</f>
        <v>0</v>
      </c>
      <c r="G191" s="0" t="n">
        <f aca="false">PostPro4FW!R197</f>
        <v>0</v>
      </c>
    </row>
    <row r="192" customFormat="false" ht="14.35" hidden="false" customHeight="false" outlineLevel="0" collapsed="false">
      <c r="A192" s="4" t="n">
        <v>13758</v>
      </c>
      <c r="B192" s="5" t="n">
        <f aca="false">PostPro4FW!H198</f>
        <v>3858.51400255123</v>
      </c>
      <c r="C192" s="5" t="n">
        <f aca="false">PostPro4FW!M198</f>
        <v>700</v>
      </c>
      <c r="D192" s="5" t="n">
        <f aca="false">PostPro4FW!H198+PostPro4FW!I198</f>
        <v>3858.51400255123</v>
      </c>
      <c r="E192" s="5" t="n">
        <f aca="false">PostPro4FW!S198</f>
        <v>700</v>
      </c>
      <c r="F192" s="5" t="n">
        <f aca="false">PostPro4FW!Q198</f>
        <v>0</v>
      </c>
      <c r="G192" s="0" t="n">
        <f aca="false">PostPro4FW!R198</f>
        <v>0</v>
      </c>
    </row>
    <row r="193" customFormat="false" ht="14.35" hidden="false" customHeight="false" outlineLevel="0" collapsed="false">
      <c r="A193" s="4" t="n">
        <v>13788</v>
      </c>
      <c r="B193" s="5" t="n">
        <f aca="false">PostPro4FW!H199</f>
        <v>1124.07643934869</v>
      </c>
      <c r="C193" s="5" t="n">
        <f aca="false">PostPro4FW!M199</f>
        <v>773.3333333</v>
      </c>
      <c r="D193" s="5" t="n">
        <f aca="false">PostPro4FW!H199+PostPro4FW!I199</f>
        <v>1124.07643934869</v>
      </c>
      <c r="E193" s="5" t="n">
        <f aca="false">PostPro4FW!S199</f>
        <v>773.3333333</v>
      </c>
      <c r="F193" s="5" t="n">
        <f aca="false">PostPro4FW!Q199</f>
        <v>0</v>
      </c>
      <c r="G193" s="0" t="n">
        <f aca="false">PostPro4FW!R199</f>
        <v>0</v>
      </c>
    </row>
    <row r="194" customFormat="false" ht="14.35" hidden="false" customHeight="false" outlineLevel="0" collapsed="false">
      <c r="A194" s="4" t="n">
        <v>13819</v>
      </c>
      <c r="B194" s="5" t="n">
        <f aca="false">PostPro4FW!H200</f>
        <v>1700</v>
      </c>
      <c r="C194" s="5" t="n">
        <f aca="false">PostPro4FW!M200</f>
        <v>800</v>
      </c>
      <c r="D194" s="5" t="n">
        <f aca="false">PostPro4FW!H200+PostPro4FW!I200</f>
        <v>1700</v>
      </c>
      <c r="E194" s="5" t="n">
        <f aca="false">PostPro4FW!S200</f>
        <v>800</v>
      </c>
      <c r="F194" s="5" t="n">
        <f aca="false">PostPro4FW!Q200</f>
        <v>0</v>
      </c>
      <c r="G194" s="0" t="n">
        <f aca="false">PostPro4FW!R200</f>
        <v>0</v>
      </c>
    </row>
    <row r="195" customFormat="false" ht="14.35" hidden="false" customHeight="false" outlineLevel="0" collapsed="false">
      <c r="A195" s="4" t="n">
        <v>13849</v>
      </c>
      <c r="B195" s="5" t="n">
        <f aca="false">PostPro4FW!H201</f>
        <v>1700</v>
      </c>
      <c r="C195" s="5" t="n">
        <f aca="false">PostPro4FW!M201</f>
        <v>800</v>
      </c>
      <c r="D195" s="5" t="n">
        <f aca="false">PostPro4FW!H201+PostPro4FW!I201</f>
        <v>1700</v>
      </c>
      <c r="E195" s="5" t="n">
        <f aca="false">PostPro4FW!S201</f>
        <v>800</v>
      </c>
      <c r="F195" s="5" t="n">
        <f aca="false">PostPro4FW!Q201</f>
        <v>0</v>
      </c>
      <c r="G195" s="0" t="n">
        <f aca="false">PostPro4FW!R201</f>
        <v>0</v>
      </c>
    </row>
    <row r="196" customFormat="false" ht="14.35" hidden="false" customHeight="false" outlineLevel="0" collapsed="false">
      <c r="A196" s="4" t="n">
        <v>13880</v>
      </c>
      <c r="B196" s="5" t="n">
        <f aca="false">PostPro4FW!H202</f>
        <v>1700</v>
      </c>
      <c r="C196" s="5" t="n">
        <f aca="false">PostPro4FW!M202</f>
        <v>800</v>
      </c>
      <c r="D196" s="5" t="n">
        <f aca="false">PostPro4FW!H202+PostPro4FW!I202</f>
        <v>1700</v>
      </c>
      <c r="E196" s="5" t="n">
        <f aca="false">PostPro4FW!S202</f>
        <v>800</v>
      </c>
      <c r="F196" s="5" t="n">
        <f aca="false">PostPro4FW!Q202</f>
        <v>0</v>
      </c>
      <c r="G196" s="0" t="n">
        <f aca="false">PostPro4FW!R202</f>
        <v>0</v>
      </c>
    </row>
    <row r="197" customFormat="false" ht="14.35" hidden="false" customHeight="false" outlineLevel="0" collapsed="false">
      <c r="A197" s="4" t="n">
        <v>13911</v>
      </c>
      <c r="B197" s="5" t="n">
        <f aca="false">PostPro4FW!H203</f>
        <v>1700</v>
      </c>
      <c r="C197" s="5" t="n">
        <f aca="false">PostPro4FW!M203</f>
        <v>800</v>
      </c>
      <c r="D197" s="5" t="n">
        <f aca="false">PostPro4FW!H203+PostPro4FW!I203</f>
        <v>1700</v>
      </c>
      <c r="E197" s="5" t="n">
        <f aca="false">PostPro4FW!S203</f>
        <v>800</v>
      </c>
      <c r="F197" s="5" t="n">
        <f aca="false">PostPro4FW!Q203</f>
        <v>0</v>
      </c>
      <c r="G197" s="0" t="n">
        <f aca="false">PostPro4FW!R203</f>
        <v>0</v>
      </c>
    </row>
    <row r="198" customFormat="false" ht="14.35" hidden="false" customHeight="false" outlineLevel="0" collapsed="false">
      <c r="A198" s="4" t="n">
        <v>13939</v>
      </c>
      <c r="B198" s="5" t="n">
        <f aca="false">PostPro4FW!H204</f>
        <v>5353.23497244852</v>
      </c>
      <c r="C198" s="5" t="n">
        <f aca="false">PostPro4FW!M204</f>
        <v>800</v>
      </c>
      <c r="D198" s="5" t="n">
        <f aca="false">PostPro4FW!H204+PostPro4FW!I204</f>
        <v>5353.23497244852</v>
      </c>
      <c r="E198" s="5" t="n">
        <f aca="false">PostPro4FW!S204</f>
        <v>800</v>
      </c>
      <c r="F198" s="5" t="n">
        <f aca="false">PostPro4FW!Q204</f>
        <v>0</v>
      </c>
      <c r="G198" s="0" t="n">
        <f aca="false">PostPro4FW!R204</f>
        <v>0</v>
      </c>
    </row>
    <row r="199" customFormat="false" ht="14.35" hidden="false" customHeight="false" outlineLevel="0" collapsed="false">
      <c r="A199" s="4" t="n">
        <v>13970</v>
      </c>
      <c r="B199" s="5" t="n">
        <f aca="false">PostPro4FW!H205</f>
        <v>19362.9883846221</v>
      </c>
      <c r="C199" s="5" t="n">
        <f aca="false">PostPro4FW!M205</f>
        <v>800</v>
      </c>
      <c r="D199" s="5" t="n">
        <f aca="false">PostPro4FW!H205+PostPro4FW!I205</f>
        <v>19362.9883846221</v>
      </c>
      <c r="E199" s="5" t="n">
        <f aca="false">PostPro4FW!S205</f>
        <v>800</v>
      </c>
      <c r="F199" s="5" t="n">
        <f aca="false">PostPro4FW!Q205</f>
        <v>0</v>
      </c>
      <c r="G199" s="0" t="n">
        <f aca="false">PostPro4FW!R205</f>
        <v>0</v>
      </c>
    </row>
    <row r="200" customFormat="false" ht="14.35" hidden="false" customHeight="false" outlineLevel="0" collapsed="false">
      <c r="A200" s="4" t="n">
        <v>14000</v>
      </c>
      <c r="B200" s="5" t="n">
        <f aca="false">PostPro4FW!H206</f>
        <v>13116.3148656956</v>
      </c>
      <c r="C200" s="5" t="n">
        <f aca="false">PostPro4FW!M206</f>
        <v>700</v>
      </c>
      <c r="D200" s="5" t="n">
        <f aca="false">PostPro4FW!H206+PostPro4FW!I206</f>
        <v>13116.3148656956</v>
      </c>
      <c r="E200" s="5" t="n">
        <f aca="false">PostPro4FW!S206</f>
        <v>700</v>
      </c>
      <c r="F200" s="5" t="n">
        <f aca="false">PostPro4FW!Q206</f>
        <v>0</v>
      </c>
      <c r="G200" s="0" t="n">
        <f aca="false">PostPro4FW!R206</f>
        <v>0</v>
      </c>
    </row>
    <row r="201" customFormat="false" ht="14.35" hidden="false" customHeight="false" outlineLevel="0" collapsed="false">
      <c r="A201" s="4" t="n">
        <v>14031</v>
      </c>
      <c r="B201" s="5" t="n">
        <f aca="false">PostPro4FW!H207</f>
        <v>17332.7098214883</v>
      </c>
      <c r="C201" s="5" t="n">
        <f aca="false">PostPro4FW!M207</f>
        <v>700</v>
      </c>
      <c r="D201" s="5" t="n">
        <f aca="false">PostPro4FW!H207+PostPro4FW!I207</f>
        <v>17332.7098214883</v>
      </c>
      <c r="E201" s="5" t="n">
        <f aca="false">PostPro4FW!S207</f>
        <v>700</v>
      </c>
      <c r="F201" s="5" t="n">
        <f aca="false">PostPro4FW!Q207</f>
        <v>0</v>
      </c>
      <c r="G201" s="0" t="n">
        <f aca="false">PostPro4FW!R207</f>
        <v>0</v>
      </c>
    </row>
    <row r="202" customFormat="false" ht="14.35" hidden="false" customHeight="false" outlineLevel="0" collapsed="false">
      <c r="A202" s="4" t="n">
        <v>14061</v>
      </c>
      <c r="B202" s="5" t="n">
        <f aca="false">PostPro4FW!H208</f>
        <v>8203.28438192461</v>
      </c>
      <c r="C202" s="5" t="n">
        <f aca="false">PostPro4FW!M208</f>
        <v>700</v>
      </c>
      <c r="D202" s="5" t="n">
        <f aca="false">PostPro4FW!H208+PostPro4FW!I208</f>
        <v>8203.28438192461</v>
      </c>
      <c r="E202" s="5" t="n">
        <f aca="false">PostPro4FW!S208</f>
        <v>700</v>
      </c>
      <c r="F202" s="5" t="n">
        <f aca="false">PostPro4FW!Q208</f>
        <v>0</v>
      </c>
      <c r="G202" s="0" t="n">
        <f aca="false">PostPro4FW!R208</f>
        <v>0</v>
      </c>
    </row>
    <row r="203" customFormat="false" ht="14.35" hidden="false" customHeight="false" outlineLevel="0" collapsed="false">
      <c r="A203" s="4" t="n">
        <v>14092</v>
      </c>
      <c r="B203" s="5" t="n">
        <f aca="false">PostPro4FW!H209</f>
        <v>3995.94086106413</v>
      </c>
      <c r="C203" s="5" t="n">
        <f aca="false">PostPro4FW!M209</f>
        <v>700</v>
      </c>
      <c r="D203" s="5" t="n">
        <f aca="false">PostPro4FW!H209+PostPro4FW!I209</f>
        <v>3995.94086106413</v>
      </c>
      <c r="E203" s="5" t="n">
        <f aca="false">PostPro4FW!S209</f>
        <v>700</v>
      </c>
      <c r="F203" s="5" t="n">
        <f aca="false">PostPro4FW!Q209</f>
        <v>0</v>
      </c>
      <c r="G203" s="0" t="n">
        <f aca="false">PostPro4FW!R209</f>
        <v>0</v>
      </c>
    </row>
    <row r="204" customFormat="false" ht="14.35" hidden="false" customHeight="false" outlineLevel="0" collapsed="false">
      <c r="A204" s="4" t="n">
        <v>14123</v>
      </c>
      <c r="B204" s="5" t="n">
        <f aca="false">PostPro4FW!H210</f>
        <v>3946.02852164116</v>
      </c>
      <c r="C204" s="5" t="n">
        <f aca="false">PostPro4FW!M210</f>
        <v>700</v>
      </c>
      <c r="D204" s="5" t="n">
        <f aca="false">PostPro4FW!H210+PostPro4FW!I210</f>
        <v>3946.02852164116</v>
      </c>
      <c r="E204" s="5" t="n">
        <f aca="false">PostPro4FW!S210</f>
        <v>700</v>
      </c>
      <c r="F204" s="5" t="n">
        <f aca="false">PostPro4FW!Q210</f>
        <v>0</v>
      </c>
      <c r="G204" s="0" t="n">
        <f aca="false">PostPro4FW!R210</f>
        <v>0</v>
      </c>
    </row>
    <row r="205" customFormat="false" ht="14.35" hidden="false" customHeight="false" outlineLevel="0" collapsed="false">
      <c r="A205" s="4" t="n">
        <v>14153</v>
      </c>
      <c r="B205" s="5" t="n">
        <f aca="false">PostPro4FW!H211</f>
        <v>9797.16567993164</v>
      </c>
      <c r="C205" s="5" t="n">
        <f aca="false">PostPro4FW!M211</f>
        <v>773.3333333</v>
      </c>
      <c r="D205" s="5" t="n">
        <f aca="false">PostPro4FW!H211+PostPro4FW!I211</f>
        <v>9797.16567993164</v>
      </c>
      <c r="E205" s="5" t="n">
        <f aca="false">PostPro4FW!S211</f>
        <v>773.3333333</v>
      </c>
      <c r="F205" s="5" t="n">
        <f aca="false">PostPro4FW!Q211</f>
        <v>0</v>
      </c>
      <c r="G205" s="0" t="n">
        <f aca="false">PostPro4FW!R211</f>
        <v>0</v>
      </c>
    </row>
    <row r="206" customFormat="false" ht="14.35" hidden="false" customHeight="false" outlineLevel="0" collapsed="false">
      <c r="A206" s="4" t="n">
        <v>14184</v>
      </c>
      <c r="B206" s="5" t="n">
        <f aca="false">PostPro4FW!H212</f>
        <v>4000</v>
      </c>
      <c r="C206" s="5" t="n">
        <f aca="false">PostPro4FW!M212</f>
        <v>800</v>
      </c>
      <c r="D206" s="5" t="n">
        <f aca="false">PostPro4FW!H212+PostPro4FW!I212</f>
        <v>4000</v>
      </c>
      <c r="E206" s="5" t="n">
        <f aca="false">PostPro4FW!S212</f>
        <v>800</v>
      </c>
      <c r="F206" s="5" t="n">
        <f aca="false">PostPro4FW!Q212</f>
        <v>0</v>
      </c>
      <c r="G206" s="0" t="n">
        <f aca="false">PostPro4FW!R212</f>
        <v>0</v>
      </c>
    </row>
    <row r="207" customFormat="false" ht="14.35" hidden="false" customHeight="false" outlineLevel="0" collapsed="false">
      <c r="A207" s="4" t="n">
        <v>14214</v>
      </c>
      <c r="B207" s="5" t="n">
        <f aca="false">PostPro4FW!H213</f>
        <v>2500</v>
      </c>
      <c r="C207" s="5" t="n">
        <f aca="false">PostPro4FW!M213</f>
        <v>800</v>
      </c>
      <c r="D207" s="5" t="n">
        <f aca="false">PostPro4FW!H213+PostPro4FW!I213</f>
        <v>2500</v>
      </c>
      <c r="E207" s="5" t="n">
        <f aca="false">PostPro4FW!S213</f>
        <v>800</v>
      </c>
      <c r="F207" s="5" t="n">
        <f aca="false">PostPro4FW!Q213</f>
        <v>0</v>
      </c>
      <c r="G207" s="0" t="n">
        <f aca="false">PostPro4FW!R213</f>
        <v>0</v>
      </c>
    </row>
    <row r="208" customFormat="false" ht="14.35" hidden="false" customHeight="false" outlineLevel="0" collapsed="false">
      <c r="A208" s="4" t="n">
        <v>14245</v>
      </c>
      <c r="B208" s="5" t="n">
        <f aca="false">PostPro4FW!H214</f>
        <v>4112.87766530275</v>
      </c>
      <c r="C208" s="5" t="n">
        <f aca="false">PostPro4FW!M214</f>
        <v>800</v>
      </c>
      <c r="D208" s="5" t="n">
        <f aca="false">PostPro4FW!H214+PostPro4FW!I214</f>
        <v>4112.87766530275</v>
      </c>
      <c r="E208" s="5" t="n">
        <f aca="false">PostPro4FW!S214</f>
        <v>800</v>
      </c>
      <c r="F208" s="5" t="n">
        <f aca="false">PostPro4FW!Q214</f>
        <v>0</v>
      </c>
      <c r="G208" s="0" t="n">
        <f aca="false">PostPro4FW!R214</f>
        <v>0</v>
      </c>
    </row>
    <row r="209" customFormat="false" ht="14.35" hidden="false" customHeight="false" outlineLevel="0" collapsed="false">
      <c r="A209" s="4" t="n">
        <v>14276</v>
      </c>
      <c r="B209" s="5" t="n">
        <f aca="false">PostPro4FW!H215</f>
        <v>1700</v>
      </c>
      <c r="C209" s="5" t="n">
        <f aca="false">PostPro4FW!M215</f>
        <v>800</v>
      </c>
      <c r="D209" s="5" t="n">
        <f aca="false">PostPro4FW!H215+PostPro4FW!I215</f>
        <v>1700</v>
      </c>
      <c r="E209" s="5" t="n">
        <f aca="false">PostPro4FW!S215</f>
        <v>800</v>
      </c>
      <c r="F209" s="5" t="n">
        <f aca="false">PostPro4FW!Q215</f>
        <v>0</v>
      </c>
      <c r="G209" s="0" t="n">
        <f aca="false">PostPro4FW!R215</f>
        <v>0</v>
      </c>
    </row>
    <row r="210" customFormat="false" ht="14.35" hidden="false" customHeight="false" outlineLevel="0" collapsed="false">
      <c r="A210" s="4" t="n">
        <v>14304</v>
      </c>
      <c r="B210" s="5" t="n">
        <f aca="false">PostPro4FW!H216</f>
        <v>1700</v>
      </c>
      <c r="C210" s="5" t="n">
        <f aca="false">PostPro4FW!M216</f>
        <v>800</v>
      </c>
      <c r="D210" s="5" t="n">
        <f aca="false">PostPro4FW!H216+PostPro4FW!I216</f>
        <v>1700</v>
      </c>
      <c r="E210" s="5" t="n">
        <f aca="false">PostPro4FW!S216</f>
        <v>1571.42857142857</v>
      </c>
      <c r="F210" s="5" t="n">
        <f aca="false">PostPro4FW!Q216</f>
        <v>1700</v>
      </c>
      <c r="G210" s="0" t="n">
        <f aca="false">PostPro4FW!R216</f>
        <v>24</v>
      </c>
    </row>
    <row r="211" customFormat="false" ht="14.35" hidden="false" customHeight="false" outlineLevel="0" collapsed="false">
      <c r="A211" s="4" t="n">
        <v>14335</v>
      </c>
      <c r="B211" s="5" t="n">
        <f aca="false">PostPro4FW!H217</f>
        <v>1700</v>
      </c>
      <c r="C211" s="5" t="n">
        <f aca="false">PostPro4FW!M217</f>
        <v>800</v>
      </c>
      <c r="D211" s="5" t="n">
        <f aca="false">PostPro4FW!H217+PostPro4FW!I217</f>
        <v>1700</v>
      </c>
      <c r="E211" s="5" t="n">
        <f aca="false">PostPro4FW!S217</f>
        <v>800</v>
      </c>
      <c r="F211" s="5" t="n">
        <f aca="false">PostPro4FW!Q217</f>
        <v>0</v>
      </c>
      <c r="G211" s="0" t="n">
        <f aca="false">PostPro4FW!R217</f>
        <v>0</v>
      </c>
    </row>
    <row r="212" customFormat="false" ht="14.35" hidden="false" customHeight="false" outlineLevel="0" collapsed="false">
      <c r="A212" s="4" t="n">
        <v>14365</v>
      </c>
      <c r="B212" s="5" t="n">
        <f aca="false">PostPro4FW!H218</f>
        <v>2709.12899431731</v>
      </c>
      <c r="C212" s="5" t="n">
        <f aca="false">PostPro4FW!M218</f>
        <v>700</v>
      </c>
      <c r="D212" s="5" t="n">
        <f aca="false">PostPro4FW!H218+PostPro4FW!I218</f>
        <v>3129.2678832062</v>
      </c>
      <c r="E212" s="5" t="n">
        <f aca="false">PostPro4FW!S218</f>
        <v>700</v>
      </c>
      <c r="F212" s="5" t="n">
        <f aca="false">PostPro4FW!Q218</f>
        <v>0</v>
      </c>
      <c r="G212" s="0" t="n">
        <f aca="false">PostPro4FW!R218</f>
        <v>0</v>
      </c>
    </row>
    <row r="213" customFormat="false" ht="14.35" hidden="false" customHeight="false" outlineLevel="0" collapsed="false">
      <c r="A213" s="4" t="n">
        <v>14396</v>
      </c>
      <c r="B213" s="5" t="n">
        <f aca="false">PostPro4FW!H219</f>
        <v>3434.72745939063</v>
      </c>
      <c r="C213" s="5" t="n">
        <f aca="false">PostPro4FW!M219</f>
        <v>700</v>
      </c>
      <c r="D213" s="5" t="n">
        <f aca="false">PostPro4FW!H219+PostPro4FW!I219</f>
        <v>3841.313480896</v>
      </c>
      <c r="E213" s="5" t="n">
        <f aca="false">PostPro4FW!S219</f>
        <v>700</v>
      </c>
      <c r="F213" s="5" t="n">
        <f aca="false">PostPro4FW!Q219</f>
        <v>0</v>
      </c>
      <c r="G213" s="0" t="n">
        <f aca="false">PostPro4FW!R219</f>
        <v>0</v>
      </c>
    </row>
    <row r="214" customFormat="false" ht="14.35" hidden="false" customHeight="false" outlineLevel="0" collapsed="false">
      <c r="A214" s="4" t="n">
        <v>14426</v>
      </c>
      <c r="B214" s="5" t="n">
        <f aca="false">PostPro4FW!H220</f>
        <v>5042.66371769336</v>
      </c>
      <c r="C214" s="5" t="n">
        <f aca="false">PostPro4FW!M220</f>
        <v>700</v>
      </c>
      <c r="D214" s="5" t="n">
        <f aca="false">PostPro4FW!H220+PostPro4FW!I220</f>
        <v>5042.66371769336</v>
      </c>
      <c r="E214" s="5" t="n">
        <f aca="false">PostPro4FW!S220</f>
        <v>700</v>
      </c>
      <c r="F214" s="5" t="n">
        <f aca="false">PostPro4FW!Q220</f>
        <v>0</v>
      </c>
      <c r="G214" s="0" t="n">
        <f aca="false">PostPro4FW!R220</f>
        <v>0</v>
      </c>
    </row>
    <row r="215" customFormat="false" ht="14.35" hidden="false" customHeight="false" outlineLevel="0" collapsed="false">
      <c r="A215" s="4" t="n">
        <v>14457</v>
      </c>
      <c r="B215" s="5" t="n">
        <f aca="false">PostPro4FW!H221</f>
        <v>7238.29840748791</v>
      </c>
      <c r="C215" s="5" t="n">
        <f aca="false">PostPro4FW!M221</f>
        <v>700</v>
      </c>
      <c r="D215" s="5" t="n">
        <f aca="false">PostPro4FW!H221+PostPro4FW!I221</f>
        <v>7238.29840748791</v>
      </c>
      <c r="E215" s="5" t="n">
        <f aca="false">PostPro4FW!S221</f>
        <v>700</v>
      </c>
      <c r="F215" s="5" t="n">
        <f aca="false">PostPro4FW!Q221</f>
        <v>0</v>
      </c>
      <c r="G215" s="0" t="n">
        <f aca="false">PostPro4FW!R221</f>
        <v>0</v>
      </c>
    </row>
    <row r="216" customFormat="false" ht="14.35" hidden="false" customHeight="false" outlineLevel="0" collapsed="false">
      <c r="A216" s="4" t="n">
        <v>14488</v>
      </c>
      <c r="B216" s="5" t="n">
        <f aca="false">PostPro4FW!H222</f>
        <v>2583.91026643182</v>
      </c>
      <c r="C216" s="5" t="n">
        <f aca="false">PostPro4FW!M222</f>
        <v>700</v>
      </c>
      <c r="D216" s="5" t="n">
        <f aca="false">PostPro4FW!H222+PostPro4FW!I222</f>
        <v>2583.91026643182</v>
      </c>
      <c r="E216" s="5" t="n">
        <f aca="false">PostPro4FW!S222</f>
        <v>700</v>
      </c>
      <c r="F216" s="5" t="n">
        <f aca="false">PostPro4FW!Q222</f>
        <v>0</v>
      </c>
      <c r="G216" s="0" t="n">
        <f aca="false">PostPro4FW!R222</f>
        <v>0</v>
      </c>
    </row>
    <row r="217" customFormat="false" ht="14.35" hidden="false" customHeight="false" outlineLevel="0" collapsed="false">
      <c r="A217" s="4" t="n">
        <v>14518</v>
      </c>
      <c r="B217" s="5" t="n">
        <f aca="false">PostPro4FW!H223</f>
        <v>1000</v>
      </c>
      <c r="C217" s="5" t="n">
        <f aca="false">PostPro4FW!M223</f>
        <v>773.3333333</v>
      </c>
      <c r="D217" s="5" t="n">
        <f aca="false">PostPro4FW!H223+PostPro4FW!I223</f>
        <v>1000</v>
      </c>
      <c r="E217" s="5" t="n">
        <f aca="false">PostPro4FW!S223</f>
        <v>773.3333333</v>
      </c>
      <c r="F217" s="5" t="n">
        <f aca="false">PostPro4FW!Q223</f>
        <v>0</v>
      </c>
      <c r="G217" s="0" t="n">
        <f aca="false">PostPro4FW!R223</f>
        <v>0</v>
      </c>
    </row>
    <row r="218" customFormat="false" ht="14.35" hidden="false" customHeight="false" outlineLevel="0" collapsed="false">
      <c r="A218" s="4" t="n">
        <v>14549</v>
      </c>
      <c r="B218" s="5" t="n">
        <f aca="false">PostPro4FW!H224</f>
        <v>1200</v>
      </c>
      <c r="C218" s="5" t="n">
        <f aca="false">PostPro4FW!M224</f>
        <v>800</v>
      </c>
      <c r="D218" s="5" t="n">
        <f aca="false">PostPro4FW!H224+PostPro4FW!I224</f>
        <v>1200</v>
      </c>
      <c r="E218" s="5" t="n">
        <f aca="false">PostPro4FW!S224</f>
        <v>800</v>
      </c>
      <c r="F218" s="5" t="n">
        <f aca="false">PostPro4FW!Q224</f>
        <v>0</v>
      </c>
      <c r="G218" s="0" t="n">
        <f aca="false">PostPro4FW!R224</f>
        <v>0</v>
      </c>
    </row>
    <row r="219" customFormat="false" ht="14.35" hidden="false" customHeight="false" outlineLevel="0" collapsed="false">
      <c r="A219" s="4" t="n">
        <v>14579</v>
      </c>
      <c r="B219" s="5" t="n">
        <f aca="false">PostPro4FW!H225</f>
        <v>1200</v>
      </c>
      <c r="C219" s="5" t="n">
        <f aca="false">PostPro4FW!M225</f>
        <v>800</v>
      </c>
      <c r="D219" s="5" t="n">
        <f aca="false">PostPro4FW!H225+PostPro4FW!I225</f>
        <v>1200</v>
      </c>
      <c r="E219" s="5" t="n">
        <f aca="false">PostPro4FW!S225</f>
        <v>800</v>
      </c>
      <c r="F219" s="5" t="n">
        <f aca="false">PostPro4FW!Q225</f>
        <v>0</v>
      </c>
      <c r="G219" s="0" t="n">
        <f aca="false">PostPro4FW!R225</f>
        <v>0</v>
      </c>
    </row>
    <row r="220" customFormat="false" ht="14.35" hidden="false" customHeight="false" outlineLevel="0" collapsed="false">
      <c r="A220" s="4" t="n">
        <v>14610</v>
      </c>
      <c r="B220" s="5" t="n">
        <f aca="false">PostPro4FW!H226</f>
        <v>1200</v>
      </c>
      <c r="C220" s="5" t="n">
        <f aca="false">PostPro4FW!M226</f>
        <v>800</v>
      </c>
      <c r="D220" s="5" t="n">
        <f aca="false">PostPro4FW!H226+PostPro4FW!I226</f>
        <v>1200</v>
      </c>
      <c r="E220" s="5" t="n">
        <f aca="false">PostPro4FW!S226</f>
        <v>800</v>
      </c>
      <c r="F220" s="5" t="n">
        <f aca="false">PostPro4FW!Q226</f>
        <v>0</v>
      </c>
      <c r="G220" s="0" t="n">
        <f aca="false">PostPro4FW!R226</f>
        <v>0</v>
      </c>
    </row>
    <row r="221" customFormat="false" ht="14.35" hidden="false" customHeight="false" outlineLevel="0" collapsed="false">
      <c r="A221" s="4" t="n">
        <v>14641</v>
      </c>
      <c r="B221" s="5" t="n">
        <f aca="false">PostPro4FW!H227</f>
        <v>1200</v>
      </c>
      <c r="C221" s="5" t="n">
        <f aca="false">PostPro4FW!M227</f>
        <v>800</v>
      </c>
      <c r="D221" s="5" t="n">
        <f aca="false">PostPro4FW!H227+PostPro4FW!I227</f>
        <v>1200</v>
      </c>
      <c r="E221" s="5" t="n">
        <f aca="false">PostPro4FW!S227</f>
        <v>800</v>
      </c>
      <c r="F221" s="5" t="n">
        <f aca="false">PostPro4FW!Q227</f>
        <v>0</v>
      </c>
      <c r="G221" s="0" t="n">
        <f aca="false">PostPro4FW!R227</f>
        <v>0</v>
      </c>
    </row>
    <row r="222" customFormat="false" ht="14.35" hidden="false" customHeight="false" outlineLevel="0" collapsed="false">
      <c r="A222" s="4" t="n">
        <v>14670</v>
      </c>
      <c r="B222" s="5" t="n">
        <f aca="false">PostPro4FW!H228</f>
        <v>1200</v>
      </c>
      <c r="C222" s="5" t="n">
        <f aca="false">PostPro4FW!M228</f>
        <v>800</v>
      </c>
      <c r="D222" s="5" t="n">
        <f aca="false">PostPro4FW!H228+PostPro4FW!I228</f>
        <v>1200</v>
      </c>
      <c r="E222" s="5" t="n">
        <f aca="false">PostPro4FW!S228</f>
        <v>1200</v>
      </c>
      <c r="F222" s="5" t="n">
        <f aca="false">PostPro4FW!Q228</f>
        <v>1200</v>
      </c>
      <c r="G222" s="0" t="n">
        <f aca="false">PostPro4FW!R228</f>
        <v>29</v>
      </c>
    </row>
    <row r="223" customFormat="false" ht="14.35" hidden="false" customHeight="false" outlineLevel="0" collapsed="false">
      <c r="A223" s="4" t="n">
        <v>14701</v>
      </c>
      <c r="B223" s="5" t="n">
        <f aca="false">PostPro4FW!H229</f>
        <v>15217.0178592331</v>
      </c>
      <c r="C223" s="5" t="n">
        <f aca="false">PostPro4FW!M229</f>
        <v>800</v>
      </c>
      <c r="D223" s="5" t="n">
        <f aca="false">PostPro4FW!H229+PostPro4FW!I229</f>
        <v>15217.0178592331</v>
      </c>
      <c r="E223" s="5" t="n">
        <f aca="false">PostPro4FW!S229</f>
        <v>1109.67741935484</v>
      </c>
      <c r="F223" s="5" t="n">
        <f aca="false">PostPro4FW!Q229</f>
        <v>2000</v>
      </c>
      <c r="G223" s="0" t="n">
        <f aca="false">PostPro4FW!R229</f>
        <v>8</v>
      </c>
    </row>
    <row r="224" customFormat="false" ht="14.35" hidden="false" customHeight="false" outlineLevel="0" collapsed="false">
      <c r="A224" s="4" t="n">
        <v>14731</v>
      </c>
      <c r="B224" s="5" t="n">
        <f aca="false">PostPro4FW!H230</f>
        <v>3832.00784763858</v>
      </c>
      <c r="C224" s="5" t="n">
        <f aca="false">PostPro4FW!M230</f>
        <v>700</v>
      </c>
      <c r="D224" s="5" t="n">
        <f aca="false">PostPro4FW!H230+PostPro4FW!I230</f>
        <v>4252.14673652747</v>
      </c>
      <c r="E224" s="5" t="n">
        <f aca="false">PostPro4FW!S230</f>
        <v>700</v>
      </c>
      <c r="F224" s="5" t="n">
        <f aca="false">PostPro4FW!Q230</f>
        <v>0</v>
      </c>
      <c r="G224" s="0" t="n">
        <f aca="false">PostPro4FW!R230</f>
        <v>0</v>
      </c>
    </row>
    <row r="225" customFormat="false" ht="14.35" hidden="false" customHeight="false" outlineLevel="0" collapsed="false">
      <c r="A225" s="4" t="n">
        <v>14762</v>
      </c>
      <c r="B225" s="5" t="n">
        <f aca="false">PostPro4FW!H231</f>
        <v>1000</v>
      </c>
      <c r="C225" s="5" t="n">
        <f aca="false">PostPro4FW!M231</f>
        <v>700</v>
      </c>
      <c r="D225" s="5" t="n">
        <f aca="false">PostPro4FW!H231+PostPro4FW!I231</f>
        <v>1406.58602150538</v>
      </c>
      <c r="E225" s="5" t="n">
        <f aca="false">PostPro4FW!S231</f>
        <v>700</v>
      </c>
      <c r="F225" s="5" t="n">
        <f aca="false">PostPro4FW!Q231</f>
        <v>0</v>
      </c>
      <c r="G225" s="0" t="n">
        <f aca="false">PostPro4FW!R231</f>
        <v>0</v>
      </c>
    </row>
    <row r="226" customFormat="false" ht="14.35" hidden="false" customHeight="false" outlineLevel="0" collapsed="false">
      <c r="A226" s="4" t="n">
        <v>14792</v>
      </c>
      <c r="B226" s="5" t="n">
        <f aca="false">PostPro4FW!H232</f>
        <v>2515.31704698138</v>
      </c>
      <c r="C226" s="5" t="n">
        <f aca="false">PostPro4FW!M232</f>
        <v>700</v>
      </c>
      <c r="D226" s="5" t="n">
        <f aca="false">PostPro4FW!H232+PostPro4FW!I232</f>
        <v>2515.31704698138</v>
      </c>
      <c r="E226" s="5" t="n">
        <f aca="false">PostPro4FW!S232</f>
        <v>700</v>
      </c>
      <c r="F226" s="5" t="n">
        <f aca="false">PostPro4FW!Q232</f>
        <v>0</v>
      </c>
      <c r="G226" s="0" t="n">
        <f aca="false">PostPro4FW!R232</f>
        <v>0</v>
      </c>
    </row>
    <row r="227" customFormat="false" ht="14.35" hidden="false" customHeight="false" outlineLevel="0" collapsed="false">
      <c r="A227" s="4" t="n">
        <v>14823</v>
      </c>
      <c r="B227" s="5" t="n">
        <f aca="false">PostPro4FW!H233</f>
        <v>8684.00777618643</v>
      </c>
      <c r="C227" s="5" t="n">
        <f aca="false">PostPro4FW!M233</f>
        <v>700</v>
      </c>
      <c r="D227" s="5" t="n">
        <f aca="false">PostPro4FW!H233+PostPro4FW!I233</f>
        <v>8684.00777618643</v>
      </c>
      <c r="E227" s="5" t="n">
        <f aca="false">PostPro4FW!S233</f>
        <v>700</v>
      </c>
      <c r="F227" s="5" t="n">
        <f aca="false">PostPro4FW!Q233</f>
        <v>0</v>
      </c>
      <c r="G227" s="0" t="n">
        <f aca="false">PostPro4FW!R233</f>
        <v>0</v>
      </c>
    </row>
    <row r="228" customFormat="false" ht="14.35" hidden="false" customHeight="false" outlineLevel="0" collapsed="false">
      <c r="A228" s="4" t="n">
        <v>14854</v>
      </c>
      <c r="B228" s="5" t="n">
        <f aca="false">PostPro4FW!H234</f>
        <v>8224.92914626087</v>
      </c>
      <c r="C228" s="5" t="n">
        <f aca="false">PostPro4FW!M234</f>
        <v>700</v>
      </c>
      <c r="D228" s="5" t="n">
        <f aca="false">PostPro4FW!H234+PostPro4FW!I234</f>
        <v>8224.92914626087</v>
      </c>
      <c r="E228" s="5" t="n">
        <f aca="false">PostPro4FW!S234</f>
        <v>700</v>
      </c>
      <c r="F228" s="5" t="n">
        <f aca="false">PostPro4FW!Q234</f>
        <v>0</v>
      </c>
      <c r="G228" s="0" t="n">
        <f aca="false">PostPro4FW!R234</f>
        <v>0</v>
      </c>
    </row>
    <row r="229" customFormat="false" ht="14.35" hidden="false" customHeight="false" outlineLevel="0" collapsed="false">
      <c r="A229" s="4" t="n">
        <v>14884</v>
      </c>
      <c r="B229" s="5" t="n">
        <f aca="false">PostPro4FW!H235</f>
        <v>8192.77515084282</v>
      </c>
      <c r="C229" s="5" t="n">
        <f aca="false">PostPro4FW!M235</f>
        <v>773.3333333</v>
      </c>
      <c r="D229" s="5" t="n">
        <f aca="false">PostPro4FW!H235+PostPro4FW!I235</f>
        <v>8192.77515084282</v>
      </c>
      <c r="E229" s="5" t="n">
        <f aca="false">PostPro4FW!S235</f>
        <v>773.3333333</v>
      </c>
      <c r="F229" s="5" t="n">
        <f aca="false">PostPro4FW!Q235</f>
        <v>0</v>
      </c>
      <c r="G229" s="0" t="n">
        <f aca="false">PostPro4FW!R235</f>
        <v>0</v>
      </c>
    </row>
    <row r="230" customFormat="false" ht="14.35" hidden="false" customHeight="false" outlineLevel="0" collapsed="false">
      <c r="A230" s="4" t="n">
        <v>14915</v>
      </c>
      <c r="B230" s="5" t="n">
        <f aca="false">PostPro4FW!H236</f>
        <v>4000</v>
      </c>
      <c r="C230" s="5" t="n">
        <f aca="false">PostPro4FW!M236</f>
        <v>800</v>
      </c>
      <c r="D230" s="5" t="n">
        <f aca="false">PostPro4FW!H236+PostPro4FW!I236</f>
        <v>4000</v>
      </c>
      <c r="E230" s="5" t="n">
        <f aca="false">PostPro4FW!S236</f>
        <v>800</v>
      </c>
      <c r="F230" s="5" t="n">
        <f aca="false">PostPro4FW!Q236</f>
        <v>0</v>
      </c>
      <c r="G230" s="0" t="n">
        <f aca="false">PostPro4FW!R236</f>
        <v>0</v>
      </c>
    </row>
    <row r="231" customFormat="false" ht="14.35" hidden="false" customHeight="false" outlineLevel="0" collapsed="false">
      <c r="A231" s="4" t="n">
        <v>14945</v>
      </c>
      <c r="B231" s="5" t="n">
        <f aca="false">PostPro4FW!H237</f>
        <v>2262.66785361697</v>
      </c>
      <c r="C231" s="5" t="n">
        <f aca="false">PostPro4FW!M237</f>
        <v>800</v>
      </c>
      <c r="D231" s="5" t="n">
        <f aca="false">PostPro4FW!H237+PostPro4FW!I237</f>
        <v>2262.66785361697</v>
      </c>
      <c r="E231" s="5" t="n">
        <f aca="false">PostPro4FW!S237</f>
        <v>800</v>
      </c>
      <c r="F231" s="5" t="n">
        <f aca="false">PostPro4FW!Q237</f>
        <v>0</v>
      </c>
      <c r="G231" s="0" t="n">
        <f aca="false">PostPro4FW!R237</f>
        <v>0</v>
      </c>
    </row>
    <row r="232" customFormat="false" ht="14.35" hidden="false" customHeight="false" outlineLevel="0" collapsed="false">
      <c r="A232" s="4" t="n">
        <v>14976</v>
      </c>
      <c r="B232" s="5" t="n">
        <f aca="false">PostPro4FW!H238</f>
        <v>1700</v>
      </c>
      <c r="C232" s="5" t="n">
        <f aca="false">PostPro4FW!M238</f>
        <v>800</v>
      </c>
      <c r="D232" s="5" t="n">
        <f aca="false">PostPro4FW!H238+PostPro4FW!I238</f>
        <v>1700</v>
      </c>
      <c r="E232" s="5" t="n">
        <f aca="false">PostPro4FW!S238</f>
        <v>800</v>
      </c>
      <c r="F232" s="5" t="n">
        <f aca="false">PostPro4FW!Q238</f>
        <v>0</v>
      </c>
      <c r="G232" s="0" t="n">
        <f aca="false">PostPro4FW!R238</f>
        <v>0</v>
      </c>
    </row>
    <row r="233" customFormat="false" ht="14.35" hidden="false" customHeight="false" outlineLevel="0" collapsed="false">
      <c r="A233" s="4" t="n">
        <v>15007</v>
      </c>
      <c r="B233" s="5" t="n">
        <f aca="false">PostPro4FW!H239</f>
        <v>1700</v>
      </c>
      <c r="C233" s="5" t="n">
        <f aca="false">PostPro4FW!M239</f>
        <v>800</v>
      </c>
      <c r="D233" s="5" t="n">
        <f aca="false">PostPro4FW!H239+PostPro4FW!I239</f>
        <v>1700</v>
      </c>
      <c r="E233" s="5" t="n">
        <f aca="false">PostPro4FW!S239</f>
        <v>800</v>
      </c>
      <c r="F233" s="5" t="n">
        <f aca="false">PostPro4FW!Q239</f>
        <v>0</v>
      </c>
      <c r="G233" s="0" t="n">
        <f aca="false">PostPro4FW!R239</f>
        <v>0</v>
      </c>
    </row>
    <row r="234" customFormat="false" ht="14.35" hidden="false" customHeight="false" outlineLevel="0" collapsed="false">
      <c r="A234" s="4" t="n">
        <v>15035</v>
      </c>
      <c r="B234" s="5" t="n">
        <f aca="false">PostPro4FW!H240</f>
        <v>11948.2474251916</v>
      </c>
      <c r="C234" s="5" t="n">
        <f aca="false">PostPro4FW!M240</f>
        <v>800</v>
      </c>
      <c r="D234" s="5" t="n">
        <f aca="false">PostPro4FW!H240+PostPro4FW!I240</f>
        <v>11948.2474251916</v>
      </c>
      <c r="E234" s="5" t="n">
        <f aca="false">PostPro4FW!S240</f>
        <v>800</v>
      </c>
      <c r="F234" s="5" t="n">
        <f aca="false">PostPro4FW!Q240</f>
        <v>0</v>
      </c>
      <c r="G234" s="0" t="n">
        <f aca="false">PostPro4FW!R240</f>
        <v>0</v>
      </c>
    </row>
    <row r="235" customFormat="false" ht="14.35" hidden="false" customHeight="false" outlineLevel="0" collapsed="false">
      <c r="A235" s="4" t="n">
        <v>15066</v>
      </c>
      <c r="B235" s="5" t="n">
        <f aca="false">PostPro4FW!H241</f>
        <v>11431.6208603803</v>
      </c>
      <c r="C235" s="5" t="n">
        <f aca="false">PostPro4FW!M241</f>
        <v>800</v>
      </c>
      <c r="D235" s="5" t="n">
        <f aca="false">PostPro4FW!H241+PostPro4FW!I241</f>
        <v>11431.6208603803</v>
      </c>
      <c r="E235" s="5" t="n">
        <f aca="false">PostPro4FW!S241</f>
        <v>800</v>
      </c>
      <c r="F235" s="5" t="n">
        <f aca="false">PostPro4FW!Q241</f>
        <v>0</v>
      </c>
      <c r="G235" s="0" t="n">
        <f aca="false">PostPro4FW!R241</f>
        <v>0</v>
      </c>
    </row>
    <row r="236" customFormat="false" ht="14.35" hidden="false" customHeight="false" outlineLevel="0" collapsed="false">
      <c r="A236" s="4" t="n">
        <v>15096</v>
      </c>
      <c r="B236" s="5" t="n">
        <f aca="false">PostPro4FW!H242</f>
        <v>3793.29976175121</v>
      </c>
      <c r="C236" s="5" t="n">
        <f aca="false">PostPro4FW!M242</f>
        <v>700</v>
      </c>
      <c r="D236" s="5" t="n">
        <f aca="false">PostPro4FW!H242+PostPro4FW!I242</f>
        <v>3793.29976175121</v>
      </c>
      <c r="E236" s="5" t="n">
        <f aca="false">PostPro4FW!S242</f>
        <v>700</v>
      </c>
      <c r="F236" s="5" t="n">
        <f aca="false">PostPro4FW!Q242</f>
        <v>0</v>
      </c>
      <c r="G236" s="0" t="n">
        <f aca="false">PostPro4FW!R242</f>
        <v>0</v>
      </c>
    </row>
    <row r="237" customFormat="false" ht="14.35" hidden="false" customHeight="false" outlineLevel="0" collapsed="false">
      <c r="A237" s="4" t="n">
        <v>15127</v>
      </c>
      <c r="B237" s="5" t="n">
        <f aca="false">PostPro4FW!H243</f>
        <v>8516.84220454923</v>
      </c>
      <c r="C237" s="5" t="n">
        <f aca="false">PostPro4FW!M243</f>
        <v>700</v>
      </c>
      <c r="D237" s="5" t="n">
        <f aca="false">PostPro4FW!H243+PostPro4FW!I243</f>
        <v>8516.84220454923</v>
      </c>
      <c r="E237" s="5" t="n">
        <f aca="false">PostPro4FW!S243</f>
        <v>700</v>
      </c>
      <c r="F237" s="5" t="n">
        <f aca="false">PostPro4FW!Q243</f>
        <v>0</v>
      </c>
      <c r="G237" s="0" t="n">
        <f aca="false">PostPro4FW!R243</f>
        <v>0</v>
      </c>
    </row>
    <row r="238" customFormat="false" ht="14.35" hidden="false" customHeight="false" outlineLevel="0" collapsed="false">
      <c r="A238" s="4" t="n">
        <v>15157</v>
      </c>
      <c r="B238" s="5" t="n">
        <f aca="false">PostPro4FW!H244</f>
        <v>3079.49139584669</v>
      </c>
      <c r="C238" s="5" t="n">
        <f aca="false">PostPro4FW!M244</f>
        <v>700</v>
      </c>
      <c r="D238" s="5" t="n">
        <f aca="false">PostPro4FW!H244+PostPro4FW!I244</f>
        <v>3079.49139584669</v>
      </c>
      <c r="E238" s="5" t="n">
        <f aca="false">PostPro4FW!S244</f>
        <v>700</v>
      </c>
      <c r="F238" s="5" t="n">
        <f aca="false">PostPro4FW!Q244</f>
        <v>0</v>
      </c>
      <c r="G238" s="0" t="n">
        <f aca="false">PostPro4FW!R244</f>
        <v>0</v>
      </c>
    </row>
    <row r="239" customFormat="false" ht="14.35" hidden="false" customHeight="false" outlineLevel="0" collapsed="false">
      <c r="A239" s="4" t="n">
        <v>15188</v>
      </c>
      <c r="B239" s="5" t="n">
        <f aca="false">PostPro4FW!H245</f>
        <v>6575.86312408191</v>
      </c>
      <c r="C239" s="5" t="n">
        <f aca="false">PostPro4FW!M245</f>
        <v>700</v>
      </c>
      <c r="D239" s="5" t="n">
        <f aca="false">PostPro4FW!H245+PostPro4FW!I245</f>
        <v>6575.86312408191</v>
      </c>
      <c r="E239" s="5" t="n">
        <f aca="false">PostPro4FW!S245</f>
        <v>700</v>
      </c>
      <c r="F239" s="5" t="n">
        <f aca="false">PostPro4FW!Q245</f>
        <v>0</v>
      </c>
      <c r="G239" s="0" t="n">
        <f aca="false">PostPro4FW!R245</f>
        <v>0</v>
      </c>
    </row>
    <row r="240" customFormat="false" ht="14.35" hidden="false" customHeight="false" outlineLevel="0" collapsed="false">
      <c r="A240" s="4" t="n">
        <v>15219</v>
      </c>
      <c r="B240" s="5" t="n">
        <f aca="false">PostPro4FW!H246</f>
        <v>3995.67723388635</v>
      </c>
      <c r="C240" s="5" t="n">
        <f aca="false">PostPro4FW!M246</f>
        <v>700</v>
      </c>
      <c r="D240" s="5" t="n">
        <f aca="false">PostPro4FW!H246+PostPro4FW!I246</f>
        <v>3995.67723388635</v>
      </c>
      <c r="E240" s="5" t="n">
        <f aca="false">PostPro4FW!S246</f>
        <v>700</v>
      </c>
      <c r="F240" s="5" t="n">
        <f aca="false">PostPro4FW!Q246</f>
        <v>0</v>
      </c>
      <c r="G240" s="0" t="n">
        <f aca="false">PostPro4FW!R246</f>
        <v>0</v>
      </c>
    </row>
    <row r="241" customFormat="false" ht="14.35" hidden="false" customHeight="false" outlineLevel="0" collapsed="false">
      <c r="A241" s="4" t="n">
        <v>15249</v>
      </c>
      <c r="B241" s="5" t="n">
        <f aca="false">PostPro4FW!H247</f>
        <v>10000</v>
      </c>
      <c r="C241" s="5" t="n">
        <f aca="false">PostPro4FW!M247</f>
        <v>773.3333333</v>
      </c>
      <c r="D241" s="5" t="n">
        <f aca="false">PostPro4FW!H247+PostPro4FW!I247</f>
        <v>10000</v>
      </c>
      <c r="E241" s="5" t="n">
        <f aca="false">PostPro4FW!S247</f>
        <v>773.3333333</v>
      </c>
      <c r="F241" s="5" t="n">
        <f aca="false">PostPro4FW!Q247</f>
        <v>0</v>
      </c>
      <c r="G241" s="0" t="n">
        <f aca="false">PostPro4FW!R247</f>
        <v>0</v>
      </c>
    </row>
    <row r="242" customFormat="false" ht="14.35" hidden="false" customHeight="false" outlineLevel="0" collapsed="false">
      <c r="A242" s="4" t="n">
        <v>15280</v>
      </c>
      <c r="B242" s="5" t="n">
        <f aca="false">PostPro4FW!H248</f>
        <v>4000</v>
      </c>
      <c r="C242" s="5" t="n">
        <f aca="false">PostPro4FW!M248</f>
        <v>800</v>
      </c>
      <c r="D242" s="5" t="n">
        <f aca="false">PostPro4FW!H248+PostPro4FW!I248</f>
        <v>4000</v>
      </c>
      <c r="E242" s="5" t="n">
        <f aca="false">PostPro4FW!S248</f>
        <v>800</v>
      </c>
      <c r="F242" s="5" t="n">
        <f aca="false">PostPro4FW!Q248</f>
        <v>0</v>
      </c>
      <c r="G242" s="0" t="n">
        <f aca="false">PostPro4FW!R248</f>
        <v>0</v>
      </c>
    </row>
    <row r="243" customFormat="false" ht="14.35" hidden="false" customHeight="false" outlineLevel="0" collapsed="false">
      <c r="A243" s="4" t="n">
        <v>15310</v>
      </c>
      <c r="B243" s="5" t="n">
        <f aca="false">PostPro4FW!H249</f>
        <v>2500</v>
      </c>
      <c r="C243" s="5" t="n">
        <f aca="false">PostPro4FW!M249</f>
        <v>800</v>
      </c>
      <c r="D243" s="5" t="n">
        <f aca="false">PostPro4FW!H249+PostPro4FW!I249</f>
        <v>2500</v>
      </c>
      <c r="E243" s="5" t="n">
        <f aca="false">PostPro4FW!S249</f>
        <v>800</v>
      </c>
      <c r="F243" s="5" t="n">
        <f aca="false">PostPro4FW!Q249</f>
        <v>0</v>
      </c>
      <c r="G243" s="0" t="n">
        <f aca="false">PostPro4FW!R249</f>
        <v>0</v>
      </c>
    </row>
    <row r="244" customFormat="false" ht="14.35" hidden="false" customHeight="false" outlineLevel="0" collapsed="false">
      <c r="A244" s="4" t="n">
        <v>15341</v>
      </c>
      <c r="B244" s="5" t="n">
        <f aca="false">PostPro4FW!H250</f>
        <v>1784.70855619443</v>
      </c>
      <c r="C244" s="5" t="n">
        <f aca="false">PostPro4FW!M250</f>
        <v>800</v>
      </c>
      <c r="D244" s="5" t="n">
        <f aca="false">PostPro4FW!H250+PostPro4FW!I250</f>
        <v>1784.70855619443</v>
      </c>
      <c r="E244" s="5" t="n">
        <f aca="false">PostPro4FW!S250</f>
        <v>800</v>
      </c>
      <c r="F244" s="5" t="n">
        <f aca="false">PostPro4FW!Q250</f>
        <v>0</v>
      </c>
      <c r="G244" s="0" t="n">
        <f aca="false">PostPro4FW!R250</f>
        <v>0</v>
      </c>
    </row>
    <row r="245" customFormat="false" ht="14.35" hidden="false" customHeight="false" outlineLevel="0" collapsed="false">
      <c r="A245" s="4" t="n">
        <v>15372</v>
      </c>
      <c r="B245" s="5" t="n">
        <f aca="false">PostPro4FW!H251</f>
        <v>13897.5867347877</v>
      </c>
      <c r="C245" s="5" t="n">
        <f aca="false">PostPro4FW!M251</f>
        <v>800</v>
      </c>
      <c r="D245" s="5" t="n">
        <f aca="false">PostPro4FW!H251+PostPro4FW!I251</f>
        <v>13897.5867347877</v>
      </c>
      <c r="E245" s="5" t="n">
        <f aca="false">PostPro4FW!S251</f>
        <v>800</v>
      </c>
      <c r="F245" s="5" t="n">
        <f aca="false">PostPro4FW!Q251</f>
        <v>0</v>
      </c>
      <c r="G245" s="0" t="n">
        <f aca="false">PostPro4FW!R251</f>
        <v>0</v>
      </c>
    </row>
    <row r="246" customFormat="false" ht="14.35" hidden="false" customHeight="false" outlineLevel="0" collapsed="false">
      <c r="A246" s="4" t="n">
        <v>15400</v>
      </c>
      <c r="B246" s="5" t="n">
        <f aca="false">PostPro4FW!H252</f>
        <v>17628.852543376</v>
      </c>
      <c r="C246" s="5" t="n">
        <f aca="false">PostPro4FW!M252</f>
        <v>800</v>
      </c>
      <c r="D246" s="5" t="n">
        <f aca="false">PostPro4FW!H252+PostPro4FW!I252</f>
        <v>17628.852543376</v>
      </c>
      <c r="E246" s="5" t="n">
        <f aca="false">PostPro4FW!S252</f>
        <v>800</v>
      </c>
      <c r="F246" s="5" t="n">
        <f aca="false">PostPro4FW!Q252</f>
        <v>0</v>
      </c>
      <c r="G246" s="0" t="n">
        <f aca="false">PostPro4FW!R252</f>
        <v>0</v>
      </c>
    </row>
    <row r="247" customFormat="false" ht="14.35" hidden="false" customHeight="false" outlineLevel="0" collapsed="false">
      <c r="A247" s="4" t="n">
        <v>15431</v>
      </c>
      <c r="B247" s="5" t="n">
        <f aca="false">PostPro4FW!H253</f>
        <v>2766.64036681079</v>
      </c>
      <c r="C247" s="5" t="n">
        <f aca="false">PostPro4FW!M253</f>
        <v>800</v>
      </c>
      <c r="D247" s="5" t="n">
        <f aca="false">PostPro4FW!H253+PostPro4FW!I253</f>
        <v>2766.64036681079</v>
      </c>
      <c r="E247" s="5" t="n">
        <f aca="false">PostPro4FW!S253</f>
        <v>800</v>
      </c>
      <c r="F247" s="5" t="n">
        <f aca="false">PostPro4FW!Q253</f>
        <v>0</v>
      </c>
      <c r="G247" s="0" t="n">
        <f aca="false">PostPro4FW!R253</f>
        <v>0</v>
      </c>
    </row>
    <row r="248" customFormat="false" ht="14.35" hidden="false" customHeight="false" outlineLevel="0" collapsed="false">
      <c r="A248" s="4" t="n">
        <v>15461</v>
      </c>
      <c r="B248" s="5" t="n">
        <f aca="false">PostPro4FW!H254</f>
        <v>10545.9968775549</v>
      </c>
      <c r="C248" s="5" t="n">
        <f aca="false">PostPro4FW!M254</f>
        <v>700</v>
      </c>
      <c r="D248" s="5" t="n">
        <f aca="false">PostPro4FW!H254+PostPro4FW!I254</f>
        <v>10545.9968775549</v>
      </c>
      <c r="E248" s="5" t="n">
        <f aca="false">PostPro4FW!S254</f>
        <v>700</v>
      </c>
      <c r="F248" s="5" t="n">
        <f aca="false">PostPro4FW!Q254</f>
        <v>0</v>
      </c>
      <c r="G248" s="0" t="n">
        <f aca="false">PostPro4FW!R254</f>
        <v>0</v>
      </c>
    </row>
    <row r="249" customFormat="false" ht="14.35" hidden="false" customHeight="false" outlineLevel="0" collapsed="false">
      <c r="A249" s="4" t="n">
        <v>15492</v>
      </c>
      <c r="B249" s="5" t="n">
        <f aca="false">PostPro4FW!H255</f>
        <v>5825.17268675066</v>
      </c>
      <c r="C249" s="5" t="n">
        <f aca="false">PostPro4FW!M255</f>
        <v>700</v>
      </c>
      <c r="D249" s="5" t="n">
        <f aca="false">PostPro4FW!H255+PostPro4FW!I255</f>
        <v>5825.17268675066</v>
      </c>
      <c r="E249" s="5" t="n">
        <f aca="false">PostPro4FW!S255</f>
        <v>700</v>
      </c>
      <c r="F249" s="5" t="n">
        <f aca="false">PostPro4FW!Q255</f>
        <v>0</v>
      </c>
      <c r="G249" s="0" t="n">
        <f aca="false">PostPro4FW!R255</f>
        <v>0</v>
      </c>
    </row>
    <row r="250" customFormat="false" ht="14.35" hidden="false" customHeight="false" outlineLevel="0" collapsed="false">
      <c r="A250" s="4" t="n">
        <v>15522</v>
      </c>
      <c r="B250" s="5" t="n">
        <f aca="false">PostPro4FW!H256</f>
        <v>6033.5752185797</v>
      </c>
      <c r="C250" s="5" t="n">
        <f aca="false">PostPro4FW!M256</f>
        <v>700</v>
      </c>
      <c r="D250" s="5" t="n">
        <f aca="false">PostPro4FW!H256+PostPro4FW!I256</f>
        <v>6033.5752185797</v>
      </c>
      <c r="E250" s="5" t="n">
        <f aca="false">PostPro4FW!S256</f>
        <v>700</v>
      </c>
      <c r="F250" s="5" t="n">
        <f aca="false">PostPro4FW!Q256</f>
        <v>0</v>
      </c>
      <c r="G250" s="0" t="n">
        <f aca="false">PostPro4FW!R256</f>
        <v>0</v>
      </c>
    </row>
    <row r="251" customFormat="false" ht="14.35" hidden="false" customHeight="false" outlineLevel="0" collapsed="false">
      <c r="A251" s="4" t="n">
        <v>15553</v>
      </c>
      <c r="B251" s="5" t="n">
        <f aca="false">PostPro4FW!H257</f>
        <v>5706.61576065418</v>
      </c>
      <c r="C251" s="5" t="n">
        <f aca="false">PostPro4FW!M257</f>
        <v>700</v>
      </c>
      <c r="D251" s="5" t="n">
        <f aca="false">PostPro4FW!H257+PostPro4FW!I257</f>
        <v>5706.61576065418</v>
      </c>
      <c r="E251" s="5" t="n">
        <f aca="false">PostPro4FW!S257</f>
        <v>700</v>
      </c>
      <c r="F251" s="5" t="n">
        <f aca="false">PostPro4FW!Q257</f>
        <v>0</v>
      </c>
      <c r="G251" s="0" t="n">
        <f aca="false">PostPro4FW!R257</f>
        <v>0</v>
      </c>
    </row>
    <row r="252" customFormat="false" ht="14.35" hidden="false" customHeight="false" outlineLevel="0" collapsed="false">
      <c r="A252" s="4" t="n">
        <v>15584</v>
      </c>
      <c r="B252" s="5" t="n">
        <f aca="false">PostPro4FW!H258</f>
        <v>5256.34728294781</v>
      </c>
      <c r="C252" s="5" t="n">
        <f aca="false">PostPro4FW!M258</f>
        <v>700</v>
      </c>
      <c r="D252" s="5" t="n">
        <f aca="false">PostPro4FW!H258+PostPro4FW!I258</f>
        <v>5256.34728294781</v>
      </c>
      <c r="E252" s="5" t="n">
        <f aca="false">PostPro4FW!S258</f>
        <v>700</v>
      </c>
      <c r="F252" s="5" t="n">
        <f aca="false">PostPro4FW!Q258</f>
        <v>0</v>
      </c>
      <c r="G252" s="0" t="n">
        <f aca="false">PostPro4FW!R258</f>
        <v>0</v>
      </c>
    </row>
    <row r="253" customFormat="false" ht="14.35" hidden="false" customHeight="false" outlineLevel="0" collapsed="false">
      <c r="A253" s="4" t="n">
        <v>15614</v>
      </c>
      <c r="B253" s="5" t="n">
        <f aca="false">PostPro4FW!H259</f>
        <v>9797.17691040037</v>
      </c>
      <c r="C253" s="5" t="n">
        <f aca="false">PostPro4FW!M259</f>
        <v>773.3333333</v>
      </c>
      <c r="D253" s="5" t="n">
        <f aca="false">PostPro4FW!H259+PostPro4FW!I259</f>
        <v>9797.17691040037</v>
      </c>
      <c r="E253" s="5" t="n">
        <f aca="false">PostPro4FW!S259</f>
        <v>773.3333333</v>
      </c>
      <c r="F253" s="5" t="n">
        <f aca="false">PostPro4FW!Q259</f>
        <v>0</v>
      </c>
      <c r="G253" s="0" t="n">
        <f aca="false">PostPro4FW!R259</f>
        <v>0</v>
      </c>
    </row>
    <row r="254" customFormat="false" ht="14.35" hidden="false" customHeight="false" outlineLevel="0" collapsed="false">
      <c r="A254" s="4" t="n">
        <v>15645</v>
      </c>
      <c r="B254" s="5" t="n">
        <f aca="false">PostPro4FW!H260</f>
        <v>4000</v>
      </c>
      <c r="C254" s="5" t="n">
        <f aca="false">PostPro4FW!M260</f>
        <v>800</v>
      </c>
      <c r="D254" s="5" t="n">
        <f aca="false">PostPro4FW!H260+PostPro4FW!I260</f>
        <v>4000</v>
      </c>
      <c r="E254" s="5" t="n">
        <f aca="false">PostPro4FW!S260</f>
        <v>800</v>
      </c>
      <c r="F254" s="5" t="n">
        <f aca="false">PostPro4FW!Q260</f>
        <v>0</v>
      </c>
      <c r="G254" s="0" t="n">
        <f aca="false">PostPro4FW!R260</f>
        <v>0</v>
      </c>
    </row>
    <row r="255" customFormat="false" ht="14.35" hidden="false" customHeight="false" outlineLevel="0" collapsed="false">
      <c r="A255" s="4" t="n">
        <v>15675</v>
      </c>
      <c r="B255" s="5" t="n">
        <f aca="false">PostPro4FW!H261</f>
        <v>2970.94994000524</v>
      </c>
      <c r="C255" s="5" t="n">
        <f aca="false">PostPro4FW!M261</f>
        <v>800</v>
      </c>
      <c r="D255" s="5" t="n">
        <f aca="false">PostPro4FW!H261+PostPro4FW!I261</f>
        <v>2970.94994000524</v>
      </c>
      <c r="E255" s="5" t="n">
        <f aca="false">PostPro4FW!S261</f>
        <v>800</v>
      </c>
      <c r="F255" s="5" t="n">
        <f aca="false">PostPro4FW!Q261</f>
        <v>0</v>
      </c>
      <c r="G255" s="0" t="n">
        <f aca="false">PostPro4FW!R261</f>
        <v>0</v>
      </c>
    </row>
    <row r="256" customFormat="false" ht="14.35" hidden="false" customHeight="false" outlineLevel="0" collapsed="false">
      <c r="A256" s="4" t="n">
        <v>15706</v>
      </c>
      <c r="B256" s="5" t="n">
        <f aca="false">PostPro4FW!H262</f>
        <v>1700</v>
      </c>
      <c r="C256" s="5" t="n">
        <f aca="false">PostPro4FW!M262</f>
        <v>800</v>
      </c>
      <c r="D256" s="5" t="n">
        <f aca="false">PostPro4FW!H262+PostPro4FW!I262</f>
        <v>1700</v>
      </c>
      <c r="E256" s="5" t="n">
        <f aca="false">PostPro4FW!S262</f>
        <v>800</v>
      </c>
      <c r="F256" s="5" t="n">
        <f aca="false">PostPro4FW!Q262</f>
        <v>0</v>
      </c>
      <c r="G256" s="0" t="n">
        <f aca="false">PostPro4FW!R262</f>
        <v>0</v>
      </c>
    </row>
    <row r="257" customFormat="false" ht="14.35" hidden="false" customHeight="false" outlineLevel="0" collapsed="false">
      <c r="A257" s="4" t="n">
        <v>15737</v>
      </c>
      <c r="B257" s="5" t="n">
        <f aca="false">PostPro4FW!H263</f>
        <v>9631.38685922647</v>
      </c>
      <c r="C257" s="5" t="n">
        <f aca="false">PostPro4FW!M263</f>
        <v>800</v>
      </c>
      <c r="D257" s="5" t="n">
        <f aca="false">PostPro4FW!H263+PostPro4FW!I263</f>
        <v>9631.38685922647</v>
      </c>
      <c r="E257" s="5" t="n">
        <f aca="false">PostPro4FW!S263</f>
        <v>800</v>
      </c>
      <c r="F257" s="5" t="n">
        <f aca="false">PostPro4FW!Q263</f>
        <v>0</v>
      </c>
      <c r="G257" s="0" t="n">
        <f aca="false">PostPro4FW!R263</f>
        <v>0</v>
      </c>
    </row>
    <row r="258" customFormat="false" ht="14.35" hidden="false" customHeight="false" outlineLevel="0" collapsed="false">
      <c r="A258" s="4" t="n">
        <v>15765</v>
      </c>
      <c r="B258" s="5" t="n">
        <f aca="false">PostPro4FW!H264</f>
        <v>7488.2780301827</v>
      </c>
      <c r="C258" s="5" t="n">
        <f aca="false">PostPro4FW!M264</f>
        <v>800</v>
      </c>
      <c r="D258" s="5" t="n">
        <f aca="false">PostPro4FW!H264+PostPro4FW!I264</f>
        <v>7488.2780301827</v>
      </c>
      <c r="E258" s="5" t="n">
        <f aca="false">PostPro4FW!S264</f>
        <v>800</v>
      </c>
      <c r="F258" s="5" t="n">
        <f aca="false">PostPro4FW!Q264</f>
        <v>0</v>
      </c>
      <c r="G258" s="0" t="n">
        <f aca="false">PostPro4FW!R264</f>
        <v>0</v>
      </c>
    </row>
    <row r="259" customFormat="false" ht="14.35" hidden="false" customHeight="false" outlineLevel="0" collapsed="false">
      <c r="A259" s="4" t="n">
        <v>15796</v>
      </c>
      <c r="B259" s="5" t="n">
        <f aca="false">PostPro4FW!H265</f>
        <v>16061.2709334505</v>
      </c>
      <c r="C259" s="5" t="n">
        <f aca="false">PostPro4FW!M265</f>
        <v>800</v>
      </c>
      <c r="D259" s="5" t="n">
        <f aca="false">PostPro4FW!H265+PostPro4FW!I265</f>
        <v>16061.2709334505</v>
      </c>
      <c r="E259" s="5" t="n">
        <f aca="false">PostPro4FW!S265</f>
        <v>800</v>
      </c>
      <c r="F259" s="5" t="n">
        <f aca="false">PostPro4FW!Q265</f>
        <v>0</v>
      </c>
      <c r="G259" s="0" t="n">
        <f aca="false">PostPro4FW!R265</f>
        <v>0</v>
      </c>
    </row>
    <row r="260" customFormat="false" ht="14.35" hidden="false" customHeight="false" outlineLevel="0" collapsed="false">
      <c r="A260" s="4" t="n">
        <v>15826</v>
      </c>
      <c r="B260" s="5" t="n">
        <f aca="false">PostPro4FW!H266</f>
        <v>4215.09651846805</v>
      </c>
      <c r="C260" s="5" t="n">
        <f aca="false">PostPro4FW!M266</f>
        <v>700</v>
      </c>
      <c r="D260" s="5" t="n">
        <f aca="false">PostPro4FW!H266+PostPro4FW!I266</f>
        <v>4215.09651846805</v>
      </c>
      <c r="E260" s="5" t="n">
        <f aca="false">PostPro4FW!S266</f>
        <v>700</v>
      </c>
      <c r="F260" s="5" t="n">
        <f aca="false">PostPro4FW!Q266</f>
        <v>0</v>
      </c>
      <c r="G260" s="0" t="n">
        <f aca="false">PostPro4FW!R266</f>
        <v>0</v>
      </c>
    </row>
    <row r="261" customFormat="false" ht="14.35" hidden="false" customHeight="false" outlineLevel="0" collapsed="false">
      <c r="A261" s="4" t="n">
        <v>15857</v>
      </c>
      <c r="B261" s="5" t="n">
        <f aca="false">PostPro4FW!H267</f>
        <v>1000</v>
      </c>
      <c r="C261" s="5" t="n">
        <f aca="false">PostPro4FW!M267</f>
        <v>700</v>
      </c>
      <c r="D261" s="5" t="n">
        <f aca="false">PostPro4FW!H267+PostPro4FW!I267</f>
        <v>1000</v>
      </c>
      <c r="E261" s="5" t="n">
        <f aca="false">PostPro4FW!S267</f>
        <v>700</v>
      </c>
      <c r="F261" s="5" t="n">
        <f aca="false">PostPro4FW!Q267</f>
        <v>0</v>
      </c>
      <c r="G261" s="0" t="n">
        <f aca="false">PostPro4FW!R267</f>
        <v>0</v>
      </c>
    </row>
    <row r="262" customFormat="false" ht="14.35" hidden="false" customHeight="false" outlineLevel="0" collapsed="false">
      <c r="A262" s="4" t="n">
        <v>15887</v>
      </c>
      <c r="B262" s="5" t="n">
        <f aca="false">PostPro4FW!H268</f>
        <v>1961.50796735375</v>
      </c>
      <c r="C262" s="5" t="n">
        <f aca="false">PostPro4FW!M268</f>
        <v>700</v>
      </c>
      <c r="D262" s="5" t="n">
        <f aca="false">PostPro4FW!H268+PostPro4FW!I268</f>
        <v>1961.50796735375</v>
      </c>
      <c r="E262" s="5" t="n">
        <f aca="false">PostPro4FW!S268</f>
        <v>700</v>
      </c>
      <c r="F262" s="5" t="n">
        <f aca="false">PostPro4FW!Q268</f>
        <v>0</v>
      </c>
      <c r="G262" s="0" t="n">
        <f aca="false">PostPro4FW!R268</f>
        <v>0</v>
      </c>
    </row>
    <row r="263" customFormat="false" ht="14.35" hidden="false" customHeight="false" outlineLevel="0" collapsed="false">
      <c r="A263" s="4" t="n">
        <v>15918</v>
      </c>
      <c r="B263" s="5" t="n">
        <f aca="false">PostPro4FW!H269</f>
        <v>9544.67643170014</v>
      </c>
      <c r="C263" s="5" t="n">
        <f aca="false">PostPro4FW!M269</f>
        <v>700</v>
      </c>
      <c r="D263" s="5" t="n">
        <f aca="false">PostPro4FW!H269+PostPro4FW!I269</f>
        <v>9544.67643170014</v>
      </c>
      <c r="E263" s="5" t="n">
        <f aca="false">PostPro4FW!S269</f>
        <v>700</v>
      </c>
      <c r="F263" s="5" t="n">
        <f aca="false">PostPro4FW!Q269</f>
        <v>0</v>
      </c>
      <c r="G263" s="0" t="n">
        <f aca="false">PostPro4FW!R269</f>
        <v>0</v>
      </c>
    </row>
    <row r="264" customFormat="false" ht="14.35" hidden="false" customHeight="false" outlineLevel="0" collapsed="false">
      <c r="A264" s="4" t="n">
        <v>15949</v>
      </c>
      <c r="B264" s="5" t="n">
        <f aca="false">PostPro4FW!H270</f>
        <v>8087.39805956896</v>
      </c>
      <c r="C264" s="5" t="n">
        <f aca="false">PostPro4FW!M270</f>
        <v>700</v>
      </c>
      <c r="D264" s="5" t="n">
        <f aca="false">PostPro4FW!H270+PostPro4FW!I270</f>
        <v>8087.39805956896</v>
      </c>
      <c r="E264" s="5" t="n">
        <f aca="false">PostPro4FW!S270</f>
        <v>700</v>
      </c>
      <c r="F264" s="5" t="n">
        <f aca="false">PostPro4FW!Q270</f>
        <v>0</v>
      </c>
      <c r="G264" s="0" t="n">
        <f aca="false">PostPro4FW!R270</f>
        <v>0</v>
      </c>
    </row>
    <row r="265" customFormat="false" ht="14.35" hidden="false" customHeight="false" outlineLevel="0" collapsed="false">
      <c r="A265" s="4" t="n">
        <v>15979</v>
      </c>
      <c r="B265" s="5" t="n">
        <f aca="false">PostPro4FW!H271</f>
        <v>9752.65636459719</v>
      </c>
      <c r="C265" s="5" t="n">
        <f aca="false">PostPro4FW!M271</f>
        <v>773.3333333</v>
      </c>
      <c r="D265" s="5" t="n">
        <f aca="false">PostPro4FW!H271+PostPro4FW!I271</f>
        <v>9752.65636459719</v>
      </c>
      <c r="E265" s="5" t="n">
        <f aca="false">PostPro4FW!S271</f>
        <v>773.3333333</v>
      </c>
      <c r="F265" s="5" t="n">
        <f aca="false">PostPro4FW!Q271</f>
        <v>0</v>
      </c>
      <c r="G265" s="0" t="n">
        <f aca="false">PostPro4FW!R271</f>
        <v>0</v>
      </c>
    </row>
    <row r="266" customFormat="false" ht="14.35" hidden="false" customHeight="false" outlineLevel="0" collapsed="false">
      <c r="A266" s="4" t="n">
        <v>16010</v>
      </c>
      <c r="B266" s="5" t="n">
        <f aca="false">PostPro4FW!H272</f>
        <v>4000</v>
      </c>
      <c r="C266" s="5" t="n">
        <f aca="false">PostPro4FW!M272</f>
        <v>800</v>
      </c>
      <c r="D266" s="5" t="n">
        <f aca="false">PostPro4FW!H272+PostPro4FW!I272</f>
        <v>4000</v>
      </c>
      <c r="E266" s="5" t="n">
        <f aca="false">PostPro4FW!S272</f>
        <v>800</v>
      </c>
      <c r="F266" s="5" t="n">
        <f aca="false">PostPro4FW!Q272</f>
        <v>0</v>
      </c>
      <c r="G266" s="0" t="n">
        <f aca="false">PostPro4FW!R272</f>
        <v>0</v>
      </c>
    </row>
    <row r="267" customFormat="false" ht="14.35" hidden="false" customHeight="false" outlineLevel="0" collapsed="false">
      <c r="A267" s="4" t="n">
        <v>16040</v>
      </c>
      <c r="B267" s="5" t="n">
        <f aca="false">PostPro4FW!H273</f>
        <v>2500</v>
      </c>
      <c r="C267" s="5" t="n">
        <f aca="false">PostPro4FW!M273</f>
        <v>800</v>
      </c>
      <c r="D267" s="5" t="n">
        <f aca="false">PostPro4FW!H273+PostPro4FW!I273</f>
        <v>2500</v>
      </c>
      <c r="E267" s="5" t="n">
        <f aca="false">PostPro4FW!S273</f>
        <v>800</v>
      </c>
      <c r="F267" s="5" t="n">
        <f aca="false">PostPro4FW!Q273</f>
        <v>0</v>
      </c>
      <c r="G267" s="0" t="n">
        <f aca="false">PostPro4FW!R273</f>
        <v>0</v>
      </c>
    </row>
    <row r="268" customFormat="false" ht="14.35" hidden="false" customHeight="false" outlineLevel="0" collapsed="false">
      <c r="A268" s="4" t="n">
        <v>16071</v>
      </c>
      <c r="B268" s="5" t="n">
        <f aca="false">PostPro4FW!H274</f>
        <v>2112.03501014648</v>
      </c>
      <c r="C268" s="5" t="n">
        <f aca="false">PostPro4FW!M274</f>
        <v>800</v>
      </c>
      <c r="D268" s="5" t="n">
        <f aca="false">PostPro4FW!H274+PostPro4FW!I274</f>
        <v>2112.03501014648</v>
      </c>
      <c r="E268" s="5" t="n">
        <f aca="false">PostPro4FW!S274</f>
        <v>800</v>
      </c>
      <c r="F268" s="5" t="n">
        <f aca="false">PostPro4FW!Q274</f>
        <v>0</v>
      </c>
      <c r="G268" s="0" t="n">
        <f aca="false">PostPro4FW!R274</f>
        <v>0</v>
      </c>
    </row>
    <row r="269" customFormat="false" ht="14.35" hidden="false" customHeight="false" outlineLevel="0" collapsed="false">
      <c r="A269" s="4" t="n">
        <v>16102</v>
      </c>
      <c r="B269" s="5" t="n">
        <f aca="false">PostPro4FW!H275</f>
        <v>1700</v>
      </c>
      <c r="C269" s="5" t="n">
        <f aca="false">PostPro4FW!M275</f>
        <v>800</v>
      </c>
      <c r="D269" s="5" t="n">
        <f aca="false">PostPro4FW!H275+PostPro4FW!I275</f>
        <v>1700</v>
      </c>
      <c r="E269" s="5" t="n">
        <f aca="false">PostPro4FW!S275</f>
        <v>800</v>
      </c>
      <c r="F269" s="5" t="n">
        <f aca="false">PostPro4FW!Q275</f>
        <v>0</v>
      </c>
      <c r="G269" s="0" t="n">
        <f aca="false">PostPro4FW!R275</f>
        <v>0</v>
      </c>
    </row>
    <row r="270" customFormat="false" ht="14.35" hidden="false" customHeight="false" outlineLevel="0" collapsed="false">
      <c r="A270" s="4" t="n">
        <v>16131</v>
      </c>
      <c r="B270" s="5" t="n">
        <f aca="false">PostPro4FW!H276</f>
        <v>1700</v>
      </c>
      <c r="C270" s="5" t="n">
        <f aca="false">PostPro4FW!M276</f>
        <v>800</v>
      </c>
      <c r="D270" s="5" t="n">
        <f aca="false">PostPro4FW!H276+PostPro4FW!I276</f>
        <v>1700</v>
      </c>
      <c r="E270" s="5" t="n">
        <f aca="false">PostPro4FW!S276</f>
        <v>1544.8275862069</v>
      </c>
      <c r="F270" s="5" t="n">
        <f aca="false">PostPro4FW!Q276</f>
        <v>1700</v>
      </c>
      <c r="G270" s="0" t="n">
        <f aca="false">PostPro4FW!R276</f>
        <v>24</v>
      </c>
    </row>
    <row r="271" customFormat="false" ht="14.35" hidden="false" customHeight="false" outlineLevel="0" collapsed="false">
      <c r="A271" s="4" t="n">
        <v>16162</v>
      </c>
      <c r="B271" s="5" t="n">
        <f aca="false">PostPro4FW!H277</f>
        <v>1700</v>
      </c>
      <c r="C271" s="5" t="n">
        <f aca="false">PostPro4FW!M277</f>
        <v>800</v>
      </c>
      <c r="D271" s="5" t="n">
        <f aca="false">PostPro4FW!H277+PostPro4FW!I277</f>
        <v>1700</v>
      </c>
      <c r="E271" s="5" t="n">
        <f aca="false">PostPro4FW!S277</f>
        <v>800</v>
      </c>
      <c r="F271" s="5" t="n">
        <f aca="false">PostPro4FW!Q277</f>
        <v>0</v>
      </c>
      <c r="G271" s="0" t="n">
        <f aca="false">PostPro4FW!R277</f>
        <v>0</v>
      </c>
    </row>
    <row r="272" customFormat="false" ht="14.35" hidden="false" customHeight="false" outlineLevel="0" collapsed="false">
      <c r="A272" s="4" t="n">
        <v>16192</v>
      </c>
      <c r="B272" s="5" t="n">
        <f aca="false">PostPro4FW!H278</f>
        <v>1859.20760256783</v>
      </c>
      <c r="C272" s="5" t="n">
        <f aca="false">PostPro4FW!M278</f>
        <v>700</v>
      </c>
      <c r="D272" s="5" t="n">
        <f aca="false">PostPro4FW!H278+PostPro4FW!I278</f>
        <v>2279.34649145672</v>
      </c>
      <c r="E272" s="5" t="n">
        <f aca="false">PostPro4FW!S278</f>
        <v>700</v>
      </c>
      <c r="F272" s="5" t="n">
        <f aca="false">PostPro4FW!Q278</f>
        <v>0</v>
      </c>
      <c r="G272" s="0" t="n">
        <f aca="false">PostPro4FW!R278</f>
        <v>0</v>
      </c>
    </row>
    <row r="273" customFormat="false" ht="14.35" hidden="false" customHeight="false" outlineLevel="0" collapsed="false">
      <c r="A273" s="4" t="n">
        <v>16223</v>
      </c>
      <c r="B273" s="5" t="n">
        <f aca="false">PostPro4FW!H279</f>
        <v>1110.57579613135</v>
      </c>
      <c r="C273" s="5" t="n">
        <f aca="false">PostPro4FW!M279</f>
        <v>700</v>
      </c>
      <c r="D273" s="5" t="n">
        <f aca="false">PostPro4FW!H279+PostPro4FW!I279</f>
        <v>1517.16181763672</v>
      </c>
      <c r="E273" s="5" t="n">
        <f aca="false">PostPro4FW!S279</f>
        <v>700</v>
      </c>
      <c r="F273" s="5" t="n">
        <f aca="false">PostPro4FW!Q279</f>
        <v>0</v>
      </c>
      <c r="G273" s="0" t="n">
        <f aca="false">PostPro4FW!R279</f>
        <v>0</v>
      </c>
    </row>
    <row r="274" customFormat="false" ht="14.35" hidden="false" customHeight="false" outlineLevel="0" collapsed="false">
      <c r="A274" s="4" t="n">
        <v>16253</v>
      </c>
      <c r="B274" s="5" t="n">
        <f aca="false">PostPro4FW!H280</f>
        <v>5248.8924035777</v>
      </c>
      <c r="C274" s="5" t="n">
        <f aca="false">PostPro4FW!M280</f>
        <v>700</v>
      </c>
      <c r="D274" s="5" t="n">
        <f aca="false">PostPro4FW!H280+PostPro4FW!I280</f>
        <v>5248.8924035777</v>
      </c>
      <c r="E274" s="5" t="n">
        <f aca="false">PostPro4FW!S280</f>
        <v>700</v>
      </c>
      <c r="F274" s="5" t="n">
        <f aca="false">PostPro4FW!Q280</f>
        <v>0</v>
      </c>
      <c r="G274" s="0" t="n">
        <f aca="false">PostPro4FW!R280</f>
        <v>0</v>
      </c>
    </row>
    <row r="275" customFormat="false" ht="14.35" hidden="false" customHeight="false" outlineLevel="0" collapsed="false">
      <c r="A275" s="4" t="n">
        <v>16284</v>
      </c>
      <c r="B275" s="5" t="n">
        <f aca="false">PostPro4FW!H281</f>
        <v>8931.96195607505</v>
      </c>
      <c r="C275" s="5" t="n">
        <f aca="false">PostPro4FW!M281</f>
        <v>700</v>
      </c>
      <c r="D275" s="5" t="n">
        <f aca="false">PostPro4FW!H281+PostPro4FW!I281</f>
        <v>8931.96195607505</v>
      </c>
      <c r="E275" s="5" t="n">
        <f aca="false">PostPro4FW!S281</f>
        <v>700</v>
      </c>
      <c r="F275" s="5" t="n">
        <f aca="false">PostPro4FW!Q281</f>
        <v>0</v>
      </c>
      <c r="G275" s="0" t="n">
        <f aca="false">PostPro4FW!R281</f>
        <v>0</v>
      </c>
    </row>
    <row r="276" customFormat="false" ht="14.35" hidden="false" customHeight="false" outlineLevel="0" collapsed="false">
      <c r="A276" s="4" t="n">
        <v>16315</v>
      </c>
      <c r="B276" s="5" t="n">
        <f aca="false">PostPro4FW!H282</f>
        <v>2173.53130282114</v>
      </c>
      <c r="C276" s="5" t="n">
        <f aca="false">PostPro4FW!M282</f>
        <v>700</v>
      </c>
      <c r="D276" s="5" t="n">
        <f aca="false">PostPro4FW!H282+PostPro4FW!I282</f>
        <v>2173.53130282114</v>
      </c>
      <c r="E276" s="5" t="n">
        <f aca="false">PostPro4FW!S282</f>
        <v>700</v>
      </c>
      <c r="F276" s="5" t="n">
        <f aca="false">PostPro4FW!Q282</f>
        <v>0</v>
      </c>
      <c r="G276" s="0" t="n">
        <f aca="false">PostPro4FW!R282</f>
        <v>0</v>
      </c>
    </row>
    <row r="277" customFormat="false" ht="14.35" hidden="false" customHeight="false" outlineLevel="0" collapsed="false">
      <c r="A277" s="4" t="n">
        <v>16345</v>
      </c>
      <c r="B277" s="5" t="n">
        <f aca="false">PostPro4FW!H283</f>
        <v>1202.64249669328</v>
      </c>
      <c r="C277" s="5" t="n">
        <f aca="false">PostPro4FW!M283</f>
        <v>773.3333333</v>
      </c>
      <c r="D277" s="5" t="n">
        <f aca="false">PostPro4FW!H283+PostPro4FW!I283</f>
        <v>1202.64249669328</v>
      </c>
      <c r="E277" s="5" t="n">
        <f aca="false">PostPro4FW!S283</f>
        <v>773.3333333</v>
      </c>
      <c r="F277" s="5" t="n">
        <f aca="false">PostPro4FW!Q283</f>
        <v>0</v>
      </c>
      <c r="G277" s="0" t="n">
        <f aca="false">PostPro4FW!R283</f>
        <v>0</v>
      </c>
    </row>
    <row r="278" customFormat="false" ht="14.35" hidden="false" customHeight="false" outlineLevel="0" collapsed="false">
      <c r="A278" s="4" t="n">
        <v>16376</v>
      </c>
      <c r="B278" s="5" t="n">
        <f aca="false">PostPro4FW!H284</f>
        <v>1700</v>
      </c>
      <c r="C278" s="5" t="n">
        <f aca="false">PostPro4FW!M284</f>
        <v>800</v>
      </c>
      <c r="D278" s="5" t="n">
        <f aca="false">PostPro4FW!H284+PostPro4FW!I284</f>
        <v>1700</v>
      </c>
      <c r="E278" s="5" t="n">
        <f aca="false">PostPro4FW!S284</f>
        <v>800</v>
      </c>
      <c r="F278" s="5" t="n">
        <f aca="false">PostPro4FW!Q284</f>
        <v>0</v>
      </c>
      <c r="G278" s="0" t="n">
        <f aca="false">PostPro4FW!R284</f>
        <v>0</v>
      </c>
    </row>
    <row r="279" customFormat="false" ht="14.35" hidden="false" customHeight="false" outlineLevel="0" collapsed="false">
      <c r="A279" s="4" t="n">
        <v>16406</v>
      </c>
      <c r="B279" s="5" t="n">
        <f aca="false">PostPro4FW!H285</f>
        <v>1700</v>
      </c>
      <c r="C279" s="5" t="n">
        <f aca="false">PostPro4FW!M285</f>
        <v>800</v>
      </c>
      <c r="D279" s="5" t="n">
        <f aca="false">PostPro4FW!H285+PostPro4FW!I285</f>
        <v>1700</v>
      </c>
      <c r="E279" s="5" t="n">
        <f aca="false">PostPro4FW!S285</f>
        <v>800</v>
      </c>
      <c r="F279" s="5" t="n">
        <f aca="false">PostPro4FW!Q285</f>
        <v>0</v>
      </c>
      <c r="G279" s="0" t="n">
        <f aca="false">PostPro4FW!R285</f>
        <v>0</v>
      </c>
    </row>
    <row r="280" customFormat="false" ht="14.35" hidden="false" customHeight="false" outlineLevel="0" collapsed="false">
      <c r="A280" s="4" t="n">
        <v>16437</v>
      </c>
      <c r="B280" s="5" t="n">
        <f aca="false">PostPro4FW!H286</f>
        <v>1700</v>
      </c>
      <c r="C280" s="5" t="n">
        <f aca="false">PostPro4FW!M286</f>
        <v>800</v>
      </c>
      <c r="D280" s="5" t="n">
        <f aca="false">PostPro4FW!H286+PostPro4FW!I286</f>
        <v>1700</v>
      </c>
      <c r="E280" s="5" t="n">
        <f aca="false">PostPro4FW!S286</f>
        <v>800</v>
      </c>
      <c r="F280" s="5" t="n">
        <f aca="false">PostPro4FW!Q286</f>
        <v>0</v>
      </c>
      <c r="G280" s="0" t="n">
        <f aca="false">PostPro4FW!R286</f>
        <v>0</v>
      </c>
    </row>
    <row r="281" customFormat="false" ht="14.35" hidden="false" customHeight="false" outlineLevel="0" collapsed="false">
      <c r="A281" s="4" t="n">
        <v>16468</v>
      </c>
      <c r="B281" s="5" t="n">
        <f aca="false">PostPro4FW!H287</f>
        <v>1700</v>
      </c>
      <c r="C281" s="5" t="n">
        <f aca="false">PostPro4FW!M287</f>
        <v>800</v>
      </c>
      <c r="D281" s="5" t="n">
        <f aca="false">PostPro4FW!H287+PostPro4FW!I287</f>
        <v>1700</v>
      </c>
      <c r="E281" s="5" t="n">
        <f aca="false">PostPro4FW!S287</f>
        <v>800</v>
      </c>
      <c r="F281" s="5" t="n">
        <f aca="false">PostPro4FW!Q287</f>
        <v>0</v>
      </c>
      <c r="G281" s="0" t="n">
        <f aca="false">PostPro4FW!R287</f>
        <v>0</v>
      </c>
    </row>
    <row r="282" customFormat="false" ht="14.35" hidden="false" customHeight="false" outlineLevel="0" collapsed="false">
      <c r="A282" s="4" t="n">
        <v>16496</v>
      </c>
      <c r="B282" s="5" t="n">
        <f aca="false">PostPro4FW!H288</f>
        <v>1700</v>
      </c>
      <c r="C282" s="5" t="n">
        <f aca="false">PostPro4FW!M288</f>
        <v>800</v>
      </c>
      <c r="D282" s="5" t="n">
        <f aca="false">PostPro4FW!H288+PostPro4FW!I288</f>
        <v>1700</v>
      </c>
      <c r="E282" s="5" t="n">
        <f aca="false">PostPro4FW!S288</f>
        <v>1571.42857142857</v>
      </c>
      <c r="F282" s="5" t="n">
        <f aca="false">PostPro4FW!Q288</f>
        <v>1700</v>
      </c>
      <c r="G282" s="0" t="n">
        <f aca="false">PostPro4FW!R288</f>
        <v>24</v>
      </c>
    </row>
    <row r="283" customFormat="false" ht="14.35" hidden="false" customHeight="false" outlineLevel="0" collapsed="false">
      <c r="A283" s="4" t="n">
        <v>16527</v>
      </c>
      <c r="B283" s="5" t="n">
        <f aca="false">PostPro4FW!H289</f>
        <v>1700</v>
      </c>
      <c r="C283" s="5" t="n">
        <f aca="false">PostPro4FW!M289</f>
        <v>800</v>
      </c>
      <c r="D283" s="5" t="n">
        <f aca="false">PostPro4FW!H289+PostPro4FW!I289</f>
        <v>1700</v>
      </c>
      <c r="E283" s="5" t="n">
        <f aca="false">PostPro4FW!S289</f>
        <v>800</v>
      </c>
      <c r="F283" s="5" t="n">
        <f aca="false">PostPro4FW!Q289</f>
        <v>0</v>
      </c>
      <c r="G283" s="0" t="n">
        <f aca="false">PostPro4FW!R289</f>
        <v>0</v>
      </c>
    </row>
    <row r="284" customFormat="false" ht="14.35" hidden="false" customHeight="false" outlineLevel="0" collapsed="false">
      <c r="A284" s="4" t="n">
        <v>16557</v>
      </c>
      <c r="B284" s="5" t="n">
        <f aca="false">PostPro4FW!H290</f>
        <v>1000</v>
      </c>
      <c r="C284" s="5" t="n">
        <f aca="false">PostPro4FW!M290</f>
        <v>700</v>
      </c>
      <c r="D284" s="5" t="n">
        <f aca="false">PostPro4FW!H290+PostPro4FW!I290</f>
        <v>1420.13888888889</v>
      </c>
      <c r="E284" s="5" t="n">
        <f aca="false">PostPro4FW!S290</f>
        <v>700</v>
      </c>
      <c r="F284" s="5" t="n">
        <f aca="false">PostPro4FW!Q290</f>
        <v>0</v>
      </c>
      <c r="G284" s="0" t="n">
        <f aca="false">PostPro4FW!R290</f>
        <v>0</v>
      </c>
    </row>
    <row r="285" customFormat="false" ht="14.35" hidden="false" customHeight="false" outlineLevel="0" collapsed="false">
      <c r="A285" s="4" t="n">
        <v>16588</v>
      </c>
      <c r="B285" s="5" t="n">
        <f aca="false">PostPro4FW!H291</f>
        <v>1000</v>
      </c>
      <c r="C285" s="5" t="n">
        <f aca="false">PostPro4FW!M291</f>
        <v>700</v>
      </c>
      <c r="D285" s="5" t="n">
        <f aca="false">PostPro4FW!H291+PostPro4FW!I291</f>
        <v>1406.58602150538</v>
      </c>
      <c r="E285" s="5" t="n">
        <f aca="false">PostPro4FW!S291</f>
        <v>700</v>
      </c>
      <c r="F285" s="5" t="n">
        <f aca="false">PostPro4FW!Q291</f>
        <v>0</v>
      </c>
      <c r="G285" s="0" t="n">
        <f aca="false">PostPro4FW!R291</f>
        <v>0</v>
      </c>
    </row>
    <row r="286" customFormat="false" ht="14.35" hidden="false" customHeight="false" outlineLevel="0" collapsed="false">
      <c r="A286" s="4" t="n">
        <v>16618</v>
      </c>
      <c r="B286" s="5" t="n">
        <f aca="false">PostPro4FW!H292</f>
        <v>2826.02130715183</v>
      </c>
      <c r="C286" s="5" t="n">
        <f aca="false">PostPro4FW!M292</f>
        <v>700</v>
      </c>
      <c r="D286" s="5" t="n">
        <f aca="false">PostPro4FW!H292+PostPro4FW!I292</f>
        <v>2826.02130715183</v>
      </c>
      <c r="E286" s="5" t="n">
        <f aca="false">PostPro4FW!S292</f>
        <v>700</v>
      </c>
      <c r="F286" s="5" t="n">
        <f aca="false">PostPro4FW!Q292</f>
        <v>0</v>
      </c>
      <c r="G286" s="0" t="n">
        <f aca="false">PostPro4FW!R292</f>
        <v>0</v>
      </c>
    </row>
    <row r="287" customFormat="false" ht="14.35" hidden="false" customHeight="false" outlineLevel="0" collapsed="false">
      <c r="A287" s="4" t="n">
        <v>16649</v>
      </c>
      <c r="B287" s="5" t="n">
        <f aca="false">PostPro4FW!H293</f>
        <v>8860.12287876935</v>
      </c>
      <c r="C287" s="5" t="n">
        <f aca="false">PostPro4FW!M293</f>
        <v>700</v>
      </c>
      <c r="D287" s="5" t="n">
        <f aca="false">PostPro4FW!H293+PostPro4FW!I293</f>
        <v>8860.12287876935</v>
      </c>
      <c r="E287" s="5" t="n">
        <f aca="false">PostPro4FW!S293</f>
        <v>700</v>
      </c>
      <c r="F287" s="5" t="n">
        <f aca="false">PostPro4FW!Q293</f>
        <v>0</v>
      </c>
      <c r="G287" s="0" t="n">
        <f aca="false">PostPro4FW!R293</f>
        <v>0</v>
      </c>
    </row>
    <row r="288" customFormat="false" ht="14.35" hidden="false" customHeight="false" outlineLevel="0" collapsed="false">
      <c r="A288" s="4" t="n">
        <v>16680</v>
      </c>
      <c r="B288" s="5" t="n">
        <f aca="false">PostPro4FW!H294</f>
        <v>7813.84743060042</v>
      </c>
      <c r="C288" s="5" t="n">
        <f aca="false">PostPro4FW!M294</f>
        <v>700</v>
      </c>
      <c r="D288" s="5" t="n">
        <f aca="false">PostPro4FW!H294+PostPro4FW!I294</f>
        <v>7813.84743060042</v>
      </c>
      <c r="E288" s="5" t="n">
        <f aca="false">PostPro4FW!S294</f>
        <v>700</v>
      </c>
      <c r="F288" s="5" t="n">
        <f aca="false">PostPro4FW!Q294</f>
        <v>0</v>
      </c>
      <c r="G288" s="0" t="n">
        <f aca="false">PostPro4FW!R294</f>
        <v>0</v>
      </c>
    </row>
    <row r="289" customFormat="false" ht="14.35" hidden="false" customHeight="false" outlineLevel="0" collapsed="false">
      <c r="A289" s="4" t="n">
        <v>16710</v>
      </c>
      <c r="B289" s="5" t="n">
        <f aca="false">PostPro4FW!H295</f>
        <v>1405.91779142264</v>
      </c>
      <c r="C289" s="5" t="n">
        <f aca="false">PostPro4FW!M295</f>
        <v>773.3333333</v>
      </c>
      <c r="D289" s="5" t="n">
        <f aca="false">PostPro4FW!H295+PostPro4FW!I295</f>
        <v>1405.91779142264</v>
      </c>
      <c r="E289" s="5" t="n">
        <f aca="false">PostPro4FW!S295</f>
        <v>773.3333333</v>
      </c>
      <c r="F289" s="5" t="n">
        <f aca="false">PostPro4FW!Q295</f>
        <v>0</v>
      </c>
      <c r="G289" s="0" t="n">
        <f aca="false">PostPro4FW!R295</f>
        <v>0</v>
      </c>
    </row>
    <row r="290" customFormat="false" ht="14.35" hidden="false" customHeight="false" outlineLevel="0" collapsed="false">
      <c r="A290" s="4" t="n">
        <v>16741</v>
      </c>
      <c r="B290" s="5" t="n">
        <f aca="false">PostPro4FW!H296</f>
        <v>1903.26880925887</v>
      </c>
      <c r="C290" s="5" t="n">
        <f aca="false">PostPro4FW!M296</f>
        <v>800</v>
      </c>
      <c r="D290" s="5" t="n">
        <f aca="false">PostPro4FW!H296+PostPro4FW!I296</f>
        <v>1903.26880925887</v>
      </c>
      <c r="E290" s="5" t="n">
        <f aca="false">PostPro4FW!S296</f>
        <v>800</v>
      </c>
      <c r="F290" s="5" t="n">
        <f aca="false">PostPro4FW!Q296</f>
        <v>0</v>
      </c>
      <c r="G290" s="0" t="n">
        <f aca="false">PostPro4FW!R296</f>
        <v>0</v>
      </c>
    </row>
    <row r="291" customFormat="false" ht="14.35" hidden="false" customHeight="false" outlineLevel="0" collapsed="false">
      <c r="A291" s="4" t="n">
        <v>16771</v>
      </c>
      <c r="B291" s="5" t="n">
        <f aca="false">PostPro4FW!H297</f>
        <v>1700</v>
      </c>
      <c r="C291" s="5" t="n">
        <f aca="false">PostPro4FW!M297</f>
        <v>800</v>
      </c>
      <c r="D291" s="5" t="n">
        <f aca="false">PostPro4FW!H297+PostPro4FW!I297</f>
        <v>1700</v>
      </c>
      <c r="E291" s="5" t="n">
        <f aca="false">PostPro4FW!S297</f>
        <v>800</v>
      </c>
      <c r="F291" s="5" t="n">
        <f aca="false">PostPro4FW!Q297</f>
        <v>0</v>
      </c>
      <c r="G291" s="0" t="n">
        <f aca="false">PostPro4FW!R297</f>
        <v>0</v>
      </c>
    </row>
    <row r="292" customFormat="false" ht="14.35" hidden="false" customHeight="false" outlineLevel="0" collapsed="false">
      <c r="A292" s="4" t="n">
        <v>16802</v>
      </c>
      <c r="B292" s="5" t="n">
        <f aca="false">PostPro4FW!H298</f>
        <v>1700</v>
      </c>
      <c r="C292" s="5" t="n">
        <f aca="false">PostPro4FW!M298</f>
        <v>800</v>
      </c>
      <c r="D292" s="5" t="n">
        <f aca="false">PostPro4FW!H298+PostPro4FW!I298</f>
        <v>1700</v>
      </c>
      <c r="E292" s="5" t="n">
        <f aca="false">PostPro4FW!S298</f>
        <v>800</v>
      </c>
      <c r="F292" s="5" t="n">
        <f aca="false">PostPro4FW!Q298</f>
        <v>0</v>
      </c>
      <c r="G292" s="0" t="n">
        <f aca="false">PostPro4FW!R298</f>
        <v>0</v>
      </c>
    </row>
    <row r="293" customFormat="false" ht="14.35" hidden="false" customHeight="false" outlineLevel="0" collapsed="false">
      <c r="A293" s="4" t="n">
        <v>16833</v>
      </c>
      <c r="B293" s="5" t="n">
        <f aca="false">PostPro4FW!H299</f>
        <v>1700</v>
      </c>
      <c r="C293" s="5" t="n">
        <f aca="false">PostPro4FW!M299</f>
        <v>800</v>
      </c>
      <c r="D293" s="5" t="n">
        <f aca="false">PostPro4FW!H299+PostPro4FW!I299</f>
        <v>1700</v>
      </c>
      <c r="E293" s="5" t="n">
        <f aca="false">PostPro4FW!S299</f>
        <v>800</v>
      </c>
      <c r="F293" s="5" t="n">
        <f aca="false">PostPro4FW!Q299</f>
        <v>0</v>
      </c>
      <c r="G293" s="0" t="n">
        <f aca="false">PostPro4FW!R299</f>
        <v>0</v>
      </c>
    </row>
    <row r="294" customFormat="false" ht="14.35" hidden="false" customHeight="false" outlineLevel="0" collapsed="false">
      <c r="A294" s="4" t="n">
        <v>16861</v>
      </c>
      <c r="B294" s="5" t="n">
        <f aca="false">PostPro4FW!H300</f>
        <v>1700</v>
      </c>
      <c r="C294" s="5" t="n">
        <f aca="false">PostPro4FW!M300</f>
        <v>800</v>
      </c>
      <c r="D294" s="5" t="n">
        <f aca="false">PostPro4FW!H300+PostPro4FW!I300</f>
        <v>1700</v>
      </c>
      <c r="E294" s="5" t="n">
        <f aca="false">PostPro4FW!S300</f>
        <v>1571.42857142857</v>
      </c>
      <c r="F294" s="5" t="n">
        <f aca="false">PostPro4FW!Q300</f>
        <v>1700</v>
      </c>
      <c r="G294" s="0" t="n">
        <f aca="false">PostPro4FW!R300</f>
        <v>24</v>
      </c>
    </row>
    <row r="295" customFormat="false" ht="14.35" hidden="false" customHeight="false" outlineLevel="0" collapsed="false">
      <c r="A295" s="4" t="n">
        <v>16892</v>
      </c>
      <c r="B295" s="5" t="n">
        <f aca="false">PostPro4FW!H301</f>
        <v>1700</v>
      </c>
      <c r="C295" s="5" t="n">
        <f aca="false">PostPro4FW!M301</f>
        <v>800</v>
      </c>
      <c r="D295" s="5" t="n">
        <f aca="false">PostPro4FW!H301+PostPro4FW!I301</f>
        <v>1700</v>
      </c>
      <c r="E295" s="5" t="n">
        <f aca="false">PostPro4FW!S301</f>
        <v>800</v>
      </c>
      <c r="F295" s="5" t="n">
        <f aca="false">PostPro4FW!Q301</f>
        <v>0</v>
      </c>
      <c r="G295" s="0" t="n">
        <f aca="false">PostPro4FW!R301</f>
        <v>0</v>
      </c>
    </row>
    <row r="296" customFormat="false" ht="14.35" hidden="false" customHeight="false" outlineLevel="0" collapsed="false">
      <c r="A296" s="4" t="n">
        <v>16922</v>
      </c>
      <c r="B296" s="5" t="n">
        <f aca="false">PostPro4FW!H302</f>
        <v>1000</v>
      </c>
      <c r="C296" s="5" t="n">
        <f aca="false">PostPro4FW!M302</f>
        <v>700</v>
      </c>
      <c r="D296" s="5" t="n">
        <f aca="false">PostPro4FW!H302+PostPro4FW!I302</f>
        <v>1420.13888888889</v>
      </c>
      <c r="E296" s="5" t="n">
        <f aca="false">PostPro4FW!S302</f>
        <v>700</v>
      </c>
      <c r="F296" s="5" t="n">
        <f aca="false">PostPro4FW!Q302</f>
        <v>0</v>
      </c>
      <c r="G296" s="0" t="n">
        <f aca="false">PostPro4FW!R302</f>
        <v>0</v>
      </c>
    </row>
    <row r="297" customFormat="false" ht="14.35" hidden="false" customHeight="false" outlineLevel="0" collapsed="false">
      <c r="A297" s="4" t="n">
        <v>16953</v>
      </c>
      <c r="B297" s="5" t="n">
        <f aca="false">PostPro4FW!H303</f>
        <v>1000</v>
      </c>
      <c r="C297" s="5" t="n">
        <f aca="false">PostPro4FW!M303</f>
        <v>700</v>
      </c>
      <c r="D297" s="5" t="n">
        <f aca="false">PostPro4FW!H303+PostPro4FW!I303</f>
        <v>1406.58602150538</v>
      </c>
      <c r="E297" s="5" t="n">
        <f aca="false">PostPro4FW!S303</f>
        <v>700</v>
      </c>
      <c r="F297" s="5" t="n">
        <f aca="false">PostPro4FW!Q303</f>
        <v>0</v>
      </c>
      <c r="G297" s="0" t="n">
        <f aca="false">PostPro4FW!R303</f>
        <v>0</v>
      </c>
    </row>
    <row r="298" customFormat="false" ht="14.35" hidden="false" customHeight="false" outlineLevel="0" collapsed="false">
      <c r="A298" s="4" t="n">
        <v>16983</v>
      </c>
      <c r="B298" s="5" t="n">
        <f aca="false">PostPro4FW!H304</f>
        <v>3871.70308160316</v>
      </c>
      <c r="C298" s="5" t="n">
        <f aca="false">PostPro4FW!M304</f>
        <v>700</v>
      </c>
      <c r="D298" s="5" t="n">
        <f aca="false">PostPro4FW!H304+PostPro4FW!I304</f>
        <v>3871.70308160316</v>
      </c>
      <c r="E298" s="5" t="n">
        <f aca="false">PostPro4FW!S304</f>
        <v>700</v>
      </c>
      <c r="F298" s="5" t="n">
        <f aca="false">PostPro4FW!Q304</f>
        <v>0</v>
      </c>
      <c r="G298" s="0" t="n">
        <f aca="false">PostPro4FW!R304</f>
        <v>0</v>
      </c>
    </row>
    <row r="299" customFormat="false" ht="14.35" hidden="false" customHeight="false" outlineLevel="0" collapsed="false">
      <c r="A299" s="4" t="n">
        <v>17014</v>
      </c>
      <c r="B299" s="5" t="n">
        <f aca="false">PostPro4FW!H305</f>
        <v>9786.8666421669</v>
      </c>
      <c r="C299" s="5" t="n">
        <f aca="false">PostPro4FW!M305</f>
        <v>700</v>
      </c>
      <c r="D299" s="5" t="n">
        <f aca="false">PostPro4FW!H305+PostPro4FW!I305</f>
        <v>9786.8666421669</v>
      </c>
      <c r="E299" s="5" t="n">
        <f aca="false">PostPro4FW!S305</f>
        <v>700</v>
      </c>
      <c r="F299" s="5" t="n">
        <f aca="false">PostPro4FW!Q305</f>
        <v>0</v>
      </c>
      <c r="G299" s="0" t="n">
        <f aca="false">PostPro4FW!R305</f>
        <v>0</v>
      </c>
    </row>
    <row r="300" customFormat="false" ht="14.35" hidden="false" customHeight="false" outlineLevel="0" collapsed="false">
      <c r="A300" s="4" t="n">
        <v>17045</v>
      </c>
      <c r="B300" s="5" t="n">
        <f aca="false">PostPro4FW!H306</f>
        <v>8458.05901194379</v>
      </c>
      <c r="C300" s="5" t="n">
        <f aca="false">PostPro4FW!M306</f>
        <v>700</v>
      </c>
      <c r="D300" s="5" t="n">
        <f aca="false">PostPro4FW!H306+PostPro4FW!I306</f>
        <v>8458.05901194379</v>
      </c>
      <c r="E300" s="5" t="n">
        <f aca="false">PostPro4FW!S306</f>
        <v>700</v>
      </c>
      <c r="F300" s="5" t="n">
        <f aca="false">PostPro4FW!Q306</f>
        <v>0</v>
      </c>
      <c r="G300" s="0" t="n">
        <f aca="false">PostPro4FW!R306</f>
        <v>0</v>
      </c>
    </row>
    <row r="301" customFormat="false" ht="14.35" hidden="false" customHeight="false" outlineLevel="0" collapsed="false">
      <c r="A301" s="4" t="n">
        <v>17075</v>
      </c>
      <c r="B301" s="5" t="n">
        <f aca="false">PostPro4FW!H307</f>
        <v>5499.57215322607</v>
      </c>
      <c r="C301" s="5" t="n">
        <f aca="false">PostPro4FW!M307</f>
        <v>773.3333333</v>
      </c>
      <c r="D301" s="5" t="n">
        <f aca="false">PostPro4FW!H307+PostPro4FW!I307</f>
        <v>5499.57215322607</v>
      </c>
      <c r="E301" s="5" t="n">
        <f aca="false">PostPro4FW!S307</f>
        <v>773.3333333</v>
      </c>
      <c r="F301" s="5" t="n">
        <f aca="false">PostPro4FW!Q307</f>
        <v>0</v>
      </c>
      <c r="G301" s="0" t="n">
        <f aca="false">PostPro4FW!R307</f>
        <v>0</v>
      </c>
    </row>
    <row r="302" customFormat="false" ht="14.35" hidden="false" customHeight="false" outlineLevel="0" collapsed="false">
      <c r="A302" s="4" t="n">
        <v>17106</v>
      </c>
      <c r="B302" s="5" t="n">
        <f aca="false">PostPro4FW!H308</f>
        <v>2192.58225734145</v>
      </c>
      <c r="C302" s="5" t="n">
        <f aca="false">PostPro4FW!M308</f>
        <v>800</v>
      </c>
      <c r="D302" s="5" t="n">
        <f aca="false">PostPro4FW!H308+PostPro4FW!I308</f>
        <v>2192.58225734145</v>
      </c>
      <c r="E302" s="5" t="n">
        <f aca="false">PostPro4FW!S308</f>
        <v>800</v>
      </c>
      <c r="F302" s="5" t="n">
        <f aca="false">PostPro4FW!Q308</f>
        <v>0</v>
      </c>
      <c r="G302" s="0" t="n">
        <f aca="false">PostPro4FW!R308</f>
        <v>0</v>
      </c>
    </row>
    <row r="303" customFormat="false" ht="14.35" hidden="false" customHeight="false" outlineLevel="0" collapsed="false">
      <c r="A303" s="4" t="n">
        <v>17136</v>
      </c>
      <c r="B303" s="5" t="n">
        <f aca="false">PostPro4FW!H309</f>
        <v>1700</v>
      </c>
      <c r="C303" s="5" t="n">
        <f aca="false">PostPro4FW!M309</f>
        <v>800</v>
      </c>
      <c r="D303" s="5" t="n">
        <f aca="false">PostPro4FW!H309+PostPro4FW!I309</f>
        <v>1700</v>
      </c>
      <c r="E303" s="5" t="n">
        <f aca="false">PostPro4FW!S309</f>
        <v>800</v>
      </c>
      <c r="F303" s="5" t="n">
        <f aca="false">PostPro4FW!Q309</f>
        <v>0</v>
      </c>
      <c r="G303" s="0" t="n">
        <f aca="false">PostPro4FW!R309</f>
        <v>0</v>
      </c>
    </row>
    <row r="304" customFormat="false" ht="14.35" hidden="false" customHeight="false" outlineLevel="0" collapsed="false">
      <c r="A304" s="4" t="n">
        <v>17167</v>
      </c>
      <c r="B304" s="5" t="n">
        <f aca="false">PostPro4FW!H310</f>
        <v>1700</v>
      </c>
      <c r="C304" s="5" t="n">
        <f aca="false">PostPro4FW!M310</f>
        <v>800</v>
      </c>
      <c r="D304" s="5" t="n">
        <f aca="false">PostPro4FW!H310+PostPro4FW!I310</f>
        <v>1700</v>
      </c>
      <c r="E304" s="5" t="n">
        <f aca="false">PostPro4FW!S310</f>
        <v>800</v>
      </c>
      <c r="F304" s="5" t="n">
        <f aca="false">PostPro4FW!Q310</f>
        <v>0</v>
      </c>
      <c r="G304" s="0" t="n">
        <f aca="false">PostPro4FW!R310</f>
        <v>0</v>
      </c>
    </row>
    <row r="305" customFormat="false" ht="14.35" hidden="false" customHeight="false" outlineLevel="0" collapsed="false">
      <c r="A305" s="4" t="n">
        <v>17198</v>
      </c>
      <c r="B305" s="5" t="n">
        <f aca="false">PostPro4FW!H311</f>
        <v>1700</v>
      </c>
      <c r="C305" s="5" t="n">
        <f aca="false">PostPro4FW!M311</f>
        <v>800</v>
      </c>
      <c r="D305" s="5" t="n">
        <f aca="false">PostPro4FW!H311+PostPro4FW!I311</f>
        <v>1700</v>
      </c>
      <c r="E305" s="5" t="n">
        <f aca="false">PostPro4FW!S311</f>
        <v>800</v>
      </c>
      <c r="F305" s="5" t="n">
        <f aca="false">PostPro4FW!Q311</f>
        <v>0</v>
      </c>
      <c r="G305" s="0" t="n">
        <f aca="false">PostPro4FW!R311</f>
        <v>0</v>
      </c>
    </row>
    <row r="306" customFormat="false" ht="14.35" hidden="false" customHeight="false" outlineLevel="0" collapsed="false">
      <c r="A306" s="4" t="n">
        <v>17226</v>
      </c>
      <c r="B306" s="5" t="n">
        <f aca="false">PostPro4FW!H312</f>
        <v>1700</v>
      </c>
      <c r="C306" s="5" t="n">
        <f aca="false">PostPro4FW!M312</f>
        <v>800</v>
      </c>
      <c r="D306" s="5" t="n">
        <f aca="false">PostPro4FW!H312+PostPro4FW!I312</f>
        <v>1700</v>
      </c>
      <c r="E306" s="5" t="n">
        <f aca="false">PostPro4FW!S312</f>
        <v>1571.42857142857</v>
      </c>
      <c r="F306" s="5" t="n">
        <f aca="false">PostPro4FW!Q312</f>
        <v>1700</v>
      </c>
      <c r="G306" s="0" t="n">
        <f aca="false">PostPro4FW!R312</f>
        <v>24</v>
      </c>
    </row>
    <row r="307" customFormat="false" ht="14.35" hidden="false" customHeight="false" outlineLevel="0" collapsed="false">
      <c r="A307" s="4" t="n">
        <v>17257</v>
      </c>
      <c r="B307" s="5" t="n">
        <f aca="false">PostPro4FW!H313</f>
        <v>1700</v>
      </c>
      <c r="C307" s="5" t="n">
        <f aca="false">PostPro4FW!M313</f>
        <v>800</v>
      </c>
      <c r="D307" s="5" t="n">
        <f aca="false">PostPro4FW!H313+PostPro4FW!I313</f>
        <v>1700</v>
      </c>
      <c r="E307" s="5" t="n">
        <f aca="false">PostPro4FW!S313</f>
        <v>800</v>
      </c>
      <c r="F307" s="5" t="n">
        <f aca="false">PostPro4FW!Q313</f>
        <v>0</v>
      </c>
      <c r="G307" s="0" t="n">
        <f aca="false">PostPro4FW!R313</f>
        <v>0</v>
      </c>
    </row>
    <row r="308" customFormat="false" ht="14.35" hidden="false" customHeight="false" outlineLevel="0" collapsed="false">
      <c r="A308" s="4" t="n">
        <v>17287</v>
      </c>
      <c r="B308" s="5" t="n">
        <f aca="false">PostPro4FW!H314</f>
        <v>1000</v>
      </c>
      <c r="C308" s="5" t="n">
        <f aca="false">PostPro4FW!M314</f>
        <v>700</v>
      </c>
      <c r="D308" s="5" t="n">
        <f aca="false">PostPro4FW!H314+PostPro4FW!I314</f>
        <v>1420.13888888889</v>
      </c>
      <c r="E308" s="5" t="n">
        <f aca="false">PostPro4FW!S314</f>
        <v>700</v>
      </c>
      <c r="F308" s="5" t="n">
        <f aca="false">PostPro4FW!Q314</f>
        <v>0</v>
      </c>
      <c r="G308" s="0" t="n">
        <f aca="false">PostPro4FW!R314</f>
        <v>0</v>
      </c>
    </row>
    <row r="309" customFormat="false" ht="14.35" hidden="false" customHeight="false" outlineLevel="0" collapsed="false">
      <c r="A309" s="4" t="n">
        <v>17318</v>
      </c>
      <c r="B309" s="5" t="n">
        <f aca="false">PostPro4FW!H315</f>
        <v>2555.87286436171</v>
      </c>
      <c r="C309" s="5" t="n">
        <f aca="false">PostPro4FW!M315</f>
        <v>700</v>
      </c>
      <c r="D309" s="5" t="n">
        <f aca="false">PostPro4FW!H315+PostPro4FW!I315</f>
        <v>2962.45888586709</v>
      </c>
      <c r="E309" s="5" t="n">
        <f aca="false">PostPro4FW!S315</f>
        <v>700</v>
      </c>
      <c r="F309" s="5" t="n">
        <f aca="false">PostPro4FW!Q315</f>
        <v>0</v>
      </c>
      <c r="G309" s="0" t="n">
        <f aca="false">PostPro4FW!R315</f>
        <v>0</v>
      </c>
    </row>
    <row r="310" customFormat="false" ht="14.35" hidden="false" customHeight="false" outlineLevel="0" collapsed="false">
      <c r="A310" s="4" t="n">
        <v>17348</v>
      </c>
      <c r="B310" s="5" t="n">
        <f aca="false">PostPro4FW!H316</f>
        <v>3734.58412545067</v>
      </c>
      <c r="C310" s="5" t="n">
        <f aca="false">PostPro4FW!M316</f>
        <v>700</v>
      </c>
      <c r="D310" s="5" t="n">
        <f aca="false">PostPro4FW!H316+PostPro4FW!I316</f>
        <v>3734.58412545067</v>
      </c>
      <c r="E310" s="5" t="n">
        <f aca="false">PostPro4FW!S316</f>
        <v>700</v>
      </c>
      <c r="F310" s="5" t="n">
        <f aca="false">PostPro4FW!Q316</f>
        <v>0</v>
      </c>
      <c r="G310" s="0" t="n">
        <f aca="false">PostPro4FW!R316</f>
        <v>0</v>
      </c>
    </row>
    <row r="311" customFormat="false" ht="14.35" hidden="false" customHeight="false" outlineLevel="0" collapsed="false">
      <c r="A311" s="4" t="n">
        <v>17379</v>
      </c>
      <c r="B311" s="5" t="n">
        <f aca="false">PostPro4FW!H317</f>
        <v>5350.20622000772</v>
      </c>
      <c r="C311" s="5" t="n">
        <f aca="false">PostPro4FW!M317</f>
        <v>700</v>
      </c>
      <c r="D311" s="5" t="n">
        <f aca="false">PostPro4FW!H317+PostPro4FW!I317</f>
        <v>5350.20622000772</v>
      </c>
      <c r="E311" s="5" t="n">
        <f aca="false">PostPro4FW!S317</f>
        <v>700</v>
      </c>
      <c r="F311" s="5" t="n">
        <f aca="false">PostPro4FW!Q317</f>
        <v>0</v>
      </c>
      <c r="G311" s="0" t="n">
        <f aca="false">PostPro4FW!R317</f>
        <v>0</v>
      </c>
    </row>
    <row r="312" customFormat="false" ht="14.35" hidden="false" customHeight="false" outlineLevel="0" collapsed="false">
      <c r="A312" s="4" t="n">
        <v>17410</v>
      </c>
      <c r="B312" s="5" t="n">
        <f aca="false">PostPro4FW!H318</f>
        <v>2000.49064314944</v>
      </c>
      <c r="C312" s="5" t="n">
        <f aca="false">PostPro4FW!M318</f>
        <v>700</v>
      </c>
      <c r="D312" s="5" t="n">
        <f aca="false">PostPro4FW!H318+PostPro4FW!I318</f>
        <v>2000.49064314944</v>
      </c>
      <c r="E312" s="5" t="n">
        <f aca="false">PostPro4FW!S318</f>
        <v>700</v>
      </c>
      <c r="F312" s="5" t="n">
        <f aca="false">PostPro4FW!Q318</f>
        <v>0</v>
      </c>
      <c r="G312" s="0" t="n">
        <f aca="false">PostPro4FW!R318</f>
        <v>0</v>
      </c>
    </row>
    <row r="313" customFormat="false" ht="14.35" hidden="false" customHeight="false" outlineLevel="0" collapsed="false">
      <c r="A313" s="4" t="n">
        <v>17440</v>
      </c>
      <c r="B313" s="5" t="n">
        <f aca="false">PostPro4FW!H319</f>
        <v>1168.48279285209</v>
      </c>
      <c r="C313" s="5" t="n">
        <f aca="false">PostPro4FW!M319</f>
        <v>773.3333333</v>
      </c>
      <c r="D313" s="5" t="n">
        <f aca="false">PostPro4FW!H319+PostPro4FW!I319</f>
        <v>1168.48279285209</v>
      </c>
      <c r="E313" s="5" t="n">
        <f aca="false">PostPro4FW!S319</f>
        <v>773.3333333</v>
      </c>
      <c r="F313" s="5" t="n">
        <f aca="false">PostPro4FW!Q319</f>
        <v>0</v>
      </c>
      <c r="G313" s="0" t="n">
        <f aca="false">PostPro4FW!R319</f>
        <v>0</v>
      </c>
    </row>
    <row r="314" customFormat="false" ht="14.35" hidden="false" customHeight="false" outlineLevel="0" collapsed="false">
      <c r="A314" s="4" t="n">
        <v>17471</v>
      </c>
      <c r="B314" s="5" t="n">
        <f aca="false">PostPro4FW!H320</f>
        <v>1200</v>
      </c>
      <c r="C314" s="5" t="n">
        <f aca="false">PostPro4FW!M320</f>
        <v>800</v>
      </c>
      <c r="D314" s="5" t="n">
        <f aca="false">PostPro4FW!H320+PostPro4FW!I320</f>
        <v>1200</v>
      </c>
      <c r="E314" s="5" t="n">
        <f aca="false">PostPro4FW!S320</f>
        <v>800</v>
      </c>
      <c r="F314" s="5" t="n">
        <f aca="false">PostPro4FW!Q320</f>
        <v>0</v>
      </c>
      <c r="G314" s="0" t="n">
        <f aca="false">PostPro4FW!R320</f>
        <v>0</v>
      </c>
    </row>
    <row r="315" customFormat="false" ht="14.35" hidden="false" customHeight="false" outlineLevel="0" collapsed="false">
      <c r="A315" s="4" t="n">
        <v>17501</v>
      </c>
      <c r="B315" s="5" t="n">
        <f aca="false">PostPro4FW!H321</f>
        <v>1200.00000000001</v>
      </c>
      <c r="C315" s="5" t="n">
        <f aca="false">PostPro4FW!M321</f>
        <v>800</v>
      </c>
      <c r="D315" s="5" t="n">
        <f aca="false">PostPro4FW!H321+PostPro4FW!I321</f>
        <v>1200.00000000001</v>
      </c>
      <c r="E315" s="5" t="n">
        <f aca="false">PostPro4FW!S321</f>
        <v>800</v>
      </c>
      <c r="F315" s="5" t="n">
        <f aca="false">PostPro4FW!Q321</f>
        <v>0</v>
      </c>
      <c r="G315" s="0" t="n">
        <f aca="false">PostPro4FW!R321</f>
        <v>0</v>
      </c>
    </row>
    <row r="316" customFormat="false" ht="14.35" hidden="false" customHeight="false" outlineLevel="0" collapsed="false">
      <c r="A316" s="4" t="n">
        <v>17532</v>
      </c>
      <c r="B316" s="5" t="n">
        <f aca="false">PostPro4FW!H322</f>
        <v>1200</v>
      </c>
      <c r="C316" s="5" t="n">
        <f aca="false">PostPro4FW!M322</f>
        <v>800</v>
      </c>
      <c r="D316" s="5" t="n">
        <f aca="false">PostPro4FW!H322+PostPro4FW!I322</f>
        <v>1200</v>
      </c>
      <c r="E316" s="5" t="n">
        <f aca="false">PostPro4FW!S322</f>
        <v>800</v>
      </c>
      <c r="F316" s="5" t="n">
        <f aca="false">PostPro4FW!Q322</f>
        <v>0</v>
      </c>
      <c r="G316" s="0" t="n">
        <f aca="false">PostPro4FW!R322</f>
        <v>0</v>
      </c>
    </row>
    <row r="317" customFormat="false" ht="14.35" hidden="false" customHeight="false" outlineLevel="0" collapsed="false">
      <c r="A317" s="4" t="n">
        <v>17563</v>
      </c>
      <c r="B317" s="5" t="n">
        <f aca="false">PostPro4FW!H323</f>
        <v>1200</v>
      </c>
      <c r="C317" s="5" t="n">
        <f aca="false">PostPro4FW!M323</f>
        <v>800</v>
      </c>
      <c r="D317" s="5" t="n">
        <f aca="false">PostPro4FW!H323+PostPro4FW!I323</f>
        <v>1200</v>
      </c>
      <c r="E317" s="5" t="n">
        <f aca="false">PostPro4FW!S323</f>
        <v>800</v>
      </c>
      <c r="F317" s="5" t="n">
        <f aca="false">PostPro4FW!Q323</f>
        <v>0</v>
      </c>
      <c r="G317" s="0" t="n">
        <f aca="false">PostPro4FW!R323</f>
        <v>0</v>
      </c>
    </row>
    <row r="318" customFormat="false" ht="14.35" hidden="false" customHeight="false" outlineLevel="0" collapsed="false">
      <c r="A318" s="4" t="n">
        <v>17592</v>
      </c>
      <c r="B318" s="5" t="n">
        <f aca="false">PostPro4FW!H324</f>
        <v>1200</v>
      </c>
      <c r="C318" s="5" t="n">
        <f aca="false">PostPro4FW!M324</f>
        <v>800</v>
      </c>
      <c r="D318" s="5" t="n">
        <f aca="false">PostPro4FW!H324+PostPro4FW!I324</f>
        <v>1200</v>
      </c>
      <c r="E318" s="5" t="n">
        <f aca="false">PostPro4FW!S324</f>
        <v>1200</v>
      </c>
      <c r="F318" s="5" t="n">
        <f aca="false">PostPro4FW!Q324</f>
        <v>1200</v>
      </c>
      <c r="G318" s="0" t="n">
        <f aca="false">PostPro4FW!R324</f>
        <v>29</v>
      </c>
    </row>
    <row r="319" customFormat="false" ht="14.35" hidden="false" customHeight="false" outlineLevel="0" collapsed="false">
      <c r="A319" s="4" t="n">
        <v>17623</v>
      </c>
      <c r="B319" s="5" t="n">
        <f aca="false">PostPro4FW!H325</f>
        <v>1000</v>
      </c>
      <c r="C319" s="5" t="n">
        <f aca="false">PostPro4FW!M325</f>
        <v>800</v>
      </c>
      <c r="D319" s="5" t="n">
        <f aca="false">PostPro4FW!H325+PostPro4FW!I325</f>
        <v>1000</v>
      </c>
      <c r="E319" s="5" t="n">
        <f aca="false">PostPro4FW!S325</f>
        <v>1000</v>
      </c>
      <c r="F319" s="5" t="n">
        <f aca="false">PostPro4FW!Q325</f>
        <v>1000</v>
      </c>
      <c r="G319" s="0" t="n">
        <f aca="false">PostPro4FW!R325</f>
        <v>31</v>
      </c>
    </row>
    <row r="320" customFormat="false" ht="14.35" hidden="false" customHeight="false" outlineLevel="0" collapsed="false">
      <c r="A320" s="4" t="n">
        <v>17653</v>
      </c>
      <c r="B320" s="5" t="n">
        <f aca="false">PostPro4FW!H326</f>
        <v>1000</v>
      </c>
      <c r="C320" s="5" t="n">
        <f aca="false">PostPro4FW!M326</f>
        <v>700</v>
      </c>
      <c r="D320" s="5" t="n">
        <f aca="false">PostPro4FW!H326+PostPro4FW!I326</f>
        <v>1420.13888888889</v>
      </c>
      <c r="E320" s="5" t="n">
        <f aca="false">PostPro4FW!S326</f>
        <v>820.023148148148</v>
      </c>
      <c r="F320" s="5" t="n">
        <f aca="false">PostPro4FW!Q326</f>
        <v>1420.13888888889</v>
      </c>
      <c r="G320" s="0" t="n">
        <f aca="false">PostPro4FW!R326</f>
        <v>5</v>
      </c>
    </row>
    <row r="321" customFormat="false" ht="14.35" hidden="false" customHeight="false" outlineLevel="0" collapsed="false">
      <c r="A321" s="4" t="n">
        <v>17684</v>
      </c>
      <c r="B321" s="5" t="n">
        <f aca="false">PostPro4FW!H327</f>
        <v>1000</v>
      </c>
      <c r="C321" s="5" t="n">
        <f aca="false">PostPro4FW!M327</f>
        <v>700</v>
      </c>
      <c r="D321" s="5" t="n">
        <f aca="false">PostPro4FW!H327+PostPro4FW!I327</f>
        <v>1406.58602150538</v>
      </c>
      <c r="E321" s="5" t="n">
        <f aca="false">PostPro4FW!S327</f>
        <v>700</v>
      </c>
      <c r="F321" s="5" t="n">
        <f aca="false">PostPro4FW!Q327</f>
        <v>0</v>
      </c>
      <c r="G321" s="0" t="n">
        <f aca="false">PostPro4FW!R327</f>
        <v>0</v>
      </c>
    </row>
    <row r="322" customFormat="false" ht="14.35" hidden="false" customHeight="false" outlineLevel="0" collapsed="false">
      <c r="A322" s="4" t="n">
        <v>17714</v>
      </c>
      <c r="B322" s="5" t="n">
        <f aca="false">PostPro4FW!H328</f>
        <v>1000</v>
      </c>
      <c r="C322" s="5" t="n">
        <f aca="false">PostPro4FW!M328</f>
        <v>700</v>
      </c>
      <c r="D322" s="5" t="n">
        <f aca="false">PostPro4FW!H328+PostPro4FW!I328</f>
        <v>1000</v>
      </c>
      <c r="E322" s="5" t="n">
        <f aca="false">PostPro4FW!S328</f>
        <v>700</v>
      </c>
      <c r="F322" s="5" t="n">
        <f aca="false">PostPro4FW!Q328</f>
        <v>0</v>
      </c>
      <c r="G322" s="0" t="n">
        <f aca="false">PostPro4FW!R328</f>
        <v>0</v>
      </c>
    </row>
    <row r="323" customFormat="false" ht="14.35" hidden="false" customHeight="false" outlineLevel="0" collapsed="false">
      <c r="A323" s="4" t="n">
        <v>17745</v>
      </c>
      <c r="B323" s="5" t="n">
        <f aca="false">PostPro4FW!H329</f>
        <v>8819.0468888519</v>
      </c>
      <c r="C323" s="5" t="n">
        <f aca="false">PostPro4FW!M329</f>
        <v>700</v>
      </c>
      <c r="D323" s="5" t="n">
        <f aca="false">PostPro4FW!H329+PostPro4FW!I329</f>
        <v>8819.0468888519</v>
      </c>
      <c r="E323" s="5" t="n">
        <f aca="false">PostPro4FW!S329</f>
        <v>700</v>
      </c>
      <c r="F323" s="5" t="n">
        <f aca="false">PostPro4FW!Q329</f>
        <v>0</v>
      </c>
      <c r="G323" s="0" t="n">
        <f aca="false">PostPro4FW!R329</f>
        <v>0</v>
      </c>
    </row>
    <row r="324" customFormat="false" ht="14.35" hidden="false" customHeight="false" outlineLevel="0" collapsed="false">
      <c r="A324" s="4" t="n">
        <v>17776</v>
      </c>
      <c r="B324" s="5" t="n">
        <f aca="false">PostPro4FW!H330</f>
        <v>8008.09758556615</v>
      </c>
      <c r="C324" s="5" t="n">
        <f aca="false">PostPro4FW!M330</f>
        <v>700</v>
      </c>
      <c r="D324" s="5" t="n">
        <f aca="false">PostPro4FW!H330+PostPro4FW!I330</f>
        <v>8008.09758556615</v>
      </c>
      <c r="E324" s="5" t="n">
        <f aca="false">PostPro4FW!S330</f>
        <v>700</v>
      </c>
      <c r="F324" s="5" t="n">
        <f aca="false">PostPro4FW!Q330</f>
        <v>0</v>
      </c>
      <c r="G324" s="0" t="n">
        <f aca="false">PostPro4FW!R330</f>
        <v>0</v>
      </c>
    </row>
    <row r="325" customFormat="false" ht="14.35" hidden="false" customHeight="false" outlineLevel="0" collapsed="false">
      <c r="A325" s="4" t="n">
        <v>17806</v>
      </c>
      <c r="B325" s="5" t="n">
        <f aca="false">PostPro4FW!H331</f>
        <v>2434.69459956225</v>
      </c>
      <c r="C325" s="5" t="n">
        <f aca="false">PostPro4FW!M331</f>
        <v>773.3333333</v>
      </c>
      <c r="D325" s="5" t="n">
        <f aca="false">PostPro4FW!H331+PostPro4FW!I331</f>
        <v>2434.69459956225</v>
      </c>
      <c r="E325" s="5" t="n">
        <f aca="false">PostPro4FW!S331</f>
        <v>773.3333333</v>
      </c>
      <c r="F325" s="5" t="n">
        <f aca="false">PostPro4FW!Q331</f>
        <v>0</v>
      </c>
      <c r="G325" s="0" t="n">
        <f aca="false">PostPro4FW!R331</f>
        <v>0</v>
      </c>
    </row>
    <row r="326" customFormat="false" ht="14.35" hidden="false" customHeight="false" outlineLevel="0" collapsed="false">
      <c r="A326" s="4" t="n">
        <v>17837</v>
      </c>
      <c r="B326" s="5" t="n">
        <f aca="false">PostPro4FW!H332</f>
        <v>1996.13118620797</v>
      </c>
      <c r="C326" s="5" t="n">
        <f aca="false">PostPro4FW!M332</f>
        <v>800</v>
      </c>
      <c r="D326" s="5" t="n">
        <f aca="false">PostPro4FW!H332+PostPro4FW!I332</f>
        <v>1996.13118620797</v>
      </c>
      <c r="E326" s="5" t="n">
        <f aca="false">PostPro4FW!S332</f>
        <v>800</v>
      </c>
      <c r="F326" s="5" t="n">
        <f aca="false">PostPro4FW!Q332</f>
        <v>0</v>
      </c>
      <c r="G326" s="0" t="n">
        <f aca="false">PostPro4FW!R332</f>
        <v>0</v>
      </c>
    </row>
    <row r="327" customFormat="false" ht="14.35" hidden="false" customHeight="false" outlineLevel="0" collapsed="false">
      <c r="A327" s="4" t="n">
        <v>17867</v>
      </c>
      <c r="B327" s="5" t="n">
        <f aca="false">PostPro4FW!H333</f>
        <v>1700</v>
      </c>
      <c r="C327" s="5" t="n">
        <f aca="false">PostPro4FW!M333</f>
        <v>800</v>
      </c>
      <c r="D327" s="5" t="n">
        <f aca="false">PostPro4FW!H333+PostPro4FW!I333</f>
        <v>1700</v>
      </c>
      <c r="E327" s="5" t="n">
        <f aca="false">PostPro4FW!S333</f>
        <v>800</v>
      </c>
      <c r="F327" s="5" t="n">
        <f aca="false">PostPro4FW!Q333</f>
        <v>0</v>
      </c>
      <c r="G327" s="0" t="n">
        <f aca="false">PostPro4FW!R333</f>
        <v>0</v>
      </c>
    </row>
    <row r="328" customFormat="false" ht="14.35" hidden="false" customHeight="false" outlineLevel="0" collapsed="false">
      <c r="A328" s="4" t="n">
        <v>17898</v>
      </c>
      <c r="B328" s="5" t="n">
        <f aca="false">PostPro4FW!H334</f>
        <v>1700</v>
      </c>
      <c r="C328" s="5" t="n">
        <f aca="false">PostPro4FW!M334</f>
        <v>800</v>
      </c>
      <c r="D328" s="5" t="n">
        <f aca="false">PostPro4FW!H334+PostPro4FW!I334</f>
        <v>1700</v>
      </c>
      <c r="E328" s="5" t="n">
        <f aca="false">PostPro4FW!S334</f>
        <v>800</v>
      </c>
      <c r="F328" s="5" t="n">
        <f aca="false">PostPro4FW!Q334</f>
        <v>0</v>
      </c>
      <c r="G328" s="0" t="n">
        <f aca="false">PostPro4FW!R334</f>
        <v>0</v>
      </c>
    </row>
    <row r="329" customFormat="false" ht="14.35" hidden="false" customHeight="false" outlineLevel="0" collapsed="false">
      <c r="A329" s="4" t="n">
        <v>17929</v>
      </c>
      <c r="B329" s="5" t="n">
        <f aca="false">PostPro4FW!H335</f>
        <v>1700</v>
      </c>
      <c r="C329" s="5" t="n">
        <f aca="false">PostPro4FW!M335</f>
        <v>800</v>
      </c>
      <c r="D329" s="5" t="n">
        <f aca="false">PostPro4FW!H335+PostPro4FW!I335</f>
        <v>1700</v>
      </c>
      <c r="E329" s="5" t="n">
        <f aca="false">PostPro4FW!S335</f>
        <v>800</v>
      </c>
      <c r="F329" s="5" t="n">
        <f aca="false">PostPro4FW!Q335</f>
        <v>0</v>
      </c>
      <c r="G329" s="0" t="n">
        <f aca="false">PostPro4FW!R335</f>
        <v>0</v>
      </c>
    </row>
    <row r="330" customFormat="false" ht="14.35" hidden="false" customHeight="false" outlineLevel="0" collapsed="false">
      <c r="A330" s="4" t="n">
        <v>17957</v>
      </c>
      <c r="B330" s="5" t="n">
        <f aca="false">PostPro4FW!H336</f>
        <v>1700</v>
      </c>
      <c r="C330" s="5" t="n">
        <f aca="false">PostPro4FW!M336</f>
        <v>800</v>
      </c>
      <c r="D330" s="5" t="n">
        <f aca="false">PostPro4FW!H336+PostPro4FW!I336</f>
        <v>1700</v>
      </c>
      <c r="E330" s="5" t="n">
        <f aca="false">PostPro4FW!S336</f>
        <v>1571.42857142857</v>
      </c>
      <c r="F330" s="5" t="n">
        <f aca="false">PostPro4FW!Q336</f>
        <v>1700</v>
      </c>
      <c r="G330" s="0" t="n">
        <f aca="false">PostPro4FW!R336</f>
        <v>24</v>
      </c>
    </row>
    <row r="331" customFormat="false" ht="14.35" hidden="false" customHeight="false" outlineLevel="0" collapsed="false">
      <c r="A331" s="4" t="n">
        <v>17988</v>
      </c>
      <c r="B331" s="5" t="n">
        <f aca="false">PostPro4FW!H337</f>
        <v>1700</v>
      </c>
      <c r="C331" s="5" t="n">
        <f aca="false">PostPro4FW!M337</f>
        <v>800</v>
      </c>
      <c r="D331" s="5" t="n">
        <f aca="false">PostPro4FW!H337+PostPro4FW!I337</f>
        <v>1700</v>
      </c>
      <c r="E331" s="5" t="n">
        <f aca="false">PostPro4FW!S337</f>
        <v>800</v>
      </c>
      <c r="F331" s="5" t="n">
        <f aca="false">PostPro4FW!Q337</f>
        <v>0</v>
      </c>
      <c r="G331" s="0" t="n">
        <f aca="false">PostPro4FW!R337</f>
        <v>0</v>
      </c>
    </row>
    <row r="332" customFormat="false" ht="14.35" hidden="false" customHeight="false" outlineLevel="0" collapsed="false">
      <c r="A332" s="4" t="n">
        <v>18018</v>
      </c>
      <c r="B332" s="5" t="n">
        <f aca="false">PostPro4FW!H338</f>
        <v>1161.3008436976</v>
      </c>
      <c r="C332" s="5" t="n">
        <f aca="false">PostPro4FW!M338</f>
        <v>700</v>
      </c>
      <c r="D332" s="5" t="n">
        <f aca="false">PostPro4FW!H338+PostPro4FW!I338</f>
        <v>1581.43973258648</v>
      </c>
      <c r="E332" s="5" t="n">
        <f aca="false">PostPro4FW!S338</f>
        <v>700</v>
      </c>
      <c r="F332" s="5" t="n">
        <f aca="false">PostPro4FW!Q338</f>
        <v>0</v>
      </c>
      <c r="G332" s="0" t="n">
        <f aca="false">PostPro4FW!R338</f>
        <v>0</v>
      </c>
    </row>
    <row r="333" customFormat="false" ht="14.35" hidden="false" customHeight="false" outlineLevel="0" collapsed="false">
      <c r="A333" s="4" t="n">
        <v>18049</v>
      </c>
      <c r="B333" s="5" t="n">
        <f aca="false">PostPro4FW!H339</f>
        <v>750</v>
      </c>
      <c r="C333" s="5" t="n">
        <f aca="false">PostPro4FW!M339</f>
        <v>700</v>
      </c>
      <c r="D333" s="5" t="n">
        <f aca="false">PostPro4FW!H339+PostPro4FW!I339</f>
        <v>1156.58602150538</v>
      </c>
      <c r="E333" s="5" t="n">
        <f aca="false">PostPro4FW!S339</f>
        <v>700</v>
      </c>
      <c r="F333" s="5" t="n">
        <f aca="false">PostPro4FW!Q339</f>
        <v>0</v>
      </c>
      <c r="G333" s="0" t="n">
        <f aca="false">PostPro4FW!R339</f>
        <v>0</v>
      </c>
    </row>
    <row r="334" customFormat="false" ht="14.35" hidden="false" customHeight="false" outlineLevel="0" collapsed="false">
      <c r="A334" s="4" t="n">
        <v>18079</v>
      </c>
      <c r="B334" s="5" t="n">
        <f aca="false">PostPro4FW!H340</f>
        <v>4330.08589476217</v>
      </c>
      <c r="C334" s="5" t="n">
        <f aca="false">PostPro4FW!M340</f>
        <v>700</v>
      </c>
      <c r="D334" s="5" t="n">
        <f aca="false">PostPro4FW!H340+PostPro4FW!I340</f>
        <v>4330.08589476217</v>
      </c>
      <c r="E334" s="5" t="n">
        <f aca="false">PostPro4FW!S340</f>
        <v>700</v>
      </c>
      <c r="F334" s="5" t="n">
        <f aca="false">PostPro4FW!Q340</f>
        <v>0</v>
      </c>
      <c r="G334" s="0" t="n">
        <f aca="false">PostPro4FW!R340</f>
        <v>0</v>
      </c>
    </row>
    <row r="335" customFormat="false" ht="14.35" hidden="false" customHeight="false" outlineLevel="0" collapsed="false">
      <c r="A335" s="4" t="n">
        <v>18110</v>
      </c>
      <c r="B335" s="5" t="n">
        <f aca="false">PostPro4FW!H341</f>
        <v>6630.10072227798</v>
      </c>
      <c r="C335" s="5" t="n">
        <f aca="false">PostPro4FW!M341</f>
        <v>700</v>
      </c>
      <c r="D335" s="5" t="n">
        <f aca="false">PostPro4FW!H341+PostPro4FW!I341</f>
        <v>6630.10072227798</v>
      </c>
      <c r="E335" s="5" t="n">
        <f aca="false">PostPro4FW!S341</f>
        <v>700</v>
      </c>
      <c r="F335" s="5" t="n">
        <f aca="false">PostPro4FW!Q341</f>
        <v>0</v>
      </c>
      <c r="G335" s="0" t="n">
        <f aca="false">PostPro4FW!R341</f>
        <v>0</v>
      </c>
    </row>
    <row r="336" customFormat="false" ht="14.35" hidden="false" customHeight="false" outlineLevel="0" collapsed="false">
      <c r="A336" s="4" t="n">
        <v>18141</v>
      </c>
      <c r="B336" s="5" t="n">
        <f aca="false">PostPro4FW!H342</f>
        <v>1676.83563250141</v>
      </c>
      <c r="C336" s="5" t="n">
        <f aca="false">PostPro4FW!M342</f>
        <v>700</v>
      </c>
      <c r="D336" s="5" t="n">
        <f aca="false">PostPro4FW!H342+PostPro4FW!I342</f>
        <v>1676.83563250141</v>
      </c>
      <c r="E336" s="5" t="n">
        <f aca="false">PostPro4FW!S342</f>
        <v>700</v>
      </c>
      <c r="F336" s="5" t="n">
        <f aca="false">PostPro4FW!Q342</f>
        <v>0</v>
      </c>
      <c r="G336" s="0" t="n">
        <f aca="false">PostPro4FW!R342</f>
        <v>0</v>
      </c>
    </row>
    <row r="337" customFormat="false" ht="14.35" hidden="false" customHeight="false" outlineLevel="0" collapsed="false">
      <c r="A337" s="4" t="n">
        <v>18171</v>
      </c>
      <c r="B337" s="5" t="n">
        <f aca="false">PostPro4FW!H343</f>
        <v>1014.99360411153</v>
      </c>
      <c r="C337" s="5" t="n">
        <f aca="false">PostPro4FW!M343</f>
        <v>773.3333333</v>
      </c>
      <c r="D337" s="5" t="n">
        <f aca="false">PostPro4FW!H343+PostPro4FW!I343</f>
        <v>1014.99360411153</v>
      </c>
      <c r="E337" s="5" t="n">
        <f aca="false">PostPro4FW!S343</f>
        <v>773.3333333</v>
      </c>
      <c r="F337" s="5" t="n">
        <f aca="false">PostPro4FW!Q343</f>
        <v>0</v>
      </c>
      <c r="G337" s="0" t="n">
        <f aca="false">PostPro4FW!R343</f>
        <v>0</v>
      </c>
    </row>
    <row r="338" customFormat="false" ht="14.35" hidden="false" customHeight="false" outlineLevel="0" collapsed="false">
      <c r="A338" s="4" t="n">
        <v>18202</v>
      </c>
      <c r="B338" s="5" t="n">
        <f aca="false">PostPro4FW!H344</f>
        <v>900</v>
      </c>
      <c r="C338" s="5" t="n">
        <f aca="false">PostPro4FW!M344</f>
        <v>800</v>
      </c>
      <c r="D338" s="5" t="n">
        <f aca="false">PostPro4FW!H344+PostPro4FW!I344</f>
        <v>900</v>
      </c>
      <c r="E338" s="5" t="n">
        <f aca="false">PostPro4FW!S344</f>
        <v>800</v>
      </c>
      <c r="F338" s="5" t="n">
        <f aca="false">PostPro4FW!Q344</f>
        <v>0</v>
      </c>
      <c r="G338" s="0" t="n">
        <f aca="false">PostPro4FW!R344</f>
        <v>0</v>
      </c>
    </row>
    <row r="339" customFormat="false" ht="14.35" hidden="false" customHeight="false" outlineLevel="0" collapsed="false">
      <c r="A339" s="4" t="n">
        <v>18232</v>
      </c>
      <c r="B339" s="5" t="n">
        <f aca="false">PostPro4FW!H345</f>
        <v>900</v>
      </c>
      <c r="C339" s="5" t="n">
        <f aca="false">PostPro4FW!M345</f>
        <v>800</v>
      </c>
      <c r="D339" s="5" t="n">
        <f aca="false">PostPro4FW!H345+PostPro4FW!I345</f>
        <v>900</v>
      </c>
      <c r="E339" s="5" t="n">
        <f aca="false">PostPro4FW!S345</f>
        <v>800</v>
      </c>
      <c r="F339" s="5" t="n">
        <f aca="false">PostPro4FW!Q345</f>
        <v>0</v>
      </c>
      <c r="G339" s="0" t="n">
        <f aca="false">PostPro4FW!R345</f>
        <v>0</v>
      </c>
    </row>
    <row r="340" customFormat="false" ht="14.35" hidden="false" customHeight="false" outlineLevel="0" collapsed="false">
      <c r="A340" s="4" t="n">
        <v>18263</v>
      </c>
      <c r="B340" s="5" t="n">
        <f aca="false">PostPro4FW!H346</f>
        <v>900</v>
      </c>
      <c r="C340" s="5" t="n">
        <f aca="false">PostPro4FW!M346</f>
        <v>800</v>
      </c>
      <c r="D340" s="5" t="n">
        <f aca="false">PostPro4FW!H346+PostPro4FW!I346</f>
        <v>900</v>
      </c>
      <c r="E340" s="5" t="n">
        <f aca="false">PostPro4FW!S346</f>
        <v>800</v>
      </c>
      <c r="F340" s="5" t="n">
        <f aca="false">PostPro4FW!Q346</f>
        <v>0</v>
      </c>
      <c r="G340" s="0" t="n">
        <f aca="false">PostPro4FW!R346</f>
        <v>0</v>
      </c>
    </row>
    <row r="341" customFormat="false" ht="14.35" hidden="false" customHeight="false" outlineLevel="0" collapsed="false">
      <c r="A341" s="4" t="n">
        <v>18294</v>
      </c>
      <c r="B341" s="5" t="n">
        <f aca="false">PostPro4FW!H347</f>
        <v>900</v>
      </c>
      <c r="C341" s="5" t="n">
        <f aca="false">PostPro4FW!M347</f>
        <v>800</v>
      </c>
      <c r="D341" s="5" t="n">
        <f aca="false">PostPro4FW!H347+PostPro4FW!I347</f>
        <v>900</v>
      </c>
      <c r="E341" s="5" t="n">
        <f aca="false">PostPro4FW!S347</f>
        <v>800</v>
      </c>
      <c r="F341" s="5" t="n">
        <f aca="false">PostPro4FW!Q347</f>
        <v>0</v>
      </c>
      <c r="G341" s="0" t="n">
        <f aca="false">PostPro4FW!R347</f>
        <v>0</v>
      </c>
    </row>
    <row r="342" customFormat="false" ht="14.35" hidden="false" customHeight="false" outlineLevel="0" collapsed="false">
      <c r="A342" s="4" t="n">
        <v>18322</v>
      </c>
      <c r="B342" s="5" t="n">
        <f aca="false">PostPro4FW!H348</f>
        <v>900.000000000001</v>
      </c>
      <c r="C342" s="5" t="n">
        <f aca="false">PostPro4FW!M348</f>
        <v>800</v>
      </c>
      <c r="D342" s="5" t="n">
        <f aca="false">PostPro4FW!H348+PostPro4FW!I348</f>
        <v>900.000000000001</v>
      </c>
      <c r="E342" s="5" t="n">
        <f aca="false">PostPro4FW!S348</f>
        <v>900</v>
      </c>
      <c r="F342" s="5" t="n">
        <f aca="false">PostPro4FW!Q348</f>
        <v>900</v>
      </c>
      <c r="G342" s="0" t="n">
        <f aca="false">PostPro4FW!R348</f>
        <v>28</v>
      </c>
    </row>
    <row r="343" customFormat="false" ht="14.35" hidden="false" customHeight="false" outlineLevel="0" collapsed="false">
      <c r="A343" s="4" t="n">
        <v>18353</v>
      </c>
      <c r="B343" s="5" t="n">
        <f aca="false">PostPro4FW!H349</f>
        <v>800</v>
      </c>
      <c r="C343" s="5" t="n">
        <f aca="false">PostPro4FW!M349</f>
        <v>800</v>
      </c>
      <c r="D343" s="5" t="n">
        <f aca="false">PostPro4FW!H349+PostPro4FW!I349</f>
        <v>800</v>
      </c>
      <c r="E343" s="5" t="n">
        <f aca="false">PostPro4FW!S349</f>
        <v>800</v>
      </c>
      <c r="F343" s="5" t="n">
        <f aca="false">PostPro4FW!Q349</f>
        <v>0</v>
      </c>
      <c r="G343" s="0" t="n">
        <f aca="false">PostPro4FW!R349</f>
        <v>0</v>
      </c>
    </row>
    <row r="344" customFormat="false" ht="14.35" hidden="false" customHeight="false" outlineLevel="0" collapsed="false">
      <c r="A344" s="4" t="n">
        <v>18383</v>
      </c>
      <c r="B344" s="5" t="n">
        <f aca="false">PostPro4FW!H350</f>
        <v>1000</v>
      </c>
      <c r="C344" s="5" t="n">
        <f aca="false">PostPro4FW!M350</f>
        <v>700</v>
      </c>
      <c r="D344" s="5" t="n">
        <f aca="false">PostPro4FW!H350+PostPro4FW!I350</f>
        <v>1420.13888888889</v>
      </c>
      <c r="E344" s="5" t="n">
        <f aca="false">PostPro4FW!S350</f>
        <v>1324.12037037037</v>
      </c>
      <c r="F344" s="5" t="n">
        <f aca="false">PostPro4FW!Q350</f>
        <v>1420.13888888889</v>
      </c>
      <c r="G344" s="0" t="n">
        <f aca="false">PostPro4FW!R350</f>
        <v>26</v>
      </c>
    </row>
    <row r="345" customFormat="false" ht="14.35" hidden="false" customHeight="false" outlineLevel="0" collapsed="false">
      <c r="A345" s="4" t="n">
        <v>18414</v>
      </c>
      <c r="B345" s="5" t="n">
        <f aca="false">PostPro4FW!H351</f>
        <v>1000</v>
      </c>
      <c r="C345" s="5" t="n">
        <f aca="false">PostPro4FW!M351</f>
        <v>700</v>
      </c>
      <c r="D345" s="5" t="n">
        <f aca="false">PostPro4FW!H351+PostPro4FW!I351</f>
        <v>1406.58602150538</v>
      </c>
      <c r="E345" s="5" t="n">
        <f aca="false">PostPro4FW!S351</f>
        <v>700</v>
      </c>
      <c r="F345" s="5" t="n">
        <f aca="false">PostPro4FW!Q351</f>
        <v>0</v>
      </c>
      <c r="G345" s="0" t="n">
        <f aca="false">PostPro4FW!R351</f>
        <v>0</v>
      </c>
    </row>
    <row r="346" customFormat="false" ht="14.35" hidden="false" customHeight="false" outlineLevel="0" collapsed="false">
      <c r="A346" s="4" t="n">
        <v>18444</v>
      </c>
      <c r="B346" s="5" t="n">
        <f aca="false">PostPro4FW!H352</f>
        <v>1000</v>
      </c>
      <c r="C346" s="5" t="n">
        <f aca="false">PostPro4FW!M352</f>
        <v>700</v>
      </c>
      <c r="D346" s="5" t="n">
        <f aca="false">PostPro4FW!H352+PostPro4FW!I352</f>
        <v>1000</v>
      </c>
      <c r="E346" s="5" t="n">
        <f aca="false">PostPro4FW!S352</f>
        <v>700</v>
      </c>
      <c r="F346" s="5" t="n">
        <f aca="false">PostPro4FW!Q352</f>
        <v>0</v>
      </c>
      <c r="G346" s="0" t="n">
        <f aca="false">PostPro4FW!R352</f>
        <v>0</v>
      </c>
    </row>
    <row r="347" customFormat="false" ht="14.35" hidden="false" customHeight="false" outlineLevel="0" collapsed="false">
      <c r="A347" s="4" t="n">
        <v>18475</v>
      </c>
      <c r="B347" s="5" t="n">
        <f aca="false">PostPro4FW!H353</f>
        <v>9180.7265483159</v>
      </c>
      <c r="C347" s="5" t="n">
        <f aca="false">PostPro4FW!M353</f>
        <v>700</v>
      </c>
      <c r="D347" s="5" t="n">
        <f aca="false">PostPro4FW!H353+PostPro4FW!I353</f>
        <v>9180.7265483159</v>
      </c>
      <c r="E347" s="5" t="n">
        <f aca="false">PostPro4FW!S353</f>
        <v>700</v>
      </c>
      <c r="F347" s="5" t="n">
        <f aca="false">PostPro4FW!Q353</f>
        <v>0</v>
      </c>
      <c r="G347" s="0" t="n">
        <f aca="false">PostPro4FW!R353</f>
        <v>0</v>
      </c>
    </row>
    <row r="348" customFormat="false" ht="14.35" hidden="false" customHeight="false" outlineLevel="0" collapsed="false">
      <c r="A348" s="4" t="n">
        <v>18506</v>
      </c>
      <c r="B348" s="5" t="n">
        <f aca="false">PostPro4FW!H354</f>
        <v>8143.72332417897</v>
      </c>
      <c r="C348" s="5" t="n">
        <f aca="false">PostPro4FW!M354</f>
        <v>700</v>
      </c>
      <c r="D348" s="5" t="n">
        <f aca="false">PostPro4FW!H354+PostPro4FW!I354</f>
        <v>8143.72332417897</v>
      </c>
      <c r="E348" s="5" t="n">
        <f aca="false">PostPro4FW!S354</f>
        <v>700</v>
      </c>
      <c r="F348" s="5" t="n">
        <f aca="false">PostPro4FW!Q354</f>
        <v>0</v>
      </c>
      <c r="G348" s="0" t="n">
        <f aca="false">PostPro4FW!R354</f>
        <v>0</v>
      </c>
    </row>
    <row r="349" customFormat="false" ht="14.35" hidden="false" customHeight="false" outlineLevel="0" collapsed="false">
      <c r="A349" s="4" t="n">
        <v>18536</v>
      </c>
      <c r="B349" s="5" t="n">
        <f aca="false">PostPro4FW!H355</f>
        <v>5241.62684926228</v>
      </c>
      <c r="C349" s="5" t="n">
        <f aca="false">PostPro4FW!M355</f>
        <v>773.3333333</v>
      </c>
      <c r="D349" s="5" t="n">
        <f aca="false">PostPro4FW!H355+PostPro4FW!I355</f>
        <v>5241.62684926228</v>
      </c>
      <c r="E349" s="5" t="n">
        <f aca="false">PostPro4FW!S355</f>
        <v>773.3333333</v>
      </c>
      <c r="F349" s="5" t="n">
        <f aca="false">PostPro4FW!Q355</f>
        <v>0</v>
      </c>
      <c r="G349" s="0" t="n">
        <f aca="false">PostPro4FW!R355</f>
        <v>0</v>
      </c>
    </row>
    <row r="350" customFormat="false" ht="14.35" hidden="false" customHeight="false" outlineLevel="0" collapsed="false">
      <c r="A350" s="4" t="n">
        <v>18567</v>
      </c>
      <c r="B350" s="5" t="n">
        <f aca="false">PostPro4FW!H356</f>
        <v>2014.71345191655</v>
      </c>
      <c r="C350" s="5" t="n">
        <f aca="false">PostPro4FW!M356</f>
        <v>800</v>
      </c>
      <c r="D350" s="5" t="n">
        <f aca="false">PostPro4FW!H356+PostPro4FW!I356</f>
        <v>2014.71345191655</v>
      </c>
      <c r="E350" s="5" t="n">
        <f aca="false">PostPro4FW!S356</f>
        <v>800</v>
      </c>
      <c r="F350" s="5" t="n">
        <f aca="false">PostPro4FW!Q356</f>
        <v>0</v>
      </c>
      <c r="G350" s="0" t="n">
        <f aca="false">PostPro4FW!R356</f>
        <v>0</v>
      </c>
    </row>
    <row r="351" customFormat="false" ht="14.35" hidden="false" customHeight="false" outlineLevel="0" collapsed="false">
      <c r="A351" s="4" t="n">
        <v>18597</v>
      </c>
      <c r="B351" s="5" t="n">
        <f aca="false">PostPro4FW!H357</f>
        <v>1700</v>
      </c>
      <c r="C351" s="5" t="n">
        <f aca="false">PostPro4FW!M357</f>
        <v>800</v>
      </c>
      <c r="D351" s="5" t="n">
        <f aca="false">PostPro4FW!H357+PostPro4FW!I357</f>
        <v>1700</v>
      </c>
      <c r="E351" s="5" t="n">
        <f aca="false">PostPro4FW!S357</f>
        <v>800</v>
      </c>
      <c r="F351" s="5" t="n">
        <f aca="false">PostPro4FW!Q357</f>
        <v>0</v>
      </c>
      <c r="G351" s="0" t="n">
        <f aca="false">PostPro4FW!R357</f>
        <v>0</v>
      </c>
    </row>
    <row r="352" customFormat="false" ht="14.35" hidden="false" customHeight="false" outlineLevel="0" collapsed="false">
      <c r="A352" s="4" t="n">
        <v>18628</v>
      </c>
      <c r="B352" s="5" t="n">
        <f aca="false">PostPro4FW!H358</f>
        <v>1700</v>
      </c>
      <c r="C352" s="5" t="n">
        <f aca="false">PostPro4FW!M358</f>
        <v>800</v>
      </c>
      <c r="D352" s="5" t="n">
        <f aca="false">PostPro4FW!H358+PostPro4FW!I358</f>
        <v>1700</v>
      </c>
      <c r="E352" s="5" t="n">
        <f aca="false">PostPro4FW!S358</f>
        <v>800</v>
      </c>
      <c r="F352" s="5" t="n">
        <f aca="false">PostPro4FW!Q358</f>
        <v>0</v>
      </c>
      <c r="G352" s="0" t="n">
        <f aca="false">PostPro4FW!R358</f>
        <v>0</v>
      </c>
    </row>
    <row r="353" customFormat="false" ht="14.35" hidden="false" customHeight="false" outlineLevel="0" collapsed="false">
      <c r="A353" s="4" t="n">
        <v>18659</v>
      </c>
      <c r="B353" s="5" t="n">
        <f aca="false">PostPro4FW!H359</f>
        <v>11012.6883036011</v>
      </c>
      <c r="C353" s="5" t="n">
        <f aca="false">PostPro4FW!M359</f>
        <v>800</v>
      </c>
      <c r="D353" s="5" t="n">
        <f aca="false">PostPro4FW!H359+PostPro4FW!I359</f>
        <v>11012.6883036011</v>
      </c>
      <c r="E353" s="5" t="n">
        <f aca="false">PostPro4FW!S359</f>
        <v>800</v>
      </c>
      <c r="F353" s="5" t="n">
        <f aca="false">PostPro4FW!Q359</f>
        <v>0</v>
      </c>
      <c r="G353" s="0" t="n">
        <f aca="false">PostPro4FW!R359</f>
        <v>0</v>
      </c>
    </row>
    <row r="354" customFormat="false" ht="14.35" hidden="false" customHeight="false" outlineLevel="0" collapsed="false">
      <c r="A354" s="4" t="n">
        <v>18687</v>
      </c>
      <c r="B354" s="5" t="n">
        <f aca="false">PostPro4FW!H360</f>
        <v>10840.0785178111</v>
      </c>
      <c r="C354" s="5" t="n">
        <f aca="false">PostPro4FW!M360</f>
        <v>800</v>
      </c>
      <c r="D354" s="5" t="n">
        <f aca="false">PostPro4FW!H360+PostPro4FW!I360</f>
        <v>10840.0785178111</v>
      </c>
      <c r="E354" s="5" t="n">
        <f aca="false">PostPro4FW!S360</f>
        <v>1571.42857142857</v>
      </c>
      <c r="F354" s="5" t="n">
        <f aca="false">PostPro4FW!Q360</f>
        <v>2000</v>
      </c>
      <c r="G354" s="0" t="n">
        <f aca="false">PostPro4FW!R360</f>
        <v>18</v>
      </c>
    </row>
    <row r="355" customFormat="false" ht="14.35" hidden="false" customHeight="false" outlineLevel="0" collapsed="false">
      <c r="A355" s="4" t="n">
        <v>18718</v>
      </c>
      <c r="B355" s="5" t="n">
        <f aca="false">PostPro4FW!H361</f>
        <v>4533.51088658117</v>
      </c>
      <c r="C355" s="5" t="n">
        <f aca="false">PostPro4FW!M361</f>
        <v>800</v>
      </c>
      <c r="D355" s="5" t="n">
        <f aca="false">PostPro4FW!H361+PostPro4FW!I361</f>
        <v>4533.51088658117</v>
      </c>
      <c r="E355" s="5" t="n">
        <f aca="false">PostPro4FW!S361</f>
        <v>800</v>
      </c>
      <c r="F355" s="5" t="n">
        <f aca="false">PostPro4FW!Q361</f>
        <v>0</v>
      </c>
      <c r="G355" s="0" t="n">
        <f aca="false">PostPro4FW!R361</f>
        <v>0</v>
      </c>
    </row>
    <row r="356" customFormat="false" ht="14.35" hidden="false" customHeight="false" outlineLevel="0" collapsed="false">
      <c r="A356" s="4" t="n">
        <v>18748</v>
      </c>
      <c r="B356" s="5" t="n">
        <f aca="false">PostPro4FW!H362</f>
        <v>1000</v>
      </c>
      <c r="C356" s="5" t="n">
        <f aca="false">PostPro4FW!M362</f>
        <v>700</v>
      </c>
      <c r="D356" s="5" t="n">
        <f aca="false">PostPro4FW!H362+PostPro4FW!I362</f>
        <v>1420.13888888889</v>
      </c>
      <c r="E356" s="5" t="n">
        <f aca="false">PostPro4FW!S362</f>
        <v>700</v>
      </c>
      <c r="F356" s="5" t="n">
        <f aca="false">PostPro4FW!Q362</f>
        <v>0</v>
      </c>
      <c r="G356" s="0" t="n">
        <f aca="false">PostPro4FW!R362</f>
        <v>0</v>
      </c>
    </row>
    <row r="357" customFormat="false" ht="14.35" hidden="false" customHeight="false" outlineLevel="0" collapsed="false">
      <c r="A357" s="4" t="n">
        <v>18779</v>
      </c>
      <c r="B357" s="5" t="n">
        <f aca="false">PostPro4FW!H363</f>
        <v>1747.37271559702</v>
      </c>
      <c r="C357" s="5" t="n">
        <f aca="false">PostPro4FW!M363</f>
        <v>700</v>
      </c>
      <c r="D357" s="5" t="n">
        <f aca="false">PostPro4FW!H363+PostPro4FW!I363</f>
        <v>2153.9587371024</v>
      </c>
      <c r="E357" s="5" t="n">
        <f aca="false">PostPro4FW!S363</f>
        <v>700</v>
      </c>
      <c r="F357" s="5" t="n">
        <f aca="false">PostPro4FW!Q363</f>
        <v>0</v>
      </c>
      <c r="G357" s="0" t="n">
        <f aca="false">PostPro4FW!R363</f>
        <v>0</v>
      </c>
    </row>
    <row r="358" customFormat="false" ht="14.35" hidden="false" customHeight="false" outlineLevel="0" collapsed="false">
      <c r="A358" s="4" t="n">
        <v>18809</v>
      </c>
      <c r="B358" s="5" t="n">
        <f aca="false">PostPro4FW!H364</f>
        <v>3272.05901283357</v>
      </c>
      <c r="C358" s="5" t="n">
        <f aca="false">PostPro4FW!M364</f>
        <v>700</v>
      </c>
      <c r="D358" s="5" t="n">
        <f aca="false">PostPro4FW!H364+PostPro4FW!I364</f>
        <v>3272.05901283357</v>
      </c>
      <c r="E358" s="5" t="n">
        <f aca="false">PostPro4FW!S364</f>
        <v>700</v>
      </c>
      <c r="F358" s="5" t="n">
        <f aca="false">PostPro4FW!Q364</f>
        <v>0</v>
      </c>
      <c r="G358" s="0" t="n">
        <f aca="false">PostPro4FW!R364</f>
        <v>0</v>
      </c>
    </row>
    <row r="359" customFormat="false" ht="14.35" hidden="false" customHeight="false" outlineLevel="0" collapsed="false">
      <c r="A359" s="4" t="n">
        <v>18840</v>
      </c>
      <c r="B359" s="5" t="n">
        <f aca="false">PostPro4FW!H365</f>
        <v>9133.66836373126</v>
      </c>
      <c r="C359" s="5" t="n">
        <f aca="false">PostPro4FW!M365</f>
        <v>700</v>
      </c>
      <c r="D359" s="5" t="n">
        <f aca="false">PostPro4FW!H365+PostPro4FW!I365</f>
        <v>9133.66836373126</v>
      </c>
      <c r="E359" s="5" t="n">
        <f aca="false">PostPro4FW!S365</f>
        <v>700</v>
      </c>
      <c r="F359" s="5" t="n">
        <f aca="false">PostPro4FW!Q365</f>
        <v>0</v>
      </c>
      <c r="G359" s="0" t="n">
        <f aca="false">PostPro4FW!R365</f>
        <v>0</v>
      </c>
    </row>
    <row r="360" customFormat="false" ht="14.35" hidden="false" customHeight="false" outlineLevel="0" collapsed="false">
      <c r="A360" s="4" t="n">
        <v>18871</v>
      </c>
      <c r="B360" s="5" t="n">
        <f aca="false">PostPro4FW!H366</f>
        <v>8380.18496937349</v>
      </c>
      <c r="C360" s="5" t="n">
        <f aca="false">PostPro4FW!M366</f>
        <v>700</v>
      </c>
      <c r="D360" s="5" t="n">
        <f aca="false">PostPro4FW!H366+PostPro4FW!I366</f>
        <v>8380.18496937349</v>
      </c>
      <c r="E360" s="5" t="n">
        <f aca="false">PostPro4FW!S366</f>
        <v>700</v>
      </c>
      <c r="F360" s="5" t="n">
        <f aca="false">PostPro4FW!Q366</f>
        <v>0</v>
      </c>
      <c r="G360" s="0" t="n">
        <f aca="false">PostPro4FW!R366</f>
        <v>0</v>
      </c>
    </row>
    <row r="361" customFormat="false" ht="14.35" hidden="false" customHeight="false" outlineLevel="0" collapsed="false">
      <c r="A361" s="4" t="n">
        <v>18901</v>
      </c>
      <c r="B361" s="5" t="n">
        <f aca="false">PostPro4FW!H367</f>
        <v>7917.91877181867</v>
      </c>
      <c r="C361" s="5" t="n">
        <f aca="false">PostPro4FW!M367</f>
        <v>773.3333333</v>
      </c>
      <c r="D361" s="5" t="n">
        <f aca="false">PostPro4FW!H367+PostPro4FW!I367</f>
        <v>7917.91877181867</v>
      </c>
      <c r="E361" s="5" t="n">
        <f aca="false">PostPro4FW!S367</f>
        <v>773.3333333</v>
      </c>
      <c r="F361" s="5" t="n">
        <f aca="false">PostPro4FW!Q367</f>
        <v>0</v>
      </c>
      <c r="G361" s="0" t="n">
        <f aca="false">PostPro4FW!R367</f>
        <v>0</v>
      </c>
    </row>
    <row r="362" customFormat="false" ht="14.35" hidden="false" customHeight="false" outlineLevel="0" collapsed="false">
      <c r="A362" s="4" t="n">
        <v>18932</v>
      </c>
      <c r="B362" s="5" t="n">
        <f aca="false">PostPro4FW!H368</f>
        <v>4000</v>
      </c>
      <c r="C362" s="5" t="n">
        <f aca="false">PostPro4FW!M368</f>
        <v>800</v>
      </c>
      <c r="D362" s="5" t="n">
        <f aca="false">PostPro4FW!H368+PostPro4FW!I368</f>
        <v>4000</v>
      </c>
      <c r="E362" s="5" t="n">
        <f aca="false">PostPro4FW!S368</f>
        <v>800</v>
      </c>
      <c r="F362" s="5" t="n">
        <f aca="false">PostPro4FW!Q368</f>
        <v>0</v>
      </c>
      <c r="G362" s="0" t="n">
        <f aca="false">PostPro4FW!R368</f>
        <v>0</v>
      </c>
    </row>
    <row r="363" customFormat="false" ht="14.35" hidden="false" customHeight="false" outlineLevel="0" collapsed="false">
      <c r="A363" s="4" t="n">
        <v>18962</v>
      </c>
      <c r="B363" s="5" t="n">
        <f aca="false">PostPro4FW!H369</f>
        <v>2500</v>
      </c>
      <c r="C363" s="5" t="n">
        <f aca="false">PostPro4FW!M369</f>
        <v>800</v>
      </c>
      <c r="D363" s="5" t="n">
        <f aca="false">PostPro4FW!H369+PostPro4FW!I369</f>
        <v>2500</v>
      </c>
      <c r="E363" s="5" t="n">
        <f aca="false">PostPro4FW!S369</f>
        <v>800</v>
      </c>
      <c r="F363" s="5" t="n">
        <f aca="false">PostPro4FW!Q369</f>
        <v>0</v>
      </c>
      <c r="G363" s="0" t="n">
        <f aca="false">PostPro4FW!R369</f>
        <v>0</v>
      </c>
    </row>
    <row r="364" customFormat="false" ht="14.35" hidden="false" customHeight="false" outlineLevel="0" collapsed="false">
      <c r="A364" s="4" t="n">
        <v>18993</v>
      </c>
      <c r="B364" s="5" t="n">
        <f aca="false">PostPro4FW!H370</f>
        <v>1834.73650758272</v>
      </c>
      <c r="C364" s="5" t="n">
        <f aca="false">PostPro4FW!M370</f>
        <v>800</v>
      </c>
      <c r="D364" s="5" t="n">
        <f aca="false">PostPro4FW!H370+PostPro4FW!I370</f>
        <v>1834.73650758272</v>
      </c>
      <c r="E364" s="5" t="n">
        <f aca="false">PostPro4FW!S370</f>
        <v>800</v>
      </c>
      <c r="F364" s="5" t="n">
        <f aca="false">PostPro4FW!Q370</f>
        <v>0</v>
      </c>
      <c r="G364" s="0" t="n">
        <f aca="false">PostPro4FW!R370</f>
        <v>0</v>
      </c>
    </row>
    <row r="365" customFormat="false" ht="14.35" hidden="false" customHeight="false" outlineLevel="0" collapsed="false">
      <c r="A365" s="4" t="n">
        <v>19024</v>
      </c>
      <c r="B365" s="5" t="n">
        <f aca="false">PostPro4FW!H371</f>
        <v>1699.99999999999</v>
      </c>
      <c r="C365" s="5" t="n">
        <f aca="false">PostPro4FW!M371</f>
        <v>800</v>
      </c>
      <c r="D365" s="5" t="n">
        <f aca="false">PostPro4FW!H371+PostPro4FW!I371</f>
        <v>1699.99999999999</v>
      </c>
      <c r="E365" s="5" t="n">
        <f aca="false">PostPro4FW!S371</f>
        <v>800</v>
      </c>
      <c r="F365" s="5" t="n">
        <f aca="false">PostPro4FW!Q371</f>
        <v>0</v>
      </c>
      <c r="G365" s="0" t="n">
        <f aca="false">PostPro4FW!R371</f>
        <v>0</v>
      </c>
    </row>
    <row r="366" customFormat="false" ht="14.35" hidden="false" customHeight="false" outlineLevel="0" collapsed="false">
      <c r="A366" s="4" t="n">
        <v>19053</v>
      </c>
      <c r="B366" s="5" t="n">
        <f aca="false">PostPro4FW!H372</f>
        <v>6399.89681844021</v>
      </c>
      <c r="C366" s="5" t="n">
        <f aca="false">PostPro4FW!M372</f>
        <v>800</v>
      </c>
      <c r="D366" s="5" t="n">
        <f aca="false">PostPro4FW!H372+PostPro4FW!I372</f>
        <v>6399.89681844021</v>
      </c>
      <c r="E366" s="5" t="n">
        <f aca="false">PostPro4FW!S372</f>
        <v>800</v>
      </c>
      <c r="F366" s="5" t="n">
        <f aca="false">PostPro4FW!Q372</f>
        <v>0</v>
      </c>
      <c r="G366" s="0" t="n">
        <f aca="false">PostPro4FW!R372</f>
        <v>0</v>
      </c>
    </row>
    <row r="367" customFormat="false" ht="14.35" hidden="false" customHeight="false" outlineLevel="0" collapsed="false">
      <c r="A367" s="4" t="n">
        <v>19084</v>
      </c>
      <c r="B367" s="5" t="n">
        <f aca="false">PostPro4FW!H373</f>
        <v>7072.56158186029</v>
      </c>
      <c r="C367" s="5" t="n">
        <f aca="false">PostPro4FW!M373</f>
        <v>800</v>
      </c>
      <c r="D367" s="5" t="n">
        <f aca="false">PostPro4FW!H373+PostPro4FW!I373</f>
        <v>7072.56158186029</v>
      </c>
      <c r="E367" s="5" t="n">
        <f aca="false">PostPro4FW!S373</f>
        <v>800</v>
      </c>
      <c r="F367" s="5" t="n">
        <f aca="false">PostPro4FW!Q373</f>
        <v>0</v>
      </c>
      <c r="G367" s="0" t="n">
        <f aca="false">PostPro4FW!R373</f>
        <v>0</v>
      </c>
    </row>
    <row r="368" customFormat="false" ht="14.35" hidden="false" customHeight="false" outlineLevel="0" collapsed="false">
      <c r="A368" s="4" t="n">
        <v>19114</v>
      </c>
      <c r="B368" s="5" t="n">
        <f aca="false">PostPro4FW!H374</f>
        <v>17581.4549058031</v>
      </c>
      <c r="C368" s="5" t="n">
        <f aca="false">PostPro4FW!M374</f>
        <v>700</v>
      </c>
      <c r="D368" s="5" t="n">
        <f aca="false">PostPro4FW!H374+PostPro4FW!I374</f>
        <v>17581.4549058031</v>
      </c>
      <c r="E368" s="5" t="n">
        <f aca="false">PostPro4FW!S374</f>
        <v>700</v>
      </c>
      <c r="F368" s="5" t="n">
        <f aca="false">PostPro4FW!Q374</f>
        <v>0</v>
      </c>
      <c r="G368" s="0" t="n">
        <f aca="false">PostPro4FW!R374</f>
        <v>0</v>
      </c>
    </row>
    <row r="369" customFormat="false" ht="14.35" hidden="false" customHeight="false" outlineLevel="0" collapsed="false">
      <c r="A369" s="4" t="n">
        <v>19145</v>
      </c>
      <c r="B369" s="5" t="n">
        <f aca="false">PostPro4FW!H375</f>
        <v>20391.2248842646</v>
      </c>
      <c r="C369" s="5" t="n">
        <f aca="false">PostPro4FW!M375</f>
        <v>700</v>
      </c>
      <c r="D369" s="5" t="n">
        <f aca="false">PostPro4FW!H375+PostPro4FW!I375</f>
        <v>20391.2248842646</v>
      </c>
      <c r="E369" s="5" t="n">
        <f aca="false">PostPro4FW!S375</f>
        <v>700</v>
      </c>
      <c r="F369" s="5" t="n">
        <f aca="false">PostPro4FW!Q375</f>
        <v>0</v>
      </c>
      <c r="G369" s="0" t="n">
        <f aca="false">PostPro4FW!R375</f>
        <v>0</v>
      </c>
    </row>
    <row r="370" customFormat="false" ht="14.35" hidden="false" customHeight="false" outlineLevel="0" collapsed="false">
      <c r="A370" s="4" t="n">
        <v>19175</v>
      </c>
      <c r="B370" s="5" t="n">
        <f aca="false">PostPro4FW!H376</f>
        <v>9069.62486468018</v>
      </c>
      <c r="C370" s="5" t="n">
        <f aca="false">PostPro4FW!M376</f>
        <v>700</v>
      </c>
      <c r="D370" s="5" t="n">
        <f aca="false">PostPro4FW!H376+PostPro4FW!I376</f>
        <v>9069.62486468018</v>
      </c>
      <c r="E370" s="5" t="n">
        <f aca="false">PostPro4FW!S376</f>
        <v>700</v>
      </c>
      <c r="F370" s="5" t="n">
        <f aca="false">PostPro4FW!Q376</f>
        <v>0</v>
      </c>
      <c r="G370" s="0" t="n">
        <f aca="false">PostPro4FW!R376</f>
        <v>0</v>
      </c>
    </row>
    <row r="371" customFormat="false" ht="14.35" hidden="false" customHeight="false" outlineLevel="0" collapsed="false">
      <c r="A371" s="4" t="n">
        <v>19206</v>
      </c>
      <c r="B371" s="5" t="n">
        <f aca="false">PostPro4FW!H377</f>
        <v>2346.89121597921</v>
      </c>
      <c r="C371" s="5" t="n">
        <f aca="false">PostPro4FW!M377</f>
        <v>700</v>
      </c>
      <c r="D371" s="5" t="n">
        <f aca="false">PostPro4FW!H377+PostPro4FW!I377</f>
        <v>2346.89121597921</v>
      </c>
      <c r="E371" s="5" t="n">
        <f aca="false">PostPro4FW!S377</f>
        <v>700</v>
      </c>
      <c r="F371" s="5" t="n">
        <f aca="false">PostPro4FW!Q377</f>
        <v>0</v>
      </c>
      <c r="G371" s="0" t="n">
        <f aca="false">PostPro4FW!R377</f>
        <v>0</v>
      </c>
    </row>
    <row r="372" customFormat="false" ht="14.35" hidden="false" customHeight="false" outlineLevel="0" collapsed="false">
      <c r="A372" s="4" t="n">
        <v>19237</v>
      </c>
      <c r="B372" s="5" t="n">
        <f aca="false">PostPro4FW!H378</f>
        <v>1086.96575661281</v>
      </c>
      <c r="C372" s="5" t="n">
        <f aca="false">PostPro4FW!M378</f>
        <v>700</v>
      </c>
      <c r="D372" s="5" t="n">
        <f aca="false">PostPro4FW!H378+PostPro4FW!I378</f>
        <v>1086.96575661281</v>
      </c>
      <c r="E372" s="5" t="n">
        <f aca="false">PostPro4FW!S378</f>
        <v>700</v>
      </c>
      <c r="F372" s="5" t="n">
        <f aca="false">PostPro4FW!Q378</f>
        <v>0</v>
      </c>
      <c r="G372" s="0" t="n">
        <f aca="false">PostPro4FW!R378</f>
        <v>0</v>
      </c>
    </row>
    <row r="373" customFormat="false" ht="14.35" hidden="false" customHeight="false" outlineLevel="0" collapsed="false">
      <c r="A373" s="4" t="n">
        <v>19267</v>
      </c>
      <c r="B373" s="5" t="n">
        <f aca="false">PostPro4FW!H379</f>
        <v>9398.90689766975</v>
      </c>
      <c r="C373" s="5" t="n">
        <f aca="false">PostPro4FW!M379</f>
        <v>773.3333333</v>
      </c>
      <c r="D373" s="5" t="n">
        <f aca="false">PostPro4FW!H379+PostPro4FW!I379</f>
        <v>9398.90689766975</v>
      </c>
      <c r="E373" s="5" t="n">
        <f aca="false">PostPro4FW!S379</f>
        <v>773.3333333</v>
      </c>
      <c r="F373" s="5" t="n">
        <f aca="false">PostPro4FW!Q379</f>
        <v>0</v>
      </c>
      <c r="G373" s="0" t="n">
        <f aca="false">PostPro4FW!R379</f>
        <v>0</v>
      </c>
    </row>
    <row r="374" customFormat="false" ht="14.35" hidden="false" customHeight="false" outlineLevel="0" collapsed="false">
      <c r="A374" s="4" t="n">
        <v>19298</v>
      </c>
      <c r="B374" s="5" t="n">
        <f aca="false">PostPro4FW!H380</f>
        <v>4000</v>
      </c>
      <c r="C374" s="5" t="n">
        <f aca="false">PostPro4FW!M380</f>
        <v>800</v>
      </c>
      <c r="D374" s="5" t="n">
        <f aca="false">PostPro4FW!H380+PostPro4FW!I380</f>
        <v>4000</v>
      </c>
      <c r="E374" s="5" t="n">
        <f aca="false">PostPro4FW!S380</f>
        <v>800</v>
      </c>
      <c r="F374" s="5" t="n">
        <f aca="false">PostPro4FW!Q380</f>
        <v>0</v>
      </c>
      <c r="G374" s="0" t="n">
        <f aca="false">PostPro4FW!R380</f>
        <v>0</v>
      </c>
    </row>
    <row r="375" customFormat="false" ht="14.35" hidden="false" customHeight="false" outlineLevel="0" collapsed="false">
      <c r="A375" s="4" t="n">
        <v>19328</v>
      </c>
      <c r="B375" s="5" t="n">
        <f aca="false">PostPro4FW!H381</f>
        <v>2500</v>
      </c>
      <c r="C375" s="5" t="n">
        <f aca="false">PostPro4FW!M381</f>
        <v>800</v>
      </c>
      <c r="D375" s="5" t="n">
        <f aca="false">PostPro4FW!H381+PostPro4FW!I381</f>
        <v>2500</v>
      </c>
      <c r="E375" s="5" t="n">
        <f aca="false">PostPro4FW!S381</f>
        <v>800</v>
      </c>
      <c r="F375" s="5" t="n">
        <f aca="false">PostPro4FW!Q381</f>
        <v>0</v>
      </c>
      <c r="G375" s="0" t="n">
        <f aca="false">PostPro4FW!R381</f>
        <v>0</v>
      </c>
    </row>
    <row r="376" customFormat="false" ht="14.35" hidden="false" customHeight="false" outlineLevel="0" collapsed="false">
      <c r="A376" s="4" t="n">
        <v>19359</v>
      </c>
      <c r="B376" s="5" t="n">
        <f aca="false">PostPro4FW!H382</f>
        <v>1700</v>
      </c>
      <c r="C376" s="5" t="n">
        <f aca="false">PostPro4FW!M382</f>
        <v>800</v>
      </c>
      <c r="D376" s="5" t="n">
        <f aca="false">PostPro4FW!H382+PostPro4FW!I382</f>
        <v>1700</v>
      </c>
      <c r="E376" s="5" t="n">
        <f aca="false">PostPro4FW!S382</f>
        <v>800</v>
      </c>
      <c r="F376" s="5" t="n">
        <f aca="false">PostPro4FW!Q382</f>
        <v>0</v>
      </c>
      <c r="G376" s="0" t="n">
        <f aca="false">PostPro4FW!R382</f>
        <v>0</v>
      </c>
    </row>
    <row r="377" customFormat="false" ht="14.35" hidden="false" customHeight="false" outlineLevel="0" collapsed="false">
      <c r="A377" s="4" t="n">
        <v>19390</v>
      </c>
      <c r="B377" s="5" t="n">
        <f aca="false">PostPro4FW!H383</f>
        <v>19592.2038716159</v>
      </c>
      <c r="C377" s="5" t="n">
        <f aca="false">PostPro4FW!M383</f>
        <v>800</v>
      </c>
      <c r="D377" s="5" t="n">
        <f aca="false">PostPro4FW!H383+PostPro4FW!I383</f>
        <v>19592.2038716159</v>
      </c>
      <c r="E377" s="5" t="n">
        <f aca="false">PostPro4FW!S383</f>
        <v>800</v>
      </c>
      <c r="F377" s="5" t="n">
        <f aca="false">PostPro4FW!Q383</f>
        <v>0</v>
      </c>
      <c r="G377" s="0" t="n">
        <f aca="false">PostPro4FW!R383</f>
        <v>0</v>
      </c>
    </row>
    <row r="378" customFormat="false" ht="14.35" hidden="false" customHeight="false" outlineLevel="0" collapsed="false">
      <c r="A378" s="4" t="n">
        <v>19418</v>
      </c>
      <c r="B378" s="5" t="n">
        <f aca="false">PostPro4FW!H384</f>
        <v>1700</v>
      </c>
      <c r="C378" s="5" t="n">
        <f aca="false">PostPro4FW!M384</f>
        <v>800</v>
      </c>
      <c r="D378" s="5" t="n">
        <f aca="false">PostPro4FW!H384+PostPro4FW!I384</f>
        <v>1700</v>
      </c>
      <c r="E378" s="5" t="n">
        <f aca="false">PostPro4FW!S384</f>
        <v>800</v>
      </c>
      <c r="F378" s="5" t="n">
        <f aca="false">PostPro4FW!Q384</f>
        <v>0</v>
      </c>
      <c r="G378" s="0" t="n">
        <f aca="false">PostPro4FW!R384</f>
        <v>0</v>
      </c>
    </row>
    <row r="379" customFormat="false" ht="14.35" hidden="false" customHeight="false" outlineLevel="0" collapsed="false">
      <c r="A379" s="4" t="n">
        <v>19449</v>
      </c>
      <c r="B379" s="5" t="n">
        <f aca="false">PostPro4FW!H385</f>
        <v>6144.03704949465</v>
      </c>
      <c r="C379" s="5" t="n">
        <f aca="false">PostPro4FW!M385</f>
        <v>800</v>
      </c>
      <c r="D379" s="5" t="n">
        <f aca="false">PostPro4FW!H385+PostPro4FW!I385</f>
        <v>6144.03704949465</v>
      </c>
      <c r="E379" s="5" t="n">
        <f aca="false">PostPro4FW!S385</f>
        <v>800</v>
      </c>
      <c r="F379" s="5" t="n">
        <f aca="false">PostPro4FW!Q385</f>
        <v>0</v>
      </c>
      <c r="G379" s="0" t="n">
        <f aca="false">PostPro4FW!R385</f>
        <v>0</v>
      </c>
    </row>
    <row r="380" customFormat="false" ht="14.35" hidden="false" customHeight="false" outlineLevel="0" collapsed="false">
      <c r="A380" s="4" t="n">
        <v>19479</v>
      </c>
      <c r="B380" s="5" t="n">
        <f aca="false">PostPro4FW!H386</f>
        <v>4539.17810673434</v>
      </c>
      <c r="C380" s="5" t="n">
        <f aca="false">PostPro4FW!M386</f>
        <v>700</v>
      </c>
      <c r="D380" s="5" t="n">
        <f aca="false">PostPro4FW!H386+PostPro4FW!I386</f>
        <v>4539.17810673434</v>
      </c>
      <c r="E380" s="5" t="n">
        <f aca="false">PostPro4FW!S386</f>
        <v>700</v>
      </c>
      <c r="F380" s="5" t="n">
        <f aca="false">PostPro4FW!Q386</f>
        <v>0</v>
      </c>
      <c r="G380" s="0" t="n">
        <f aca="false">PostPro4FW!R386</f>
        <v>0</v>
      </c>
    </row>
    <row r="381" customFormat="false" ht="14.35" hidden="false" customHeight="false" outlineLevel="0" collapsed="false">
      <c r="A381" s="4" t="n">
        <v>19510</v>
      </c>
      <c r="B381" s="5" t="n">
        <f aca="false">PostPro4FW!H387</f>
        <v>3278.49842613615</v>
      </c>
      <c r="C381" s="5" t="n">
        <f aca="false">PostPro4FW!M387</f>
        <v>700</v>
      </c>
      <c r="D381" s="5" t="n">
        <f aca="false">PostPro4FW!H387+PostPro4FW!I387</f>
        <v>3278.49842613615</v>
      </c>
      <c r="E381" s="5" t="n">
        <f aca="false">PostPro4FW!S387</f>
        <v>700</v>
      </c>
      <c r="F381" s="5" t="n">
        <f aca="false">PostPro4FW!Q387</f>
        <v>0</v>
      </c>
      <c r="G381" s="0" t="n">
        <f aca="false">PostPro4FW!R387</f>
        <v>0</v>
      </c>
    </row>
    <row r="382" customFormat="false" ht="14.35" hidden="false" customHeight="false" outlineLevel="0" collapsed="false">
      <c r="A382" s="4" t="n">
        <v>19540</v>
      </c>
      <c r="B382" s="5" t="n">
        <f aca="false">PostPro4FW!H388</f>
        <v>5522.58653803869</v>
      </c>
      <c r="C382" s="5" t="n">
        <f aca="false">PostPro4FW!M388</f>
        <v>700</v>
      </c>
      <c r="D382" s="5" t="n">
        <f aca="false">PostPro4FW!H388+PostPro4FW!I388</f>
        <v>5522.58653803869</v>
      </c>
      <c r="E382" s="5" t="n">
        <f aca="false">PostPro4FW!S388</f>
        <v>700</v>
      </c>
      <c r="F382" s="5" t="n">
        <f aca="false">PostPro4FW!Q388</f>
        <v>0</v>
      </c>
      <c r="G382" s="0" t="n">
        <f aca="false">PostPro4FW!R388</f>
        <v>0</v>
      </c>
    </row>
    <row r="383" customFormat="false" ht="14.35" hidden="false" customHeight="false" outlineLevel="0" collapsed="false">
      <c r="A383" s="4" t="n">
        <v>19571</v>
      </c>
      <c r="B383" s="5" t="n">
        <f aca="false">PostPro4FW!H389</f>
        <v>9254.38191780871</v>
      </c>
      <c r="C383" s="5" t="n">
        <f aca="false">PostPro4FW!M389</f>
        <v>700</v>
      </c>
      <c r="D383" s="5" t="n">
        <f aca="false">PostPro4FW!H389+PostPro4FW!I389</f>
        <v>9254.38191780871</v>
      </c>
      <c r="E383" s="5" t="n">
        <f aca="false">PostPro4FW!S389</f>
        <v>700</v>
      </c>
      <c r="F383" s="5" t="n">
        <f aca="false">PostPro4FW!Q389</f>
        <v>0</v>
      </c>
      <c r="G383" s="0" t="n">
        <f aca="false">PostPro4FW!R389</f>
        <v>0</v>
      </c>
    </row>
    <row r="384" customFormat="false" ht="14.35" hidden="false" customHeight="false" outlineLevel="0" collapsed="false">
      <c r="A384" s="4" t="n">
        <v>19602</v>
      </c>
      <c r="B384" s="5" t="n">
        <f aca="false">PostPro4FW!H390</f>
        <v>5923.73297843144</v>
      </c>
      <c r="C384" s="5" t="n">
        <f aca="false">PostPro4FW!M390</f>
        <v>700</v>
      </c>
      <c r="D384" s="5" t="n">
        <f aca="false">PostPro4FW!H390+PostPro4FW!I390</f>
        <v>5923.73297843144</v>
      </c>
      <c r="E384" s="5" t="n">
        <f aca="false">PostPro4FW!S390</f>
        <v>700</v>
      </c>
      <c r="F384" s="5" t="n">
        <f aca="false">PostPro4FW!Q390</f>
        <v>0</v>
      </c>
      <c r="G384" s="0" t="n">
        <f aca="false">PostPro4FW!R390</f>
        <v>0</v>
      </c>
    </row>
    <row r="385" customFormat="false" ht="14.35" hidden="false" customHeight="false" outlineLevel="0" collapsed="false">
      <c r="A385" s="4" t="n">
        <v>19632</v>
      </c>
      <c r="B385" s="5" t="n">
        <f aca="false">PostPro4FW!H391</f>
        <v>9619.62024989622</v>
      </c>
      <c r="C385" s="5" t="n">
        <f aca="false">PostPro4FW!M391</f>
        <v>773.3333333</v>
      </c>
      <c r="D385" s="5" t="n">
        <f aca="false">PostPro4FW!H391+PostPro4FW!I391</f>
        <v>9619.62024989622</v>
      </c>
      <c r="E385" s="5" t="n">
        <f aca="false">PostPro4FW!S391</f>
        <v>773.3333333</v>
      </c>
      <c r="F385" s="5" t="n">
        <f aca="false">PostPro4FW!Q391</f>
        <v>0</v>
      </c>
      <c r="G385" s="0" t="n">
        <f aca="false">PostPro4FW!R391</f>
        <v>0</v>
      </c>
    </row>
    <row r="386" customFormat="false" ht="14.35" hidden="false" customHeight="false" outlineLevel="0" collapsed="false">
      <c r="A386" s="4" t="n">
        <v>19663</v>
      </c>
      <c r="B386" s="5" t="n">
        <f aca="false">PostPro4FW!H392</f>
        <v>4000</v>
      </c>
      <c r="C386" s="5" t="n">
        <f aca="false">PostPro4FW!M392</f>
        <v>800</v>
      </c>
      <c r="D386" s="5" t="n">
        <f aca="false">PostPro4FW!H392+PostPro4FW!I392</f>
        <v>4000</v>
      </c>
      <c r="E386" s="5" t="n">
        <f aca="false">PostPro4FW!S392</f>
        <v>800</v>
      </c>
      <c r="F386" s="5" t="n">
        <f aca="false">PostPro4FW!Q392</f>
        <v>0</v>
      </c>
      <c r="G386" s="0" t="n">
        <f aca="false">PostPro4FW!R392</f>
        <v>0</v>
      </c>
    </row>
    <row r="387" customFormat="false" ht="14.35" hidden="false" customHeight="false" outlineLevel="0" collapsed="false">
      <c r="A387" s="4" t="n">
        <v>19693</v>
      </c>
      <c r="B387" s="5" t="n">
        <f aca="false">PostPro4FW!H393</f>
        <v>2500</v>
      </c>
      <c r="C387" s="5" t="n">
        <f aca="false">PostPro4FW!M393</f>
        <v>800</v>
      </c>
      <c r="D387" s="5" t="n">
        <f aca="false">PostPro4FW!H393+PostPro4FW!I393</f>
        <v>2500</v>
      </c>
      <c r="E387" s="5" t="n">
        <f aca="false">PostPro4FW!S393</f>
        <v>800</v>
      </c>
      <c r="F387" s="5" t="n">
        <f aca="false">PostPro4FW!Q393</f>
        <v>0</v>
      </c>
      <c r="G387" s="0" t="n">
        <f aca="false">PostPro4FW!R393</f>
        <v>0</v>
      </c>
    </row>
    <row r="388" customFormat="false" ht="14.35" hidden="false" customHeight="false" outlineLevel="0" collapsed="false">
      <c r="A388" s="4" t="n">
        <v>19724</v>
      </c>
      <c r="B388" s="5" t="n">
        <f aca="false">PostPro4FW!H394</f>
        <v>3676.14381294347</v>
      </c>
      <c r="C388" s="5" t="n">
        <f aca="false">PostPro4FW!M394</f>
        <v>800</v>
      </c>
      <c r="D388" s="5" t="n">
        <f aca="false">PostPro4FW!H394+PostPro4FW!I394</f>
        <v>3676.14381294347</v>
      </c>
      <c r="E388" s="5" t="n">
        <f aca="false">PostPro4FW!S394</f>
        <v>800</v>
      </c>
      <c r="F388" s="5" t="n">
        <f aca="false">PostPro4FW!Q394</f>
        <v>0</v>
      </c>
      <c r="G388" s="0" t="n">
        <f aca="false">PostPro4FW!R394</f>
        <v>0</v>
      </c>
    </row>
    <row r="389" customFormat="false" ht="14.35" hidden="false" customHeight="false" outlineLevel="0" collapsed="false">
      <c r="A389" s="4" t="n">
        <v>19755</v>
      </c>
      <c r="B389" s="5" t="n">
        <f aca="false">PostPro4FW!H395</f>
        <v>3141.93027897394</v>
      </c>
      <c r="C389" s="5" t="n">
        <f aca="false">PostPro4FW!M395</f>
        <v>800</v>
      </c>
      <c r="D389" s="5" t="n">
        <f aca="false">PostPro4FW!H395+PostPro4FW!I395</f>
        <v>3141.93027897394</v>
      </c>
      <c r="E389" s="5" t="n">
        <f aca="false">PostPro4FW!S395</f>
        <v>800</v>
      </c>
      <c r="F389" s="5" t="n">
        <f aca="false">PostPro4FW!Q395</f>
        <v>0</v>
      </c>
      <c r="G389" s="0" t="n">
        <f aca="false">PostPro4FW!R395</f>
        <v>0</v>
      </c>
    </row>
    <row r="390" customFormat="false" ht="14.35" hidden="false" customHeight="false" outlineLevel="0" collapsed="false">
      <c r="A390" s="4" t="n">
        <v>19783</v>
      </c>
      <c r="B390" s="5" t="n">
        <f aca="false">PostPro4FW!H396</f>
        <v>1700</v>
      </c>
      <c r="C390" s="5" t="n">
        <f aca="false">PostPro4FW!M396</f>
        <v>800</v>
      </c>
      <c r="D390" s="5" t="n">
        <f aca="false">PostPro4FW!H396+PostPro4FW!I396</f>
        <v>1700</v>
      </c>
      <c r="E390" s="5" t="n">
        <f aca="false">PostPro4FW!S396</f>
        <v>1571.42857142857</v>
      </c>
      <c r="F390" s="5" t="n">
        <f aca="false">PostPro4FW!Q396</f>
        <v>1700</v>
      </c>
      <c r="G390" s="0" t="n">
        <f aca="false">PostPro4FW!R396</f>
        <v>24</v>
      </c>
    </row>
    <row r="391" customFormat="false" ht="14.35" hidden="false" customHeight="false" outlineLevel="0" collapsed="false">
      <c r="A391" s="4" t="n">
        <v>19814</v>
      </c>
      <c r="B391" s="5" t="n">
        <f aca="false">PostPro4FW!H397</f>
        <v>2023.89816315826</v>
      </c>
      <c r="C391" s="5" t="n">
        <f aca="false">PostPro4FW!M397</f>
        <v>800</v>
      </c>
      <c r="D391" s="5" t="n">
        <f aca="false">PostPro4FW!H397+PostPro4FW!I397</f>
        <v>2023.89816315826</v>
      </c>
      <c r="E391" s="5" t="n">
        <f aca="false">PostPro4FW!S397</f>
        <v>800</v>
      </c>
      <c r="F391" s="5" t="n">
        <f aca="false">PostPro4FW!Q397</f>
        <v>0</v>
      </c>
      <c r="G391" s="0" t="n">
        <f aca="false">PostPro4FW!R397</f>
        <v>0</v>
      </c>
    </row>
    <row r="392" customFormat="false" ht="14.35" hidden="false" customHeight="false" outlineLevel="0" collapsed="false">
      <c r="A392" s="4" t="n">
        <v>19844</v>
      </c>
      <c r="B392" s="5" t="n">
        <f aca="false">PostPro4FW!H398</f>
        <v>6220.53063055891</v>
      </c>
      <c r="C392" s="5" t="n">
        <f aca="false">PostPro4FW!M398</f>
        <v>700</v>
      </c>
      <c r="D392" s="5" t="n">
        <f aca="false">PostPro4FW!H398+PostPro4FW!I398</f>
        <v>6640.6695194478</v>
      </c>
      <c r="E392" s="5" t="n">
        <f aca="false">PostPro4FW!S398</f>
        <v>700</v>
      </c>
      <c r="F392" s="5" t="n">
        <f aca="false">PostPro4FW!Q398</f>
        <v>0</v>
      </c>
      <c r="G392" s="0" t="n">
        <f aca="false">PostPro4FW!R398</f>
        <v>0</v>
      </c>
    </row>
    <row r="393" customFormat="false" ht="14.35" hidden="false" customHeight="false" outlineLevel="0" collapsed="false">
      <c r="A393" s="4" t="n">
        <v>19875</v>
      </c>
      <c r="B393" s="5" t="n">
        <f aca="false">PostPro4FW!H399</f>
        <v>1000</v>
      </c>
      <c r="C393" s="5" t="n">
        <f aca="false">PostPro4FW!M399</f>
        <v>700</v>
      </c>
      <c r="D393" s="5" t="n">
        <f aca="false">PostPro4FW!H399+PostPro4FW!I399</f>
        <v>1406.58602150538</v>
      </c>
      <c r="E393" s="5" t="n">
        <f aca="false">PostPro4FW!S399</f>
        <v>700</v>
      </c>
      <c r="F393" s="5" t="n">
        <f aca="false">PostPro4FW!Q399</f>
        <v>0</v>
      </c>
      <c r="G393" s="0" t="n">
        <f aca="false">PostPro4FW!R399</f>
        <v>0</v>
      </c>
    </row>
    <row r="394" customFormat="false" ht="14.35" hidden="false" customHeight="false" outlineLevel="0" collapsed="false">
      <c r="A394" s="4" t="n">
        <v>19905</v>
      </c>
      <c r="B394" s="5" t="n">
        <f aca="false">PostPro4FW!H400</f>
        <v>3286.82904473194</v>
      </c>
      <c r="C394" s="5" t="n">
        <f aca="false">PostPro4FW!M400</f>
        <v>700</v>
      </c>
      <c r="D394" s="5" t="n">
        <f aca="false">PostPro4FW!H400+PostPro4FW!I400</f>
        <v>3286.82904473194</v>
      </c>
      <c r="E394" s="5" t="n">
        <f aca="false">PostPro4FW!S400</f>
        <v>700</v>
      </c>
      <c r="F394" s="5" t="n">
        <f aca="false">PostPro4FW!Q400</f>
        <v>0</v>
      </c>
      <c r="G394" s="0" t="n">
        <f aca="false">PostPro4FW!R400</f>
        <v>0</v>
      </c>
    </row>
    <row r="395" customFormat="false" ht="14.35" hidden="false" customHeight="false" outlineLevel="0" collapsed="false">
      <c r="A395" s="4" t="n">
        <v>19936</v>
      </c>
      <c r="B395" s="5" t="n">
        <f aca="false">PostPro4FW!H401</f>
        <v>9669.70892791224</v>
      </c>
      <c r="C395" s="5" t="n">
        <f aca="false">PostPro4FW!M401</f>
        <v>700</v>
      </c>
      <c r="D395" s="5" t="n">
        <f aca="false">PostPro4FW!H401+PostPro4FW!I401</f>
        <v>9669.70892791224</v>
      </c>
      <c r="E395" s="5" t="n">
        <f aca="false">PostPro4FW!S401</f>
        <v>700</v>
      </c>
      <c r="F395" s="5" t="n">
        <f aca="false">PostPro4FW!Q401</f>
        <v>0</v>
      </c>
      <c r="G395" s="0" t="n">
        <f aca="false">PostPro4FW!R401</f>
        <v>0</v>
      </c>
    </row>
    <row r="396" customFormat="false" ht="14.35" hidden="false" customHeight="false" outlineLevel="0" collapsed="false">
      <c r="A396" s="4" t="n">
        <v>19967</v>
      </c>
      <c r="B396" s="5" t="n">
        <f aca="false">PostPro4FW!H402</f>
        <v>7911.89064315281</v>
      </c>
      <c r="C396" s="5" t="n">
        <f aca="false">PostPro4FW!M402</f>
        <v>700</v>
      </c>
      <c r="D396" s="5" t="n">
        <f aca="false">PostPro4FW!H402+PostPro4FW!I402</f>
        <v>7911.89064315281</v>
      </c>
      <c r="E396" s="5" t="n">
        <f aca="false">PostPro4FW!S402</f>
        <v>700</v>
      </c>
      <c r="F396" s="5" t="n">
        <f aca="false">PostPro4FW!Q402</f>
        <v>0</v>
      </c>
      <c r="G396" s="0" t="n">
        <f aca="false">PostPro4FW!R402</f>
        <v>0</v>
      </c>
    </row>
    <row r="397" customFormat="false" ht="14.35" hidden="false" customHeight="false" outlineLevel="0" collapsed="false">
      <c r="A397" s="4" t="n">
        <v>19997</v>
      </c>
      <c r="B397" s="5" t="n">
        <f aca="false">PostPro4FW!H403</f>
        <v>7953.52433098548</v>
      </c>
      <c r="C397" s="5" t="n">
        <f aca="false">PostPro4FW!M403</f>
        <v>773.3333333</v>
      </c>
      <c r="D397" s="5" t="n">
        <f aca="false">PostPro4FW!H403+PostPro4FW!I403</f>
        <v>7953.52433098548</v>
      </c>
      <c r="E397" s="5" t="n">
        <f aca="false">PostPro4FW!S403</f>
        <v>773.3333333</v>
      </c>
      <c r="F397" s="5" t="n">
        <f aca="false">PostPro4FW!Q403</f>
        <v>0</v>
      </c>
      <c r="G397" s="0" t="n">
        <f aca="false">PostPro4FW!R403</f>
        <v>0</v>
      </c>
    </row>
    <row r="398" customFormat="false" ht="14.35" hidden="false" customHeight="false" outlineLevel="0" collapsed="false">
      <c r="A398" s="4" t="n">
        <v>20028</v>
      </c>
      <c r="B398" s="5" t="n">
        <f aca="false">PostPro4FW!H404</f>
        <v>4000</v>
      </c>
      <c r="C398" s="5" t="n">
        <f aca="false">PostPro4FW!M404</f>
        <v>800</v>
      </c>
      <c r="D398" s="5" t="n">
        <f aca="false">PostPro4FW!H404+PostPro4FW!I404</f>
        <v>4000</v>
      </c>
      <c r="E398" s="5" t="n">
        <f aca="false">PostPro4FW!S404</f>
        <v>800</v>
      </c>
      <c r="F398" s="5" t="n">
        <f aca="false">PostPro4FW!Q404</f>
        <v>0</v>
      </c>
      <c r="G398" s="0" t="n">
        <f aca="false">PostPro4FW!R404</f>
        <v>0</v>
      </c>
    </row>
    <row r="399" customFormat="false" ht="14.35" hidden="false" customHeight="false" outlineLevel="0" collapsed="false">
      <c r="A399" s="4" t="n">
        <v>20058</v>
      </c>
      <c r="B399" s="5" t="n">
        <f aca="false">PostPro4FW!H405</f>
        <v>2383.00824580595</v>
      </c>
      <c r="C399" s="5" t="n">
        <f aca="false">PostPro4FW!M405</f>
        <v>800</v>
      </c>
      <c r="D399" s="5" t="n">
        <f aca="false">PostPro4FW!H405+PostPro4FW!I405</f>
        <v>2383.00824580595</v>
      </c>
      <c r="E399" s="5" t="n">
        <f aca="false">PostPro4FW!S405</f>
        <v>800</v>
      </c>
      <c r="F399" s="5" t="n">
        <f aca="false">PostPro4FW!Q405</f>
        <v>0</v>
      </c>
      <c r="G399" s="0" t="n">
        <f aca="false">PostPro4FW!R405</f>
        <v>0</v>
      </c>
    </row>
    <row r="400" customFormat="false" ht="14.35" hidden="false" customHeight="false" outlineLevel="0" collapsed="false">
      <c r="A400" s="4" t="n">
        <v>20089</v>
      </c>
      <c r="B400" s="5" t="n">
        <f aca="false">PostPro4FW!H406</f>
        <v>1700</v>
      </c>
      <c r="C400" s="5" t="n">
        <f aca="false">PostPro4FW!M406</f>
        <v>800</v>
      </c>
      <c r="D400" s="5" t="n">
        <f aca="false">PostPro4FW!H406+PostPro4FW!I406</f>
        <v>1700</v>
      </c>
      <c r="E400" s="5" t="n">
        <f aca="false">PostPro4FW!S406</f>
        <v>800</v>
      </c>
      <c r="F400" s="5" t="n">
        <f aca="false">PostPro4FW!Q406</f>
        <v>0</v>
      </c>
      <c r="G400" s="0" t="n">
        <f aca="false">PostPro4FW!R406</f>
        <v>0</v>
      </c>
    </row>
    <row r="401" customFormat="false" ht="14.35" hidden="false" customHeight="false" outlineLevel="0" collapsed="false">
      <c r="A401" s="4" t="n">
        <v>20120</v>
      </c>
      <c r="B401" s="5" t="n">
        <f aca="false">PostPro4FW!H407</f>
        <v>1700</v>
      </c>
      <c r="C401" s="5" t="n">
        <f aca="false">PostPro4FW!M407</f>
        <v>800</v>
      </c>
      <c r="D401" s="5" t="n">
        <f aca="false">PostPro4FW!H407+PostPro4FW!I407</f>
        <v>1700</v>
      </c>
      <c r="E401" s="5" t="n">
        <f aca="false">PostPro4FW!S407</f>
        <v>800</v>
      </c>
      <c r="F401" s="5" t="n">
        <f aca="false">PostPro4FW!Q407</f>
        <v>0</v>
      </c>
      <c r="G401" s="0" t="n">
        <f aca="false">PostPro4FW!R407</f>
        <v>0</v>
      </c>
    </row>
    <row r="402" customFormat="false" ht="14.35" hidden="false" customHeight="false" outlineLevel="0" collapsed="false">
      <c r="A402" s="4" t="n">
        <v>20148</v>
      </c>
      <c r="B402" s="5" t="n">
        <f aca="false">PostPro4FW!H408</f>
        <v>1700</v>
      </c>
      <c r="C402" s="5" t="n">
        <f aca="false">PostPro4FW!M408</f>
        <v>800</v>
      </c>
      <c r="D402" s="5" t="n">
        <f aca="false">PostPro4FW!H408+PostPro4FW!I408</f>
        <v>1700</v>
      </c>
      <c r="E402" s="5" t="n">
        <f aca="false">PostPro4FW!S408</f>
        <v>1571.42857142857</v>
      </c>
      <c r="F402" s="5" t="n">
        <f aca="false">PostPro4FW!Q408</f>
        <v>1700</v>
      </c>
      <c r="G402" s="0" t="n">
        <f aca="false">PostPro4FW!R408</f>
        <v>24</v>
      </c>
    </row>
    <row r="403" customFormat="false" ht="14.35" hidden="false" customHeight="false" outlineLevel="0" collapsed="false">
      <c r="A403" s="4" t="n">
        <v>20179</v>
      </c>
      <c r="B403" s="5" t="n">
        <f aca="false">PostPro4FW!H409</f>
        <v>1700</v>
      </c>
      <c r="C403" s="5" t="n">
        <f aca="false">PostPro4FW!M409</f>
        <v>800</v>
      </c>
      <c r="D403" s="5" t="n">
        <f aca="false">PostPro4FW!H409+PostPro4FW!I409</f>
        <v>1700</v>
      </c>
      <c r="E403" s="5" t="n">
        <f aca="false">PostPro4FW!S409</f>
        <v>800</v>
      </c>
      <c r="F403" s="5" t="n">
        <f aca="false">PostPro4FW!Q409</f>
        <v>0</v>
      </c>
      <c r="G403" s="0" t="n">
        <f aca="false">PostPro4FW!R409</f>
        <v>0</v>
      </c>
    </row>
    <row r="404" customFormat="false" ht="14.35" hidden="false" customHeight="false" outlineLevel="0" collapsed="false">
      <c r="A404" s="4" t="n">
        <v>20209</v>
      </c>
      <c r="B404" s="5" t="n">
        <f aca="false">PostPro4FW!H410</f>
        <v>1695.37906473061</v>
      </c>
      <c r="C404" s="5" t="n">
        <f aca="false">PostPro4FW!M410</f>
        <v>700</v>
      </c>
      <c r="D404" s="5" t="n">
        <f aca="false">PostPro4FW!H410+PostPro4FW!I410</f>
        <v>2115.5179536195</v>
      </c>
      <c r="E404" s="5" t="n">
        <f aca="false">PostPro4FW!S410</f>
        <v>700</v>
      </c>
      <c r="F404" s="5" t="n">
        <f aca="false">PostPro4FW!Q410</f>
        <v>0</v>
      </c>
      <c r="G404" s="0" t="n">
        <f aca="false">PostPro4FW!R410</f>
        <v>0</v>
      </c>
    </row>
    <row r="405" customFormat="false" ht="14.35" hidden="false" customHeight="false" outlineLevel="0" collapsed="false">
      <c r="A405" s="4" t="n">
        <v>20240</v>
      </c>
      <c r="B405" s="5" t="n">
        <f aca="false">PostPro4FW!H411</f>
        <v>1404.75710303278</v>
      </c>
      <c r="C405" s="5" t="n">
        <f aca="false">PostPro4FW!M411</f>
        <v>700</v>
      </c>
      <c r="D405" s="5" t="n">
        <f aca="false">PostPro4FW!H411+PostPro4FW!I411</f>
        <v>1811.34312453816</v>
      </c>
      <c r="E405" s="5" t="n">
        <f aca="false">PostPro4FW!S411</f>
        <v>700</v>
      </c>
      <c r="F405" s="5" t="n">
        <f aca="false">PostPro4FW!Q411</f>
        <v>0</v>
      </c>
      <c r="G405" s="0" t="n">
        <f aca="false">PostPro4FW!R411</f>
        <v>0</v>
      </c>
    </row>
    <row r="406" customFormat="false" ht="14.35" hidden="false" customHeight="false" outlineLevel="0" collapsed="false">
      <c r="A406" s="4" t="n">
        <v>20270</v>
      </c>
      <c r="B406" s="5" t="n">
        <f aca="false">PostPro4FW!H412</f>
        <v>4403.35682264617</v>
      </c>
      <c r="C406" s="5" t="n">
        <f aca="false">PostPro4FW!M412</f>
        <v>700</v>
      </c>
      <c r="D406" s="5" t="n">
        <f aca="false">PostPro4FW!H412+PostPro4FW!I412</f>
        <v>4403.35682264617</v>
      </c>
      <c r="E406" s="5" t="n">
        <f aca="false">PostPro4FW!S412</f>
        <v>700</v>
      </c>
      <c r="F406" s="5" t="n">
        <f aca="false">PostPro4FW!Q412</f>
        <v>0</v>
      </c>
      <c r="G406" s="0" t="n">
        <f aca="false">PostPro4FW!R412</f>
        <v>0</v>
      </c>
    </row>
    <row r="407" customFormat="false" ht="14.35" hidden="false" customHeight="false" outlineLevel="0" collapsed="false">
      <c r="A407" s="4" t="n">
        <v>20301</v>
      </c>
      <c r="B407" s="5" t="n">
        <f aca="false">PostPro4FW!H413</f>
        <v>4356.05150981527</v>
      </c>
      <c r="C407" s="5" t="n">
        <f aca="false">PostPro4FW!M413</f>
        <v>700</v>
      </c>
      <c r="D407" s="5" t="n">
        <f aca="false">PostPro4FW!H413+PostPro4FW!I413</f>
        <v>4356.05150981527</v>
      </c>
      <c r="E407" s="5" t="n">
        <f aca="false">PostPro4FW!S413</f>
        <v>700</v>
      </c>
      <c r="F407" s="5" t="n">
        <f aca="false">PostPro4FW!Q413</f>
        <v>0</v>
      </c>
      <c r="G407" s="0" t="n">
        <f aca="false">PostPro4FW!R413</f>
        <v>0</v>
      </c>
    </row>
    <row r="408" customFormat="false" ht="14.35" hidden="false" customHeight="false" outlineLevel="0" collapsed="false">
      <c r="A408" s="4" t="n">
        <v>20332</v>
      </c>
      <c r="B408" s="5" t="n">
        <f aca="false">PostPro4FW!H414</f>
        <v>1809.10750016327</v>
      </c>
      <c r="C408" s="5" t="n">
        <f aca="false">PostPro4FW!M414</f>
        <v>700</v>
      </c>
      <c r="D408" s="5" t="n">
        <f aca="false">PostPro4FW!H414+PostPro4FW!I414</f>
        <v>1809.10750016327</v>
      </c>
      <c r="E408" s="5" t="n">
        <f aca="false">PostPro4FW!S414</f>
        <v>700</v>
      </c>
      <c r="F408" s="5" t="n">
        <f aca="false">PostPro4FW!Q414</f>
        <v>0</v>
      </c>
      <c r="G408" s="0" t="n">
        <f aca="false">PostPro4FW!R414</f>
        <v>0</v>
      </c>
    </row>
    <row r="409" customFormat="false" ht="14.35" hidden="false" customHeight="false" outlineLevel="0" collapsed="false">
      <c r="A409" s="4" t="n">
        <v>20362</v>
      </c>
      <c r="B409" s="5" t="n">
        <f aca="false">PostPro4FW!H415</f>
        <v>1000</v>
      </c>
      <c r="C409" s="5" t="n">
        <f aca="false">PostPro4FW!M415</f>
        <v>773.3333333</v>
      </c>
      <c r="D409" s="5" t="n">
        <f aca="false">PostPro4FW!H415+PostPro4FW!I415</f>
        <v>1000</v>
      </c>
      <c r="E409" s="5" t="n">
        <f aca="false">PostPro4FW!S415</f>
        <v>773.3333333</v>
      </c>
      <c r="F409" s="5" t="n">
        <f aca="false">PostPro4FW!Q415</f>
        <v>0</v>
      </c>
      <c r="G409" s="0" t="n">
        <f aca="false">PostPro4FW!R415</f>
        <v>0</v>
      </c>
    </row>
    <row r="410" customFormat="false" ht="14.35" hidden="false" customHeight="false" outlineLevel="0" collapsed="false">
      <c r="A410" s="4" t="n">
        <v>20393</v>
      </c>
      <c r="B410" s="5" t="n">
        <f aca="false">PostPro4FW!H416</f>
        <v>1700</v>
      </c>
      <c r="C410" s="5" t="n">
        <f aca="false">PostPro4FW!M416</f>
        <v>800</v>
      </c>
      <c r="D410" s="5" t="n">
        <f aca="false">PostPro4FW!H416+PostPro4FW!I416</f>
        <v>1700</v>
      </c>
      <c r="E410" s="5" t="n">
        <f aca="false">PostPro4FW!S416</f>
        <v>800</v>
      </c>
      <c r="F410" s="5" t="n">
        <f aca="false">PostPro4FW!Q416</f>
        <v>0</v>
      </c>
      <c r="G410" s="0" t="n">
        <f aca="false">PostPro4FW!R416</f>
        <v>0</v>
      </c>
    </row>
    <row r="411" customFormat="false" ht="14.35" hidden="false" customHeight="false" outlineLevel="0" collapsed="false">
      <c r="A411" s="4" t="n">
        <v>20423</v>
      </c>
      <c r="B411" s="5" t="n">
        <f aca="false">PostPro4FW!H417</f>
        <v>1700</v>
      </c>
      <c r="C411" s="5" t="n">
        <f aca="false">PostPro4FW!M417</f>
        <v>800</v>
      </c>
      <c r="D411" s="5" t="n">
        <f aca="false">PostPro4FW!H417+PostPro4FW!I417</f>
        <v>1700</v>
      </c>
      <c r="E411" s="5" t="n">
        <f aca="false">PostPro4FW!S417</f>
        <v>800</v>
      </c>
      <c r="F411" s="5" t="n">
        <f aca="false">PostPro4FW!Q417</f>
        <v>0</v>
      </c>
      <c r="G411" s="0" t="n">
        <f aca="false">PostPro4FW!R417</f>
        <v>0</v>
      </c>
    </row>
    <row r="412" customFormat="false" ht="14.35" hidden="false" customHeight="false" outlineLevel="0" collapsed="false">
      <c r="A412" s="4" t="n">
        <v>20454</v>
      </c>
      <c r="B412" s="5" t="n">
        <f aca="false">PostPro4FW!H418</f>
        <v>1700</v>
      </c>
      <c r="C412" s="5" t="n">
        <f aca="false">PostPro4FW!M418</f>
        <v>800</v>
      </c>
      <c r="D412" s="5" t="n">
        <f aca="false">PostPro4FW!H418+PostPro4FW!I418</f>
        <v>1700</v>
      </c>
      <c r="E412" s="5" t="n">
        <f aca="false">PostPro4FW!S418</f>
        <v>800</v>
      </c>
      <c r="F412" s="5" t="n">
        <f aca="false">PostPro4FW!Q418</f>
        <v>0</v>
      </c>
      <c r="G412" s="0" t="n">
        <f aca="false">PostPro4FW!R418</f>
        <v>0</v>
      </c>
    </row>
    <row r="413" customFormat="false" ht="14.35" hidden="false" customHeight="false" outlineLevel="0" collapsed="false">
      <c r="A413" s="4" t="n">
        <v>20485</v>
      </c>
      <c r="B413" s="5" t="n">
        <f aca="false">PostPro4FW!H419</f>
        <v>16028.5971192184</v>
      </c>
      <c r="C413" s="5" t="n">
        <f aca="false">PostPro4FW!M419</f>
        <v>800</v>
      </c>
      <c r="D413" s="5" t="n">
        <f aca="false">PostPro4FW!H419+PostPro4FW!I419</f>
        <v>16028.5971192184</v>
      </c>
      <c r="E413" s="5" t="n">
        <f aca="false">PostPro4FW!S419</f>
        <v>800</v>
      </c>
      <c r="F413" s="5" t="n">
        <f aca="false">PostPro4FW!Q419</f>
        <v>0</v>
      </c>
      <c r="G413" s="0" t="n">
        <f aca="false">PostPro4FW!R419</f>
        <v>0</v>
      </c>
    </row>
    <row r="414" customFormat="false" ht="14.35" hidden="false" customHeight="false" outlineLevel="0" collapsed="false">
      <c r="A414" s="4" t="n">
        <v>20514</v>
      </c>
      <c r="B414" s="5" t="n">
        <f aca="false">PostPro4FW!H420</f>
        <v>11341.567931953</v>
      </c>
      <c r="C414" s="5" t="n">
        <f aca="false">PostPro4FW!M420</f>
        <v>800</v>
      </c>
      <c r="D414" s="5" t="n">
        <f aca="false">PostPro4FW!H420+PostPro4FW!I420</f>
        <v>11341.567931953</v>
      </c>
      <c r="E414" s="5" t="n">
        <f aca="false">PostPro4FW!S420</f>
        <v>800</v>
      </c>
      <c r="F414" s="5" t="n">
        <f aca="false">PostPro4FW!Q420</f>
        <v>0</v>
      </c>
      <c r="G414" s="0" t="n">
        <f aca="false">PostPro4FW!R420</f>
        <v>0</v>
      </c>
    </row>
    <row r="415" customFormat="false" ht="14.35" hidden="false" customHeight="false" outlineLevel="0" collapsed="false">
      <c r="A415" s="4" t="n">
        <v>20545</v>
      </c>
      <c r="B415" s="5" t="n">
        <f aca="false">PostPro4FW!H421</f>
        <v>6410.00690670392</v>
      </c>
      <c r="C415" s="5" t="n">
        <f aca="false">PostPro4FW!M421</f>
        <v>800</v>
      </c>
      <c r="D415" s="5" t="n">
        <f aca="false">PostPro4FW!H421+PostPro4FW!I421</f>
        <v>6410.00690670392</v>
      </c>
      <c r="E415" s="5" t="n">
        <f aca="false">PostPro4FW!S421</f>
        <v>800</v>
      </c>
      <c r="F415" s="5" t="n">
        <f aca="false">PostPro4FW!Q421</f>
        <v>0</v>
      </c>
      <c r="G415" s="0" t="n">
        <f aca="false">PostPro4FW!R421</f>
        <v>0</v>
      </c>
    </row>
    <row r="416" customFormat="false" ht="14.35" hidden="false" customHeight="false" outlineLevel="0" collapsed="false">
      <c r="A416" s="4" t="n">
        <v>20575</v>
      </c>
      <c r="B416" s="5" t="n">
        <f aca="false">PostPro4FW!H422</f>
        <v>3236.99001617919</v>
      </c>
      <c r="C416" s="5" t="n">
        <f aca="false">PostPro4FW!M422</f>
        <v>700</v>
      </c>
      <c r="D416" s="5" t="n">
        <f aca="false">PostPro4FW!H422+PostPro4FW!I422</f>
        <v>3236.99001617919</v>
      </c>
      <c r="E416" s="5" t="n">
        <f aca="false">PostPro4FW!S422</f>
        <v>700</v>
      </c>
      <c r="F416" s="5" t="n">
        <f aca="false">PostPro4FW!Q422</f>
        <v>0</v>
      </c>
      <c r="G416" s="0" t="n">
        <f aca="false">PostPro4FW!R422</f>
        <v>0</v>
      </c>
    </row>
    <row r="417" customFormat="false" ht="14.35" hidden="false" customHeight="false" outlineLevel="0" collapsed="false">
      <c r="A417" s="4" t="n">
        <v>20606</v>
      </c>
      <c r="B417" s="5" t="n">
        <f aca="false">PostPro4FW!H423</f>
        <v>10828.1952935464</v>
      </c>
      <c r="C417" s="5" t="n">
        <f aca="false">PostPro4FW!M423</f>
        <v>700</v>
      </c>
      <c r="D417" s="5" t="n">
        <f aca="false">PostPro4FW!H423+PostPro4FW!I423</f>
        <v>10828.1952935464</v>
      </c>
      <c r="E417" s="5" t="n">
        <f aca="false">PostPro4FW!S423</f>
        <v>700</v>
      </c>
      <c r="F417" s="5" t="n">
        <f aca="false">PostPro4FW!Q423</f>
        <v>0</v>
      </c>
      <c r="G417" s="0" t="n">
        <f aca="false">PostPro4FW!R423</f>
        <v>0</v>
      </c>
    </row>
    <row r="418" customFormat="false" ht="14.35" hidden="false" customHeight="false" outlineLevel="0" collapsed="false">
      <c r="A418" s="4" t="n">
        <v>20636</v>
      </c>
      <c r="B418" s="5" t="n">
        <f aca="false">PostPro4FW!H424</f>
        <v>4355.89382238917</v>
      </c>
      <c r="C418" s="5" t="n">
        <f aca="false">PostPro4FW!M424</f>
        <v>700</v>
      </c>
      <c r="D418" s="5" t="n">
        <f aca="false">PostPro4FW!H424+PostPro4FW!I424</f>
        <v>4355.89382238917</v>
      </c>
      <c r="E418" s="5" t="n">
        <f aca="false">PostPro4FW!S424</f>
        <v>700</v>
      </c>
      <c r="F418" s="5" t="n">
        <f aca="false">PostPro4FW!Q424</f>
        <v>0</v>
      </c>
      <c r="G418" s="0" t="n">
        <f aca="false">PostPro4FW!R424</f>
        <v>0</v>
      </c>
    </row>
    <row r="419" customFormat="false" ht="14.35" hidden="false" customHeight="false" outlineLevel="0" collapsed="false">
      <c r="A419" s="4" t="n">
        <v>20667</v>
      </c>
      <c r="B419" s="5" t="n">
        <f aca="false">PostPro4FW!H425</f>
        <v>8529.58608511987</v>
      </c>
      <c r="C419" s="5" t="n">
        <f aca="false">PostPro4FW!M425</f>
        <v>700</v>
      </c>
      <c r="D419" s="5" t="n">
        <f aca="false">PostPro4FW!H425+PostPro4FW!I425</f>
        <v>8529.58608511987</v>
      </c>
      <c r="E419" s="5" t="n">
        <f aca="false">PostPro4FW!S425</f>
        <v>700</v>
      </c>
      <c r="F419" s="5" t="n">
        <f aca="false">PostPro4FW!Q425</f>
        <v>0</v>
      </c>
      <c r="G419" s="0" t="n">
        <f aca="false">PostPro4FW!R425</f>
        <v>0</v>
      </c>
    </row>
    <row r="420" customFormat="false" ht="14.35" hidden="false" customHeight="false" outlineLevel="0" collapsed="false">
      <c r="A420" s="4" t="n">
        <v>20698</v>
      </c>
      <c r="B420" s="5" t="n">
        <f aca="false">PostPro4FW!H426</f>
        <v>3339.97607718315</v>
      </c>
      <c r="C420" s="5" t="n">
        <f aca="false">PostPro4FW!M426</f>
        <v>700</v>
      </c>
      <c r="D420" s="5" t="n">
        <f aca="false">PostPro4FW!H426+PostPro4FW!I426</f>
        <v>3339.97607718315</v>
      </c>
      <c r="E420" s="5" t="n">
        <f aca="false">PostPro4FW!S426</f>
        <v>700</v>
      </c>
      <c r="F420" s="5" t="n">
        <f aca="false">PostPro4FW!Q426</f>
        <v>0</v>
      </c>
      <c r="G420" s="0" t="n">
        <f aca="false">PostPro4FW!R426</f>
        <v>0</v>
      </c>
    </row>
    <row r="421" customFormat="false" ht="14.35" hidden="false" customHeight="false" outlineLevel="0" collapsed="false">
      <c r="A421" s="4" t="n">
        <v>20728</v>
      </c>
      <c r="B421" s="5" t="n">
        <f aca="false">PostPro4FW!H427</f>
        <v>9804.99520874032</v>
      </c>
      <c r="C421" s="5" t="n">
        <f aca="false">PostPro4FW!M427</f>
        <v>773.3333333</v>
      </c>
      <c r="D421" s="5" t="n">
        <f aca="false">PostPro4FW!H427+PostPro4FW!I427</f>
        <v>9804.99520874032</v>
      </c>
      <c r="E421" s="5" t="n">
        <f aca="false">PostPro4FW!S427</f>
        <v>773.3333333</v>
      </c>
      <c r="F421" s="5" t="n">
        <f aca="false">PostPro4FW!Q427</f>
        <v>0</v>
      </c>
      <c r="G421" s="0" t="n">
        <f aca="false">PostPro4FW!R427</f>
        <v>0</v>
      </c>
    </row>
    <row r="422" customFormat="false" ht="14.35" hidden="false" customHeight="false" outlineLevel="0" collapsed="false">
      <c r="A422" s="4" t="n">
        <v>20759</v>
      </c>
      <c r="B422" s="5" t="n">
        <f aca="false">PostPro4FW!H428</f>
        <v>4000</v>
      </c>
      <c r="C422" s="5" t="n">
        <f aca="false">PostPro4FW!M428</f>
        <v>800</v>
      </c>
      <c r="D422" s="5" t="n">
        <f aca="false">PostPro4FW!H428+PostPro4FW!I428</f>
        <v>4000</v>
      </c>
      <c r="E422" s="5" t="n">
        <f aca="false">PostPro4FW!S428</f>
        <v>800</v>
      </c>
      <c r="F422" s="5" t="n">
        <f aca="false">PostPro4FW!Q428</f>
        <v>0</v>
      </c>
      <c r="G422" s="0" t="n">
        <f aca="false">PostPro4FW!R428</f>
        <v>0</v>
      </c>
    </row>
    <row r="423" customFormat="false" ht="14.35" hidden="false" customHeight="false" outlineLevel="0" collapsed="false">
      <c r="A423" s="4" t="n">
        <v>20789</v>
      </c>
      <c r="B423" s="5" t="n">
        <f aca="false">PostPro4FW!H429</f>
        <v>2500</v>
      </c>
      <c r="C423" s="5" t="n">
        <f aca="false">PostPro4FW!M429</f>
        <v>800</v>
      </c>
      <c r="D423" s="5" t="n">
        <f aca="false">PostPro4FW!H429+PostPro4FW!I429</f>
        <v>2500</v>
      </c>
      <c r="E423" s="5" t="n">
        <f aca="false">PostPro4FW!S429</f>
        <v>800</v>
      </c>
      <c r="F423" s="5" t="n">
        <f aca="false">PostPro4FW!Q429</f>
        <v>0</v>
      </c>
      <c r="G423" s="0" t="n">
        <f aca="false">PostPro4FW!R429</f>
        <v>0</v>
      </c>
    </row>
    <row r="424" customFormat="false" ht="14.35" hidden="false" customHeight="false" outlineLevel="0" collapsed="false">
      <c r="A424" s="4" t="n">
        <v>20820</v>
      </c>
      <c r="B424" s="5" t="n">
        <f aca="false">PostPro4FW!H430</f>
        <v>6009.97915754661</v>
      </c>
      <c r="C424" s="5" t="n">
        <f aca="false">PostPro4FW!M430</f>
        <v>800</v>
      </c>
      <c r="D424" s="5" t="n">
        <f aca="false">PostPro4FW!H430+PostPro4FW!I430</f>
        <v>6009.97915754661</v>
      </c>
      <c r="E424" s="5" t="n">
        <f aca="false">PostPro4FW!S430</f>
        <v>800</v>
      </c>
      <c r="F424" s="5" t="n">
        <f aca="false">PostPro4FW!Q430</f>
        <v>0</v>
      </c>
      <c r="G424" s="0" t="n">
        <f aca="false">PostPro4FW!R430</f>
        <v>0</v>
      </c>
    </row>
    <row r="425" customFormat="false" ht="14.35" hidden="false" customHeight="false" outlineLevel="0" collapsed="false">
      <c r="A425" s="4" t="n">
        <v>20851</v>
      </c>
      <c r="B425" s="5" t="n">
        <f aca="false">PostPro4FW!H431</f>
        <v>1700</v>
      </c>
      <c r="C425" s="5" t="n">
        <f aca="false">PostPro4FW!M431</f>
        <v>800</v>
      </c>
      <c r="D425" s="5" t="n">
        <f aca="false">PostPro4FW!H431+PostPro4FW!I431</f>
        <v>1700</v>
      </c>
      <c r="E425" s="5" t="n">
        <f aca="false">PostPro4FW!S431</f>
        <v>800</v>
      </c>
      <c r="F425" s="5" t="n">
        <f aca="false">PostPro4FW!Q431</f>
        <v>0</v>
      </c>
      <c r="G425" s="0" t="n">
        <f aca="false">PostPro4FW!R431</f>
        <v>0</v>
      </c>
    </row>
    <row r="426" customFormat="false" ht="14.35" hidden="false" customHeight="false" outlineLevel="0" collapsed="false">
      <c r="A426" s="4" t="n">
        <v>20879</v>
      </c>
      <c r="B426" s="5" t="n">
        <f aca="false">PostPro4FW!H432</f>
        <v>4893.23862909421</v>
      </c>
      <c r="C426" s="5" t="n">
        <f aca="false">PostPro4FW!M432</f>
        <v>800</v>
      </c>
      <c r="D426" s="5" t="n">
        <f aca="false">PostPro4FW!H432+PostPro4FW!I432</f>
        <v>4893.23862909421</v>
      </c>
      <c r="E426" s="5" t="n">
        <f aca="false">PostPro4FW!S432</f>
        <v>1571.42857142857</v>
      </c>
      <c r="F426" s="5" t="n">
        <f aca="false">PostPro4FW!Q432</f>
        <v>2000</v>
      </c>
      <c r="G426" s="0" t="n">
        <f aca="false">PostPro4FW!R432</f>
        <v>18</v>
      </c>
    </row>
    <row r="427" customFormat="false" ht="14.35" hidden="false" customHeight="false" outlineLevel="0" collapsed="false">
      <c r="A427" s="4" t="n">
        <v>20910</v>
      </c>
      <c r="B427" s="5" t="n">
        <f aca="false">PostPro4FW!H433</f>
        <v>1700</v>
      </c>
      <c r="C427" s="5" t="n">
        <f aca="false">PostPro4FW!M433</f>
        <v>800</v>
      </c>
      <c r="D427" s="5" t="n">
        <f aca="false">PostPro4FW!H433+PostPro4FW!I433</f>
        <v>1700</v>
      </c>
      <c r="E427" s="5" t="n">
        <f aca="false">PostPro4FW!S433</f>
        <v>800</v>
      </c>
      <c r="F427" s="5" t="n">
        <f aca="false">PostPro4FW!Q433</f>
        <v>0</v>
      </c>
      <c r="G427" s="0" t="n">
        <f aca="false">PostPro4FW!R433</f>
        <v>0</v>
      </c>
    </row>
    <row r="428" customFormat="false" ht="14.35" hidden="false" customHeight="false" outlineLevel="0" collapsed="false">
      <c r="A428" s="4" t="n">
        <v>20940</v>
      </c>
      <c r="B428" s="5" t="n">
        <f aca="false">PostPro4FW!H434</f>
        <v>1000</v>
      </c>
      <c r="C428" s="5" t="n">
        <f aca="false">PostPro4FW!M434</f>
        <v>700</v>
      </c>
      <c r="D428" s="5" t="n">
        <f aca="false">PostPro4FW!H434+PostPro4FW!I434</f>
        <v>1420.13888888889</v>
      </c>
      <c r="E428" s="5" t="n">
        <f aca="false">PostPro4FW!S434</f>
        <v>700</v>
      </c>
      <c r="F428" s="5" t="n">
        <f aca="false">PostPro4FW!Q434</f>
        <v>0</v>
      </c>
      <c r="G428" s="0" t="n">
        <f aca="false">PostPro4FW!R434</f>
        <v>0</v>
      </c>
    </row>
    <row r="429" customFormat="false" ht="14.35" hidden="false" customHeight="false" outlineLevel="0" collapsed="false">
      <c r="A429" s="4" t="n">
        <v>20971</v>
      </c>
      <c r="B429" s="5" t="n">
        <f aca="false">PostPro4FW!H435</f>
        <v>1000</v>
      </c>
      <c r="C429" s="5" t="n">
        <f aca="false">PostPro4FW!M435</f>
        <v>700</v>
      </c>
      <c r="D429" s="5" t="n">
        <f aca="false">PostPro4FW!H435+PostPro4FW!I435</f>
        <v>1406.58602150538</v>
      </c>
      <c r="E429" s="5" t="n">
        <f aca="false">PostPro4FW!S435</f>
        <v>700</v>
      </c>
      <c r="F429" s="5" t="n">
        <f aca="false">PostPro4FW!Q435</f>
        <v>0</v>
      </c>
      <c r="G429" s="0" t="n">
        <f aca="false">PostPro4FW!R435</f>
        <v>0</v>
      </c>
    </row>
    <row r="430" customFormat="false" ht="14.35" hidden="false" customHeight="false" outlineLevel="0" collapsed="false">
      <c r="A430" s="4" t="n">
        <v>21001</v>
      </c>
      <c r="B430" s="5" t="n">
        <f aca="false">PostPro4FW!H436</f>
        <v>1787.30391957424</v>
      </c>
      <c r="C430" s="5" t="n">
        <f aca="false">PostPro4FW!M436</f>
        <v>700</v>
      </c>
      <c r="D430" s="5" t="n">
        <f aca="false">PostPro4FW!H436+PostPro4FW!I436</f>
        <v>1787.30391957424</v>
      </c>
      <c r="E430" s="5" t="n">
        <f aca="false">PostPro4FW!S436</f>
        <v>700</v>
      </c>
      <c r="F430" s="5" t="n">
        <f aca="false">PostPro4FW!Q436</f>
        <v>0</v>
      </c>
      <c r="G430" s="0" t="n">
        <f aca="false">PostPro4FW!R436</f>
        <v>0</v>
      </c>
    </row>
    <row r="431" customFormat="false" ht="14.35" hidden="false" customHeight="false" outlineLevel="0" collapsed="false">
      <c r="A431" s="4" t="n">
        <v>21032</v>
      </c>
      <c r="B431" s="5" t="n">
        <f aca="false">PostPro4FW!H437</f>
        <v>8751.80639709699</v>
      </c>
      <c r="C431" s="5" t="n">
        <f aca="false">PostPro4FW!M437</f>
        <v>700</v>
      </c>
      <c r="D431" s="5" t="n">
        <f aca="false">PostPro4FW!H437+PostPro4FW!I437</f>
        <v>8751.80639709699</v>
      </c>
      <c r="E431" s="5" t="n">
        <f aca="false">PostPro4FW!S437</f>
        <v>700</v>
      </c>
      <c r="F431" s="5" t="n">
        <f aca="false">PostPro4FW!Q437</f>
        <v>0</v>
      </c>
      <c r="G431" s="0" t="n">
        <f aca="false">PostPro4FW!R437</f>
        <v>0</v>
      </c>
    </row>
    <row r="432" customFormat="false" ht="14.35" hidden="false" customHeight="false" outlineLevel="0" collapsed="false">
      <c r="A432" s="4" t="n">
        <v>21063</v>
      </c>
      <c r="B432" s="5" t="n">
        <f aca="false">PostPro4FW!H438</f>
        <v>7454.45771767196</v>
      </c>
      <c r="C432" s="5" t="n">
        <f aca="false">PostPro4FW!M438</f>
        <v>700</v>
      </c>
      <c r="D432" s="5" t="n">
        <f aca="false">PostPro4FW!H438+PostPro4FW!I438</f>
        <v>7454.45771767196</v>
      </c>
      <c r="E432" s="5" t="n">
        <f aca="false">PostPro4FW!S438</f>
        <v>700</v>
      </c>
      <c r="F432" s="5" t="n">
        <f aca="false">PostPro4FW!Q438</f>
        <v>0</v>
      </c>
      <c r="G432" s="0" t="n">
        <f aca="false">PostPro4FW!R438</f>
        <v>0</v>
      </c>
    </row>
    <row r="433" customFormat="false" ht="14.35" hidden="false" customHeight="false" outlineLevel="0" collapsed="false">
      <c r="A433" s="4" t="n">
        <v>21093</v>
      </c>
      <c r="B433" s="5" t="n">
        <f aca="false">PostPro4FW!H439</f>
        <v>8062.44589727075</v>
      </c>
      <c r="C433" s="5" t="n">
        <f aca="false">PostPro4FW!M439</f>
        <v>773.3333333</v>
      </c>
      <c r="D433" s="5" t="n">
        <f aca="false">PostPro4FW!H439+PostPro4FW!I439</f>
        <v>8062.44589727075</v>
      </c>
      <c r="E433" s="5" t="n">
        <f aca="false">PostPro4FW!S439</f>
        <v>773.3333333</v>
      </c>
      <c r="F433" s="5" t="n">
        <f aca="false">PostPro4FW!Q439</f>
        <v>0</v>
      </c>
      <c r="G433" s="0" t="n">
        <f aca="false">PostPro4FW!R439</f>
        <v>0</v>
      </c>
    </row>
    <row r="434" customFormat="false" ht="14.35" hidden="false" customHeight="false" outlineLevel="0" collapsed="false">
      <c r="A434" s="4" t="n">
        <v>21124</v>
      </c>
      <c r="B434" s="5" t="n">
        <f aca="false">PostPro4FW!H440</f>
        <v>1700</v>
      </c>
      <c r="C434" s="5" t="n">
        <f aca="false">PostPro4FW!M440</f>
        <v>800</v>
      </c>
      <c r="D434" s="5" t="n">
        <f aca="false">PostPro4FW!H440+PostPro4FW!I440</f>
        <v>1700</v>
      </c>
      <c r="E434" s="5" t="n">
        <f aca="false">PostPro4FW!S440</f>
        <v>800</v>
      </c>
      <c r="F434" s="5" t="n">
        <f aca="false">PostPro4FW!Q440</f>
        <v>0</v>
      </c>
      <c r="G434" s="0" t="n">
        <f aca="false">PostPro4FW!R440</f>
        <v>0</v>
      </c>
    </row>
    <row r="435" customFormat="false" ht="14.35" hidden="false" customHeight="false" outlineLevel="0" collapsed="false">
      <c r="A435" s="4" t="n">
        <v>21154</v>
      </c>
      <c r="B435" s="5" t="n">
        <f aca="false">PostPro4FW!H441</f>
        <v>2278.39174215452</v>
      </c>
      <c r="C435" s="5" t="n">
        <f aca="false">PostPro4FW!M441</f>
        <v>800</v>
      </c>
      <c r="D435" s="5" t="n">
        <f aca="false">PostPro4FW!H441+PostPro4FW!I441</f>
        <v>2278.39174215452</v>
      </c>
      <c r="E435" s="5" t="n">
        <f aca="false">PostPro4FW!S441</f>
        <v>800</v>
      </c>
      <c r="F435" s="5" t="n">
        <f aca="false">PostPro4FW!Q441</f>
        <v>0</v>
      </c>
      <c r="G435" s="0" t="n">
        <f aca="false">PostPro4FW!R441</f>
        <v>0</v>
      </c>
    </row>
    <row r="436" customFormat="false" ht="14.35" hidden="false" customHeight="false" outlineLevel="0" collapsed="false">
      <c r="A436" s="4" t="n">
        <v>21185</v>
      </c>
      <c r="B436" s="5" t="n">
        <f aca="false">PostPro4FW!H442</f>
        <v>1700</v>
      </c>
      <c r="C436" s="5" t="n">
        <f aca="false">PostPro4FW!M442</f>
        <v>800</v>
      </c>
      <c r="D436" s="5" t="n">
        <f aca="false">PostPro4FW!H442+PostPro4FW!I442</f>
        <v>1700</v>
      </c>
      <c r="E436" s="5" t="n">
        <f aca="false">PostPro4FW!S442</f>
        <v>800</v>
      </c>
      <c r="F436" s="5" t="n">
        <f aca="false">PostPro4FW!Q442</f>
        <v>0</v>
      </c>
      <c r="G436" s="0" t="n">
        <f aca="false">PostPro4FW!R442</f>
        <v>0</v>
      </c>
    </row>
    <row r="437" customFormat="false" ht="14.35" hidden="false" customHeight="false" outlineLevel="0" collapsed="false">
      <c r="A437" s="4" t="n">
        <v>21216</v>
      </c>
      <c r="B437" s="5" t="n">
        <f aca="false">PostPro4FW!H443</f>
        <v>1699.99999999997</v>
      </c>
      <c r="C437" s="5" t="n">
        <f aca="false">PostPro4FW!M443</f>
        <v>800</v>
      </c>
      <c r="D437" s="5" t="n">
        <f aca="false">PostPro4FW!H443+PostPro4FW!I443</f>
        <v>1699.99999999997</v>
      </c>
      <c r="E437" s="5" t="n">
        <f aca="false">PostPro4FW!S443</f>
        <v>800</v>
      </c>
      <c r="F437" s="5" t="n">
        <f aca="false">PostPro4FW!Q443</f>
        <v>0</v>
      </c>
      <c r="G437" s="0" t="n">
        <f aca="false">PostPro4FW!R443</f>
        <v>0</v>
      </c>
    </row>
    <row r="438" customFormat="false" ht="14.35" hidden="false" customHeight="false" outlineLevel="0" collapsed="false">
      <c r="A438" s="4" t="n">
        <v>21244</v>
      </c>
      <c r="B438" s="5" t="n">
        <f aca="false">PostPro4FW!H444</f>
        <v>9060.97488190173</v>
      </c>
      <c r="C438" s="5" t="n">
        <f aca="false">PostPro4FW!M444</f>
        <v>800</v>
      </c>
      <c r="D438" s="5" t="n">
        <f aca="false">PostPro4FW!H444+PostPro4FW!I444</f>
        <v>9060.97488190173</v>
      </c>
      <c r="E438" s="5" t="n">
        <f aca="false">PostPro4FW!S444</f>
        <v>800</v>
      </c>
      <c r="F438" s="5" t="n">
        <f aca="false">PostPro4FW!Q444</f>
        <v>0</v>
      </c>
      <c r="G438" s="0" t="n">
        <f aca="false">PostPro4FW!R444</f>
        <v>0</v>
      </c>
    </row>
    <row r="439" customFormat="false" ht="14.35" hidden="false" customHeight="false" outlineLevel="0" collapsed="false">
      <c r="A439" s="4" t="n">
        <v>21275</v>
      </c>
      <c r="B439" s="5" t="n">
        <f aca="false">PostPro4FW!H445</f>
        <v>11899.2926664114</v>
      </c>
      <c r="C439" s="5" t="n">
        <f aca="false">PostPro4FW!M445</f>
        <v>800</v>
      </c>
      <c r="D439" s="5" t="n">
        <f aca="false">PostPro4FW!H445+PostPro4FW!I445</f>
        <v>11899.2926664114</v>
      </c>
      <c r="E439" s="5" t="n">
        <f aca="false">PostPro4FW!S445</f>
        <v>800</v>
      </c>
      <c r="F439" s="5" t="n">
        <f aca="false">PostPro4FW!Q445</f>
        <v>0</v>
      </c>
      <c r="G439" s="0" t="n">
        <f aca="false">PostPro4FW!R445</f>
        <v>0</v>
      </c>
    </row>
    <row r="440" customFormat="false" ht="14.35" hidden="false" customHeight="false" outlineLevel="0" collapsed="false">
      <c r="A440" s="4" t="n">
        <v>21305</v>
      </c>
      <c r="B440" s="5" t="n">
        <f aca="false">PostPro4FW!H446</f>
        <v>7677.77211793537</v>
      </c>
      <c r="C440" s="5" t="n">
        <f aca="false">PostPro4FW!M446</f>
        <v>700</v>
      </c>
      <c r="D440" s="5" t="n">
        <f aca="false">PostPro4FW!H446+PostPro4FW!I446</f>
        <v>7677.77211793537</v>
      </c>
      <c r="E440" s="5" t="n">
        <f aca="false">PostPro4FW!S446</f>
        <v>700</v>
      </c>
      <c r="F440" s="5" t="n">
        <f aca="false">PostPro4FW!Q446</f>
        <v>0</v>
      </c>
      <c r="G440" s="0" t="n">
        <f aca="false">PostPro4FW!R446</f>
        <v>0</v>
      </c>
    </row>
    <row r="441" customFormat="false" ht="14.35" hidden="false" customHeight="false" outlineLevel="0" collapsed="false">
      <c r="A441" s="4" t="n">
        <v>21336</v>
      </c>
      <c r="B441" s="5" t="n">
        <f aca="false">PostPro4FW!H447</f>
        <v>10506.7374479738</v>
      </c>
      <c r="C441" s="5" t="n">
        <f aca="false">PostPro4FW!M447</f>
        <v>700</v>
      </c>
      <c r="D441" s="5" t="n">
        <f aca="false">PostPro4FW!H447+PostPro4FW!I447</f>
        <v>10506.7374479738</v>
      </c>
      <c r="E441" s="5" t="n">
        <f aca="false">PostPro4FW!S447</f>
        <v>700</v>
      </c>
      <c r="F441" s="5" t="n">
        <f aca="false">PostPro4FW!Q447</f>
        <v>0</v>
      </c>
      <c r="G441" s="0" t="n">
        <f aca="false">PostPro4FW!R447</f>
        <v>0</v>
      </c>
    </row>
    <row r="442" customFormat="false" ht="14.35" hidden="false" customHeight="false" outlineLevel="0" collapsed="false">
      <c r="A442" s="4" t="n">
        <v>21366</v>
      </c>
      <c r="B442" s="5" t="n">
        <f aca="false">PostPro4FW!H448</f>
        <v>6741.40853807776</v>
      </c>
      <c r="C442" s="5" t="n">
        <f aca="false">PostPro4FW!M448</f>
        <v>700</v>
      </c>
      <c r="D442" s="5" t="n">
        <f aca="false">PostPro4FW!H448+PostPro4FW!I448</f>
        <v>6741.40853807776</v>
      </c>
      <c r="E442" s="5" t="n">
        <f aca="false">PostPro4FW!S448</f>
        <v>700</v>
      </c>
      <c r="F442" s="5" t="n">
        <f aca="false">PostPro4FW!Q448</f>
        <v>0</v>
      </c>
      <c r="G442" s="0" t="n">
        <f aca="false">PostPro4FW!R448</f>
        <v>0</v>
      </c>
    </row>
    <row r="443" customFormat="false" ht="14.35" hidden="false" customHeight="false" outlineLevel="0" collapsed="false">
      <c r="A443" s="4" t="n">
        <v>21397</v>
      </c>
      <c r="B443" s="5" t="n">
        <f aca="false">PostPro4FW!H449</f>
        <v>3284.41472900163</v>
      </c>
      <c r="C443" s="5" t="n">
        <f aca="false">PostPro4FW!M449</f>
        <v>700</v>
      </c>
      <c r="D443" s="5" t="n">
        <f aca="false">PostPro4FW!H449+PostPro4FW!I449</f>
        <v>3284.41472900163</v>
      </c>
      <c r="E443" s="5" t="n">
        <f aca="false">PostPro4FW!S449</f>
        <v>700</v>
      </c>
      <c r="F443" s="5" t="n">
        <f aca="false">PostPro4FW!Q449</f>
        <v>0</v>
      </c>
      <c r="G443" s="0" t="n">
        <f aca="false">PostPro4FW!R449</f>
        <v>0</v>
      </c>
    </row>
    <row r="444" customFormat="false" ht="14.35" hidden="false" customHeight="false" outlineLevel="0" collapsed="false">
      <c r="A444" s="4" t="n">
        <v>21428</v>
      </c>
      <c r="B444" s="5" t="n">
        <f aca="false">PostPro4FW!H450</f>
        <v>1396.53324645576</v>
      </c>
      <c r="C444" s="5" t="n">
        <f aca="false">PostPro4FW!M450</f>
        <v>700</v>
      </c>
      <c r="D444" s="5" t="n">
        <f aca="false">PostPro4FW!H450+PostPro4FW!I450</f>
        <v>1396.53324645576</v>
      </c>
      <c r="E444" s="5" t="n">
        <f aca="false">PostPro4FW!S450</f>
        <v>700</v>
      </c>
      <c r="F444" s="5" t="n">
        <f aca="false">PostPro4FW!Q450</f>
        <v>0</v>
      </c>
      <c r="G444" s="0" t="n">
        <f aca="false">PostPro4FW!R450</f>
        <v>0</v>
      </c>
    </row>
    <row r="445" customFormat="false" ht="14.35" hidden="false" customHeight="false" outlineLevel="0" collapsed="false">
      <c r="A445" s="4" t="n">
        <v>21458</v>
      </c>
      <c r="B445" s="5" t="n">
        <f aca="false">PostPro4FW!H451</f>
        <v>9441.43123015564</v>
      </c>
      <c r="C445" s="5" t="n">
        <f aca="false">PostPro4FW!M451</f>
        <v>773.3333333</v>
      </c>
      <c r="D445" s="5" t="n">
        <f aca="false">PostPro4FW!H451+PostPro4FW!I451</f>
        <v>9441.43123015564</v>
      </c>
      <c r="E445" s="5" t="n">
        <f aca="false">PostPro4FW!S451</f>
        <v>773.3333333</v>
      </c>
      <c r="F445" s="5" t="n">
        <f aca="false">PostPro4FW!Q451</f>
        <v>0</v>
      </c>
      <c r="G445" s="0" t="n">
        <f aca="false">PostPro4FW!R451</f>
        <v>0</v>
      </c>
    </row>
    <row r="446" customFormat="false" ht="14.35" hidden="false" customHeight="false" outlineLevel="0" collapsed="false">
      <c r="A446" s="4" t="n">
        <v>21489</v>
      </c>
      <c r="B446" s="5" t="n">
        <f aca="false">PostPro4FW!H452</f>
        <v>4000</v>
      </c>
      <c r="C446" s="5" t="n">
        <f aca="false">PostPro4FW!M452</f>
        <v>800</v>
      </c>
      <c r="D446" s="5" t="n">
        <f aca="false">PostPro4FW!H452+PostPro4FW!I452</f>
        <v>4000</v>
      </c>
      <c r="E446" s="5" t="n">
        <f aca="false">PostPro4FW!S452</f>
        <v>800</v>
      </c>
      <c r="F446" s="5" t="n">
        <f aca="false">PostPro4FW!Q452</f>
        <v>0</v>
      </c>
      <c r="G446" s="0" t="n">
        <f aca="false">PostPro4FW!R452</f>
        <v>0</v>
      </c>
    </row>
    <row r="447" customFormat="false" ht="14.35" hidden="false" customHeight="false" outlineLevel="0" collapsed="false">
      <c r="A447" s="4" t="n">
        <v>21519</v>
      </c>
      <c r="B447" s="5" t="n">
        <f aca="false">PostPro4FW!H453</f>
        <v>2500</v>
      </c>
      <c r="C447" s="5" t="n">
        <f aca="false">PostPro4FW!M453</f>
        <v>800</v>
      </c>
      <c r="D447" s="5" t="n">
        <f aca="false">PostPro4FW!H453+PostPro4FW!I453</f>
        <v>2500</v>
      </c>
      <c r="E447" s="5" t="n">
        <f aca="false">PostPro4FW!S453</f>
        <v>800</v>
      </c>
      <c r="F447" s="5" t="n">
        <f aca="false">PostPro4FW!Q453</f>
        <v>0</v>
      </c>
      <c r="G447" s="0" t="n">
        <f aca="false">PostPro4FW!R453</f>
        <v>0</v>
      </c>
    </row>
    <row r="448" customFormat="false" ht="14.35" hidden="false" customHeight="false" outlineLevel="0" collapsed="false">
      <c r="A448" s="4" t="n">
        <v>21550</v>
      </c>
      <c r="B448" s="5" t="n">
        <f aca="false">PostPro4FW!H454</f>
        <v>5691.9063786457</v>
      </c>
      <c r="C448" s="5" t="n">
        <f aca="false">PostPro4FW!M454</f>
        <v>800</v>
      </c>
      <c r="D448" s="5" t="n">
        <f aca="false">PostPro4FW!H454+PostPro4FW!I454</f>
        <v>5691.9063786457</v>
      </c>
      <c r="E448" s="5" t="n">
        <f aca="false">PostPro4FW!S454</f>
        <v>800</v>
      </c>
      <c r="F448" s="5" t="n">
        <f aca="false">PostPro4FW!Q454</f>
        <v>0</v>
      </c>
      <c r="G448" s="0" t="n">
        <f aca="false">PostPro4FW!R454</f>
        <v>0</v>
      </c>
    </row>
    <row r="449" customFormat="false" ht="14.35" hidden="false" customHeight="false" outlineLevel="0" collapsed="false">
      <c r="A449" s="4" t="n">
        <v>21581</v>
      </c>
      <c r="B449" s="5" t="n">
        <f aca="false">PostPro4FW!H455</f>
        <v>1700</v>
      </c>
      <c r="C449" s="5" t="n">
        <f aca="false">PostPro4FW!M455</f>
        <v>800</v>
      </c>
      <c r="D449" s="5" t="n">
        <f aca="false">PostPro4FW!H455+PostPro4FW!I455</f>
        <v>1700</v>
      </c>
      <c r="E449" s="5" t="n">
        <f aca="false">PostPro4FW!S455</f>
        <v>800</v>
      </c>
      <c r="F449" s="5" t="n">
        <f aca="false">PostPro4FW!Q455</f>
        <v>0</v>
      </c>
      <c r="G449" s="0" t="n">
        <f aca="false">PostPro4FW!R455</f>
        <v>0</v>
      </c>
    </row>
    <row r="450" customFormat="false" ht="14.35" hidden="false" customHeight="false" outlineLevel="0" collapsed="false">
      <c r="A450" s="4" t="n">
        <v>21609</v>
      </c>
      <c r="B450" s="5" t="n">
        <f aca="false">PostPro4FW!H456</f>
        <v>2756.15143109703</v>
      </c>
      <c r="C450" s="5" t="n">
        <f aca="false">PostPro4FW!M456</f>
        <v>800</v>
      </c>
      <c r="D450" s="5" t="n">
        <f aca="false">PostPro4FW!H456+PostPro4FW!I456</f>
        <v>2756.15143109703</v>
      </c>
      <c r="E450" s="5" t="n">
        <f aca="false">PostPro4FW!S456</f>
        <v>1571.42857142857</v>
      </c>
      <c r="F450" s="5" t="n">
        <f aca="false">PostPro4FW!Q456</f>
        <v>2000</v>
      </c>
      <c r="G450" s="0" t="n">
        <f aca="false">PostPro4FW!R456</f>
        <v>18</v>
      </c>
    </row>
    <row r="451" customFormat="false" ht="14.35" hidden="false" customHeight="false" outlineLevel="0" collapsed="false">
      <c r="A451" s="4" t="n">
        <v>21640</v>
      </c>
      <c r="B451" s="5" t="n">
        <f aca="false">PostPro4FW!H457</f>
        <v>2247.79871860452</v>
      </c>
      <c r="C451" s="5" t="n">
        <f aca="false">PostPro4FW!M457</f>
        <v>800</v>
      </c>
      <c r="D451" s="5" t="n">
        <f aca="false">PostPro4FW!H457+PostPro4FW!I457</f>
        <v>2247.79871860452</v>
      </c>
      <c r="E451" s="5" t="n">
        <f aca="false">PostPro4FW!S457</f>
        <v>800</v>
      </c>
      <c r="F451" s="5" t="n">
        <f aca="false">PostPro4FW!Q457</f>
        <v>0</v>
      </c>
      <c r="G451" s="0" t="n">
        <f aca="false">PostPro4FW!R457</f>
        <v>0</v>
      </c>
    </row>
    <row r="452" customFormat="false" ht="14.35" hidden="false" customHeight="false" outlineLevel="0" collapsed="false">
      <c r="A452" s="4" t="n">
        <v>21670</v>
      </c>
      <c r="B452" s="5" t="n">
        <f aca="false">PostPro4FW!H458</f>
        <v>1934.56402331141</v>
      </c>
      <c r="C452" s="5" t="n">
        <f aca="false">PostPro4FW!M458</f>
        <v>700</v>
      </c>
      <c r="D452" s="5" t="n">
        <f aca="false">PostPro4FW!H458+PostPro4FW!I458</f>
        <v>2354.7029122003</v>
      </c>
      <c r="E452" s="5" t="n">
        <f aca="false">PostPro4FW!S458</f>
        <v>700</v>
      </c>
      <c r="F452" s="5" t="n">
        <f aca="false">PostPro4FW!Q458</f>
        <v>0</v>
      </c>
      <c r="G452" s="0" t="n">
        <f aca="false">PostPro4FW!R458</f>
        <v>0</v>
      </c>
    </row>
    <row r="453" customFormat="false" ht="14.35" hidden="false" customHeight="false" outlineLevel="0" collapsed="false">
      <c r="A453" s="4" t="n">
        <v>21701</v>
      </c>
      <c r="B453" s="5" t="n">
        <f aca="false">PostPro4FW!H459</f>
        <v>1847.42482258737</v>
      </c>
      <c r="C453" s="5" t="n">
        <f aca="false">PostPro4FW!M459</f>
        <v>700</v>
      </c>
      <c r="D453" s="5" t="n">
        <f aca="false">PostPro4FW!H459+PostPro4FW!I459</f>
        <v>2254.01084409275</v>
      </c>
      <c r="E453" s="5" t="n">
        <f aca="false">PostPro4FW!S459</f>
        <v>700</v>
      </c>
      <c r="F453" s="5" t="n">
        <f aca="false">PostPro4FW!Q459</f>
        <v>0</v>
      </c>
      <c r="G453" s="0" t="n">
        <f aca="false">PostPro4FW!R459</f>
        <v>0</v>
      </c>
    </row>
    <row r="454" customFormat="false" ht="14.35" hidden="false" customHeight="false" outlineLevel="0" collapsed="false">
      <c r="A454" s="4" t="n">
        <v>21731</v>
      </c>
      <c r="B454" s="5" t="n">
        <f aca="false">PostPro4FW!H460</f>
        <v>3995.75587657334</v>
      </c>
      <c r="C454" s="5" t="n">
        <f aca="false">PostPro4FW!M460</f>
        <v>700</v>
      </c>
      <c r="D454" s="5" t="n">
        <f aca="false">PostPro4FW!H460+PostPro4FW!I460</f>
        <v>3995.75587657334</v>
      </c>
      <c r="E454" s="5" t="n">
        <f aca="false">PostPro4FW!S460</f>
        <v>700</v>
      </c>
      <c r="F454" s="5" t="n">
        <f aca="false">PostPro4FW!Q460</f>
        <v>0</v>
      </c>
      <c r="G454" s="0" t="n">
        <f aca="false">PostPro4FW!R460</f>
        <v>0</v>
      </c>
    </row>
    <row r="455" customFormat="false" ht="14.35" hidden="false" customHeight="false" outlineLevel="0" collapsed="false">
      <c r="A455" s="4" t="n">
        <v>21762</v>
      </c>
      <c r="B455" s="5" t="n">
        <f aca="false">PostPro4FW!H461</f>
        <v>10000</v>
      </c>
      <c r="C455" s="5" t="n">
        <f aca="false">PostPro4FW!M461</f>
        <v>700</v>
      </c>
      <c r="D455" s="5" t="n">
        <f aca="false">PostPro4FW!H461+PostPro4FW!I461</f>
        <v>10000</v>
      </c>
      <c r="E455" s="5" t="n">
        <f aca="false">PostPro4FW!S461</f>
        <v>700</v>
      </c>
      <c r="F455" s="5" t="n">
        <f aca="false">PostPro4FW!Q461</f>
        <v>0</v>
      </c>
      <c r="G455" s="0" t="n">
        <f aca="false">PostPro4FW!R461</f>
        <v>0</v>
      </c>
    </row>
    <row r="456" customFormat="false" ht="14.35" hidden="false" customHeight="false" outlineLevel="0" collapsed="false">
      <c r="A456" s="4" t="n">
        <v>21793</v>
      </c>
      <c r="B456" s="5" t="n">
        <f aca="false">PostPro4FW!H462</f>
        <v>7905.3193510891</v>
      </c>
      <c r="C456" s="5" t="n">
        <f aca="false">PostPro4FW!M462</f>
        <v>700</v>
      </c>
      <c r="D456" s="5" t="n">
        <f aca="false">PostPro4FW!H462+PostPro4FW!I462</f>
        <v>7905.3193510891</v>
      </c>
      <c r="E456" s="5" t="n">
        <f aca="false">PostPro4FW!S462</f>
        <v>700</v>
      </c>
      <c r="F456" s="5" t="n">
        <f aca="false">PostPro4FW!Q462</f>
        <v>0</v>
      </c>
      <c r="G456" s="0" t="n">
        <f aca="false">PostPro4FW!R462</f>
        <v>0</v>
      </c>
    </row>
    <row r="457" customFormat="false" ht="14.35" hidden="false" customHeight="false" outlineLevel="0" collapsed="false">
      <c r="A457" s="4" t="n">
        <v>21823</v>
      </c>
      <c r="B457" s="5" t="n">
        <f aca="false">PostPro4FW!H463</f>
        <v>2409.7621541732</v>
      </c>
      <c r="C457" s="5" t="n">
        <f aca="false">PostPro4FW!M463</f>
        <v>773.3333333</v>
      </c>
      <c r="D457" s="5" t="n">
        <f aca="false">PostPro4FW!H463+PostPro4FW!I463</f>
        <v>2409.7621541732</v>
      </c>
      <c r="E457" s="5" t="n">
        <f aca="false">PostPro4FW!S463</f>
        <v>773.3333333</v>
      </c>
      <c r="F457" s="5" t="n">
        <f aca="false">PostPro4FW!Q463</f>
        <v>0</v>
      </c>
      <c r="G457" s="0" t="n">
        <f aca="false">PostPro4FW!R463</f>
        <v>0</v>
      </c>
    </row>
    <row r="458" customFormat="false" ht="14.35" hidden="false" customHeight="false" outlineLevel="0" collapsed="false">
      <c r="A458" s="4" t="n">
        <v>21854</v>
      </c>
      <c r="B458" s="5" t="n">
        <f aca="false">PostPro4FW!H464</f>
        <v>1206.27367989169</v>
      </c>
      <c r="C458" s="5" t="n">
        <f aca="false">PostPro4FW!M464</f>
        <v>800</v>
      </c>
      <c r="D458" s="5" t="n">
        <f aca="false">PostPro4FW!H464+PostPro4FW!I464</f>
        <v>1206.27367989169</v>
      </c>
      <c r="E458" s="5" t="n">
        <f aca="false">PostPro4FW!S464</f>
        <v>800</v>
      </c>
      <c r="F458" s="5" t="n">
        <f aca="false">PostPro4FW!Q464</f>
        <v>0</v>
      </c>
      <c r="G458" s="0" t="n">
        <f aca="false">PostPro4FW!R464</f>
        <v>0</v>
      </c>
    </row>
    <row r="459" customFormat="false" ht="14.35" hidden="false" customHeight="false" outlineLevel="0" collapsed="false">
      <c r="A459" s="4" t="n">
        <v>21884</v>
      </c>
      <c r="B459" s="5" t="n">
        <f aca="false">PostPro4FW!H465</f>
        <v>1200</v>
      </c>
      <c r="C459" s="5" t="n">
        <f aca="false">PostPro4FW!M465</f>
        <v>800</v>
      </c>
      <c r="D459" s="5" t="n">
        <f aca="false">PostPro4FW!H465+PostPro4FW!I465</f>
        <v>1200</v>
      </c>
      <c r="E459" s="5" t="n">
        <f aca="false">PostPro4FW!S465</f>
        <v>800</v>
      </c>
      <c r="F459" s="5" t="n">
        <f aca="false">PostPro4FW!Q465</f>
        <v>0</v>
      </c>
      <c r="G459" s="0" t="n">
        <f aca="false">PostPro4FW!R465</f>
        <v>0</v>
      </c>
    </row>
    <row r="460" customFormat="false" ht="14.35" hidden="false" customHeight="false" outlineLevel="0" collapsed="false">
      <c r="A460" s="4" t="n">
        <v>21915</v>
      </c>
      <c r="B460" s="5" t="n">
        <f aca="false">PostPro4FW!H466</f>
        <v>1200</v>
      </c>
      <c r="C460" s="5" t="n">
        <f aca="false">PostPro4FW!M466</f>
        <v>800</v>
      </c>
      <c r="D460" s="5" t="n">
        <f aca="false">PostPro4FW!H466+PostPro4FW!I466</f>
        <v>1200</v>
      </c>
      <c r="E460" s="5" t="n">
        <f aca="false">PostPro4FW!S466</f>
        <v>800</v>
      </c>
      <c r="F460" s="5" t="n">
        <f aca="false">PostPro4FW!Q466</f>
        <v>0</v>
      </c>
      <c r="G460" s="0" t="n">
        <f aca="false">PostPro4FW!R466</f>
        <v>0</v>
      </c>
    </row>
    <row r="461" customFormat="false" ht="14.35" hidden="false" customHeight="false" outlineLevel="0" collapsed="false">
      <c r="A461" s="4" t="n">
        <v>21946</v>
      </c>
      <c r="B461" s="5" t="n">
        <f aca="false">PostPro4FW!H467</f>
        <v>1200</v>
      </c>
      <c r="C461" s="5" t="n">
        <f aca="false">PostPro4FW!M467</f>
        <v>800</v>
      </c>
      <c r="D461" s="5" t="n">
        <f aca="false">PostPro4FW!H467+PostPro4FW!I467</f>
        <v>1200</v>
      </c>
      <c r="E461" s="5" t="n">
        <f aca="false">PostPro4FW!S467</f>
        <v>800</v>
      </c>
      <c r="F461" s="5" t="n">
        <f aca="false">PostPro4FW!Q467</f>
        <v>0</v>
      </c>
      <c r="G461" s="0" t="n">
        <f aca="false">PostPro4FW!R467</f>
        <v>0</v>
      </c>
    </row>
    <row r="462" customFormat="false" ht="14.35" hidden="false" customHeight="false" outlineLevel="0" collapsed="false">
      <c r="A462" s="4" t="n">
        <v>21975</v>
      </c>
      <c r="B462" s="5" t="n">
        <f aca="false">PostPro4FW!H468</f>
        <v>1200</v>
      </c>
      <c r="C462" s="5" t="n">
        <f aca="false">PostPro4FW!M468</f>
        <v>800</v>
      </c>
      <c r="D462" s="5" t="n">
        <f aca="false">PostPro4FW!H468+PostPro4FW!I468</f>
        <v>1200</v>
      </c>
      <c r="E462" s="5" t="n">
        <f aca="false">PostPro4FW!S468</f>
        <v>1200</v>
      </c>
      <c r="F462" s="5" t="n">
        <f aca="false">PostPro4FW!Q468</f>
        <v>1200</v>
      </c>
      <c r="G462" s="0" t="n">
        <f aca="false">PostPro4FW!R468</f>
        <v>29</v>
      </c>
    </row>
    <row r="463" customFormat="false" ht="14.35" hidden="false" customHeight="false" outlineLevel="0" collapsed="false">
      <c r="A463" s="4" t="n">
        <v>22006</v>
      </c>
      <c r="B463" s="5" t="n">
        <f aca="false">PostPro4FW!H469</f>
        <v>1000</v>
      </c>
      <c r="C463" s="5" t="n">
        <f aca="false">PostPro4FW!M469</f>
        <v>800</v>
      </c>
      <c r="D463" s="5" t="n">
        <f aca="false">PostPro4FW!H469+PostPro4FW!I469</f>
        <v>1000</v>
      </c>
      <c r="E463" s="5" t="n">
        <f aca="false">PostPro4FW!S469</f>
        <v>1000</v>
      </c>
      <c r="F463" s="5" t="n">
        <f aca="false">PostPro4FW!Q469</f>
        <v>1000</v>
      </c>
      <c r="G463" s="0" t="n">
        <f aca="false">PostPro4FW!R469</f>
        <v>31</v>
      </c>
    </row>
    <row r="464" customFormat="false" ht="14.35" hidden="false" customHeight="false" outlineLevel="0" collapsed="false">
      <c r="A464" s="4" t="n">
        <v>22036</v>
      </c>
      <c r="B464" s="5" t="n">
        <f aca="false">PostPro4FW!H470</f>
        <v>1015.22450681011</v>
      </c>
      <c r="C464" s="5" t="n">
        <f aca="false">PostPro4FW!M470</f>
        <v>700</v>
      </c>
      <c r="D464" s="5" t="n">
        <f aca="false">PostPro4FW!H470+PostPro4FW!I470</f>
        <v>1435.363395699</v>
      </c>
      <c r="E464" s="5" t="n">
        <f aca="false">PostPro4FW!S470</f>
        <v>822.560565949834</v>
      </c>
      <c r="F464" s="5" t="n">
        <f aca="false">PostPro4FW!Q470</f>
        <v>1435.363395699</v>
      </c>
      <c r="G464" s="0" t="n">
        <f aca="false">PostPro4FW!R470</f>
        <v>5</v>
      </c>
    </row>
    <row r="465" customFormat="false" ht="14.35" hidden="false" customHeight="false" outlineLevel="0" collapsed="false">
      <c r="A465" s="4" t="n">
        <v>22067</v>
      </c>
      <c r="B465" s="5" t="n">
        <f aca="false">PostPro4FW!H471</f>
        <v>1593.55060134354</v>
      </c>
      <c r="C465" s="5" t="n">
        <f aca="false">PostPro4FW!M471</f>
        <v>700</v>
      </c>
      <c r="D465" s="5" t="n">
        <f aca="false">PostPro4FW!H471+PostPro4FW!I471</f>
        <v>2000.13662284891</v>
      </c>
      <c r="E465" s="5" t="n">
        <f aca="false">PostPro4FW!S471</f>
        <v>700</v>
      </c>
      <c r="F465" s="5" t="n">
        <f aca="false">PostPro4FW!Q471</f>
        <v>0</v>
      </c>
      <c r="G465" s="0" t="n">
        <f aca="false">PostPro4FW!R471</f>
        <v>0</v>
      </c>
    </row>
    <row r="466" customFormat="false" ht="14.35" hidden="false" customHeight="false" outlineLevel="0" collapsed="false">
      <c r="A466" s="4" t="n">
        <v>22097</v>
      </c>
      <c r="B466" s="5" t="n">
        <f aca="false">PostPro4FW!H472</f>
        <v>4776.07477855645</v>
      </c>
      <c r="C466" s="5" t="n">
        <f aca="false">PostPro4FW!M472</f>
        <v>700</v>
      </c>
      <c r="D466" s="5" t="n">
        <f aca="false">PostPro4FW!H472+PostPro4FW!I472</f>
        <v>4776.07477855645</v>
      </c>
      <c r="E466" s="5" t="n">
        <f aca="false">PostPro4FW!S472</f>
        <v>700</v>
      </c>
      <c r="F466" s="5" t="n">
        <f aca="false">PostPro4FW!Q472</f>
        <v>0</v>
      </c>
      <c r="G466" s="0" t="n">
        <f aca="false">PostPro4FW!R472</f>
        <v>0</v>
      </c>
    </row>
    <row r="467" customFormat="false" ht="14.35" hidden="false" customHeight="false" outlineLevel="0" collapsed="false">
      <c r="A467" s="4" t="n">
        <v>22128</v>
      </c>
      <c r="B467" s="5" t="n">
        <f aca="false">PostPro4FW!H473</f>
        <v>9822.87079390568</v>
      </c>
      <c r="C467" s="5" t="n">
        <f aca="false">PostPro4FW!M473</f>
        <v>700</v>
      </c>
      <c r="D467" s="5" t="n">
        <f aca="false">PostPro4FW!H473+PostPro4FW!I473</f>
        <v>9822.87079390568</v>
      </c>
      <c r="E467" s="5" t="n">
        <f aca="false">PostPro4FW!S473</f>
        <v>700</v>
      </c>
      <c r="F467" s="5" t="n">
        <f aca="false">PostPro4FW!Q473</f>
        <v>0</v>
      </c>
      <c r="G467" s="0" t="n">
        <f aca="false">PostPro4FW!R473</f>
        <v>0</v>
      </c>
    </row>
    <row r="468" customFormat="false" ht="14.35" hidden="false" customHeight="false" outlineLevel="0" collapsed="false">
      <c r="A468" s="4" t="n">
        <v>22159</v>
      </c>
      <c r="B468" s="5" t="n">
        <f aca="false">PostPro4FW!H474</f>
        <v>4739.91531259664</v>
      </c>
      <c r="C468" s="5" t="n">
        <f aca="false">PostPro4FW!M474</f>
        <v>700</v>
      </c>
      <c r="D468" s="5" t="n">
        <f aca="false">PostPro4FW!H474+PostPro4FW!I474</f>
        <v>4739.91531259664</v>
      </c>
      <c r="E468" s="5" t="n">
        <f aca="false">PostPro4FW!S474</f>
        <v>700</v>
      </c>
      <c r="F468" s="5" t="n">
        <f aca="false">PostPro4FW!Q474</f>
        <v>0</v>
      </c>
      <c r="G468" s="0" t="n">
        <f aca="false">PostPro4FW!R474</f>
        <v>0</v>
      </c>
    </row>
    <row r="469" customFormat="false" ht="14.35" hidden="false" customHeight="false" outlineLevel="0" collapsed="false">
      <c r="A469" s="4" t="n">
        <v>22189</v>
      </c>
      <c r="B469" s="5" t="n">
        <f aca="false">PostPro4FW!H475</f>
        <v>1256.44179116815</v>
      </c>
      <c r="C469" s="5" t="n">
        <f aca="false">PostPro4FW!M475</f>
        <v>773.3333333</v>
      </c>
      <c r="D469" s="5" t="n">
        <f aca="false">PostPro4FW!H475+PostPro4FW!I475</f>
        <v>1256.44179116815</v>
      </c>
      <c r="E469" s="5" t="n">
        <f aca="false">PostPro4FW!S475</f>
        <v>773.3333333</v>
      </c>
      <c r="F469" s="5" t="n">
        <f aca="false">PostPro4FW!Q475</f>
        <v>0</v>
      </c>
      <c r="G469" s="0" t="n">
        <f aca="false">PostPro4FW!R475</f>
        <v>0</v>
      </c>
    </row>
    <row r="470" customFormat="false" ht="14.35" hidden="false" customHeight="false" outlineLevel="0" collapsed="false">
      <c r="A470" s="4" t="n">
        <v>22220</v>
      </c>
      <c r="B470" s="5" t="n">
        <f aca="false">PostPro4FW!H476</f>
        <v>1199.99999999998</v>
      </c>
      <c r="C470" s="5" t="n">
        <f aca="false">PostPro4FW!M476</f>
        <v>800</v>
      </c>
      <c r="D470" s="5" t="n">
        <f aca="false">PostPro4FW!H476+PostPro4FW!I476</f>
        <v>1199.99999999998</v>
      </c>
      <c r="E470" s="5" t="n">
        <f aca="false">PostPro4FW!S476</f>
        <v>800</v>
      </c>
      <c r="F470" s="5" t="n">
        <f aca="false">PostPro4FW!Q476</f>
        <v>0</v>
      </c>
      <c r="G470" s="0" t="n">
        <f aca="false">PostPro4FW!R476</f>
        <v>0</v>
      </c>
    </row>
    <row r="471" customFormat="false" ht="14.35" hidden="false" customHeight="false" outlineLevel="0" collapsed="false">
      <c r="A471" s="4" t="n">
        <v>22250</v>
      </c>
      <c r="B471" s="5" t="n">
        <f aca="false">PostPro4FW!H477</f>
        <v>1200</v>
      </c>
      <c r="C471" s="5" t="n">
        <f aca="false">PostPro4FW!M477</f>
        <v>800</v>
      </c>
      <c r="D471" s="5" t="n">
        <f aca="false">PostPro4FW!H477+PostPro4FW!I477</f>
        <v>1200</v>
      </c>
      <c r="E471" s="5" t="n">
        <f aca="false">PostPro4FW!S477</f>
        <v>800</v>
      </c>
      <c r="F471" s="5" t="n">
        <f aca="false">PostPro4FW!Q477</f>
        <v>0</v>
      </c>
      <c r="G471" s="0" t="n">
        <f aca="false">PostPro4FW!R477</f>
        <v>0</v>
      </c>
    </row>
    <row r="472" customFormat="false" ht="14.35" hidden="false" customHeight="false" outlineLevel="0" collapsed="false">
      <c r="A472" s="4" t="n">
        <v>22281</v>
      </c>
      <c r="B472" s="5" t="n">
        <f aca="false">PostPro4FW!H478</f>
        <v>1418.84101814074</v>
      </c>
      <c r="C472" s="5" t="n">
        <f aca="false">PostPro4FW!M478</f>
        <v>800</v>
      </c>
      <c r="D472" s="5" t="n">
        <f aca="false">PostPro4FW!H478+PostPro4FW!I478</f>
        <v>1418.84101814074</v>
      </c>
      <c r="E472" s="5" t="n">
        <f aca="false">PostPro4FW!S478</f>
        <v>800</v>
      </c>
      <c r="F472" s="5" t="n">
        <f aca="false">PostPro4FW!Q478</f>
        <v>0</v>
      </c>
      <c r="G472" s="0" t="n">
        <f aca="false">PostPro4FW!R478</f>
        <v>0</v>
      </c>
    </row>
    <row r="473" customFormat="false" ht="14.35" hidden="false" customHeight="false" outlineLevel="0" collapsed="false">
      <c r="A473" s="4" t="n">
        <v>22312</v>
      </c>
      <c r="B473" s="5" t="n">
        <f aca="false">PostPro4FW!H479</f>
        <v>1200</v>
      </c>
      <c r="C473" s="5" t="n">
        <f aca="false">PostPro4FW!M479</f>
        <v>800</v>
      </c>
      <c r="D473" s="5" t="n">
        <f aca="false">PostPro4FW!H479+PostPro4FW!I479</f>
        <v>1200</v>
      </c>
      <c r="E473" s="5" t="n">
        <f aca="false">PostPro4FW!S479</f>
        <v>800</v>
      </c>
      <c r="F473" s="5" t="n">
        <f aca="false">PostPro4FW!Q479</f>
        <v>0</v>
      </c>
      <c r="G473" s="0" t="n">
        <f aca="false">PostPro4FW!R479</f>
        <v>0</v>
      </c>
    </row>
    <row r="474" customFormat="false" ht="14.35" hidden="false" customHeight="false" outlineLevel="0" collapsed="false">
      <c r="A474" s="4" t="n">
        <v>22340</v>
      </c>
      <c r="B474" s="5" t="n">
        <f aca="false">PostPro4FW!H480</f>
        <v>1200</v>
      </c>
      <c r="C474" s="5" t="n">
        <f aca="false">PostPro4FW!M480</f>
        <v>800</v>
      </c>
      <c r="D474" s="5" t="n">
        <f aca="false">PostPro4FW!H480+PostPro4FW!I480</f>
        <v>1200</v>
      </c>
      <c r="E474" s="5" t="n">
        <f aca="false">PostPro4FW!S480</f>
        <v>1200</v>
      </c>
      <c r="F474" s="5" t="n">
        <f aca="false">PostPro4FW!Q480</f>
        <v>1200</v>
      </c>
      <c r="G474" s="0" t="n">
        <f aca="false">PostPro4FW!R480</f>
        <v>28</v>
      </c>
    </row>
    <row r="475" customFormat="false" ht="14.35" hidden="false" customHeight="false" outlineLevel="0" collapsed="false">
      <c r="A475" s="4" t="n">
        <v>22371</v>
      </c>
      <c r="B475" s="5" t="n">
        <f aca="false">PostPro4FW!H481</f>
        <v>1109.04104051296</v>
      </c>
      <c r="C475" s="5" t="n">
        <f aca="false">PostPro4FW!M481</f>
        <v>800</v>
      </c>
      <c r="D475" s="5" t="n">
        <f aca="false">PostPro4FW!H481+PostPro4FW!I481</f>
        <v>1109.04104051296</v>
      </c>
      <c r="E475" s="5" t="n">
        <f aca="false">PostPro4FW!S481</f>
        <v>1109.04104051296</v>
      </c>
      <c r="F475" s="5" t="n">
        <f aca="false">PostPro4FW!Q481</f>
        <v>1109.04104051296</v>
      </c>
      <c r="G475" s="0" t="n">
        <f aca="false">PostPro4FW!R481</f>
        <v>31</v>
      </c>
    </row>
    <row r="476" customFormat="false" ht="14.35" hidden="false" customHeight="false" outlineLevel="0" collapsed="false">
      <c r="A476" s="4" t="n">
        <v>22401</v>
      </c>
      <c r="B476" s="5" t="n">
        <f aca="false">PostPro4FW!H482</f>
        <v>1247.14713678908</v>
      </c>
      <c r="C476" s="5" t="n">
        <f aca="false">PostPro4FW!M482</f>
        <v>700</v>
      </c>
      <c r="D476" s="5" t="n">
        <f aca="false">PostPro4FW!H482+PostPro4FW!I482</f>
        <v>1667.28602567797</v>
      </c>
      <c r="E476" s="5" t="n">
        <f aca="false">PostPro4FW!S482</f>
        <v>700</v>
      </c>
      <c r="F476" s="5" t="n">
        <f aca="false">PostPro4FW!Q482</f>
        <v>1667.28602567797</v>
      </c>
      <c r="G476" s="0" t="n">
        <f aca="false">PostPro4FW!R482</f>
        <v>0</v>
      </c>
    </row>
    <row r="477" customFormat="false" ht="14.35" hidden="false" customHeight="false" outlineLevel="0" collapsed="false">
      <c r="A477" s="4" t="n">
        <v>22432</v>
      </c>
      <c r="B477" s="5" t="n">
        <f aca="false">PostPro4FW!H483</f>
        <v>1572.05199535114</v>
      </c>
      <c r="C477" s="5" t="n">
        <f aca="false">PostPro4FW!M483</f>
        <v>700</v>
      </c>
      <c r="D477" s="5" t="n">
        <f aca="false">PostPro4FW!H483+PostPro4FW!I483</f>
        <v>1978.63801685651</v>
      </c>
      <c r="E477" s="5" t="n">
        <f aca="false">PostPro4FW!S483</f>
        <v>700</v>
      </c>
      <c r="F477" s="5" t="n">
        <f aca="false">PostPro4FW!Q483</f>
        <v>0</v>
      </c>
      <c r="G477" s="0" t="n">
        <f aca="false">PostPro4FW!R483</f>
        <v>0</v>
      </c>
    </row>
    <row r="478" customFormat="false" ht="14.35" hidden="false" customHeight="false" outlineLevel="0" collapsed="false">
      <c r="A478" s="4" t="n">
        <v>22462</v>
      </c>
      <c r="B478" s="5" t="n">
        <f aca="false">PostPro4FW!H484</f>
        <v>4787.42858264053</v>
      </c>
      <c r="C478" s="5" t="n">
        <f aca="false">PostPro4FW!M484</f>
        <v>700</v>
      </c>
      <c r="D478" s="5" t="n">
        <f aca="false">PostPro4FW!H484+PostPro4FW!I484</f>
        <v>4787.42858264053</v>
      </c>
      <c r="E478" s="5" t="n">
        <f aca="false">PostPro4FW!S484</f>
        <v>700</v>
      </c>
      <c r="F478" s="5" t="n">
        <f aca="false">PostPro4FW!Q484</f>
        <v>0</v>
      </c>
      <c r="G478" s="0" t="n">
        <f aca="false">PostPro4FW!R484</f>
        <v>0</v>
      </c>
    </row>
    <row r="479" customFormat="false" ht="14.35" hidden="false" customHeight="false" outlineLevel="0" collapsed="false">
      <c r="A479" s="4" t="n">
        <v>22493</v>
      </c>
      <c r="B479" s="5" t="n">
        <f aca="false">PostPro4FW!H485</f>
        <v>5204.79212861506</v>
      </c>
      <c r="C479" s="5" t="n">
        <f aca="false">PostPro4FW!M485</f>
        <v>700</v>
      </c>
      <c r="D479" s="5" t="n">
        <f aca="false">PostPro4FW!H485+PostPro4FW!I485</f>
        <v>5204.79212861506</v>
      </c>
      <c r="E479" s="5" t="n">
        <f aca="false">PostPro4FW!S485</f>
        <v>700</v>
      </c>
      <c r="F479" s="5" t="n">
        <f aca="false">PostPro4FW!Q485</f>
        <v>0</v>
      </c>
      <c r="G479" s="0" t="n">
        <f aca="false">PostPro4FW!R485</f>
        <v>0</v>
      </c>
    </row>
    <row r="480" customFormat="false" ht="14.35" hidden="false" customHeight="false" outlineLevel="0" collapsed="false">
      <c r="A480" s="4" t="n">
        <v>22524</v>
      </c>
      <c r="B480" s="5" t="n">
        <f aca="false">PostPro4FW!H486</f>
        <v>2206.16717162607</v>
      </c>
      <c r="C480" s="5" t="n">
        <f aca="false">PostPro4FW!M486</f>
        <v>700</v>
      </c>
      <c r="D480" s="5" t="n">
        <f aca="false">PostPro4FW!H486+PostPro4FW!I486</f>
        <v>2206.16717162607</v>
      </c>
      <c r="E480" s="5" t="n">
        <f aca="false">PostPro4FW!S486</f>
        <v>700</v>
      </c>
      <c r="F480" s="5" t="n">
        <f aca="false">PostPro4FW!Q486</f>
        <v>0</v>
      </c>
      <c r="G480" s="0" t="n">
        <f aca="false">PostPro4FW!R486</f>
        <v>0</v>
      </c>
    </row>
    <row r="481" customFormat="false" ht="14.35" hidden="false" customHeight="false" outlineLevel="0" collapsed="false">
      <c r="A481" s="4" t="n">
        <v>22554</v>
      </c>
      <c r="B481" s="5" t="n">
        <f aca="false">PostPro4FW!H487</f>
        <v>955.252699726267</v>
      </c>
      <c r="C481" s="5" t="n">
        <f aca="false">PostPro4FW!M487</f>
        <v>773.3333333</v>
      </c>
      <c r="D481" s="5" t="n">
        <f aca="false">PostPro4FW!H487+PostPro4FW!I487</f>
        <v>955.252699726267</v>
      </c>
      <c r="E481" s="5" t="n">
        <f aca="false">PostPro4FW!S487</f>
        <v>773.3333333</v>
      </c>
      <c r="F481" s="5" t="n">
        <f aca="false">PostPro4FW!Q487</f>
        <v>0</v>
      </c>
      <c r="G481" s="0" t="n">
        <f aca="false">PostPro4FW!R487</f>
        <v>0</v>
      </c>
    </row>
    <row r="482" customFormat="false" ht="14.35" hidden="false" customHeight="false" outlineLevel="0" collapsed="false">
      <c r="A482" s="4" t="n">
        <v>22585</v>
      </c>
      <c r="B482" s="5" t="n">
        <f aca="false">PostPro4FW!H488</f>
        <v>900</v>
      </c>
      <c r="C482" s="5" t="n">
        <f aca="false">PostPro4FW!M488</f>
        <v>800</v>
      </c>
      <c r="D482" s="5" t="n">
        <f aca="false">PostPro4FW!H488+PostPro4FW!I488</f>
        <v>900</v>
      </c>
      <c r="E482" s="5" t="n">
        <f aca="false">PostPro4FW!S488</f>
        <v>800</v>
      </c>
      <c r="F482" s="5" t="n">
        <f aca="false">PostPro4FW!Q488</f>
        <v>0</v>
      </c>
      <c r="G482" s="0" t="n">
        <f aca="false">PostPro4FW!R488</f>
        <v>0</v>
      </c>
    </row>
    <row r="483" customFormat="false" ht="14.35" hidden="false" customHeight="false" outlineLevel="0" collapsed="false">
      <c r="A483" s="4" t="n">
        <v>22615</v>
      </c>
      <c r="B483" s="5" t="n">
        <f aca="false">PostPro4FW!H489</f>
        <v>900</v>
      </c>
      <c r="C483" s="5" t="n">
        <f aca="false">PostPro4FW!M489</f>
        <v>800</v>
      </c>
      <c r="D483" s="5" t="n">
        <f aca="false">PostPro4FW!H489+PostPro4FW!I489</f>
        <v>900</v>
      </c>
      <c r="E483" s="5" t="n">
        <f aca="false">PostPro4FW!S489</f>
        <v>800</v>
      </c>
      <c r="F483" s="5" t="n">
        <f aca="false">PostPro4FW!Q489</f>
        <v>0</v>
      </c>
      <c r="G483" s="0" t="n">
        <f aca="false">PostPro4FW!R489</f>
        <v>0</v>
      </c>
    </row>
    <row r="484" customFormat="false" ht="14.35" hidden="false" customHeight="false" outlineLevel="0" collapsed="false">
      <c r="A484" s="4" t="n">
        <v>22646</v>
      </c>
      <c r="B484" s="5" t="n">
        <f aca="false">PostPro4FW!H490</f>
        <v>900</v>
      </c>
      <c r="C484" s="5" t="n">
        <f aca="false">PostPro4FW!M490</f>
        <v>800</v>
      </c>
      <c r="D484" s="5" t="n">
        <f aca="false">PostPro4FW!H490+PostPro4FW!I490</f>
        <v>900</v>
      </c>
      <c r="E484" s="5" t="n">
        <f aca="false">PostPro4FW!S490</f>
        <v>800</v>
      </c>
      <c r="F484" s="5" t="n">
        <f aca="false">PostPro4FW!Q490</f>
        <v>0</v>
      </c>
      <c r="G484" s="0" t="n">
        <f aca="false">PostPro4FW!R490</f>
        <v>0</v>
      </c>
    </row>
    <row r="485" customFormat="false" ht="14.35" hidden="false" customHeight="false" outlineLevel="0" collapsed="false">
      <c r="A485" s="4" t="n">
        <v>22677</v>
      </c>
      <c r="B485" s="5" t="n">
        <f aca="false">PostPro4FW!H491</f>
        <v>900</v>
      </c>
      <c r="C485" s="5" t="n">
        <f aca="false">PostPro4FW!M491</f>
        <v>800</v>
      </c>
      <c r="D485" s="5" t="n">
        <f aca="false">PostPro4FW!H491+PostPro4FW!I491</f>
        <v>900</v>
      </c>
      <c r="E485" s="5" t="n">
        <f aca="false">PostPro4FW!S491</f>
        <v>800</v>
      </c>
      <c r="F485" s="5" t="n">
        <f aca="false">PostPro4FW!Q491</f>
        <v>0</v>
      </c>
      <c r="G485" s="0" t="n">
        <f aca="false">PostPro4FW!R491</f>
        <v>0</v>
      </c>
    </row>
    <row r="486" customFormat="false" ht="14.35" hidden="false" customHeight="false" outlineLevel="0" collapsed="false">
      <c r="A486" s="4" t="n">
        <v>22705</v>
      </c>
      <c r="B486" s="5" t="n">
        <f aca="false">PostPro4FW!H492</f>
        <v>900</v>
      </c>
      <c r="C486" s="5" t="n">
        <f aca="false">PostPro4FW!M492</f>
        <v>800</v>
      </c>
      <c r="D486" s="5" t="n">
        <f aca="false">PostPro4FW!H492+PostPro4FW!I492</f>
        <v>900</v>
      </c>
      <c r="E486" s="5" t="n">
        <f aca="false">PostPro4FW!S492</f>
        <v>900</v>
      </c>
      <c r="F486" s="5" t="n">
        <f aca="false">PostPro4FW!Q492</f>
        <v>900</v>
      </c>
      <c r="G486" s="0" t="n">
        <f aca="false">PostPro4FW!R492</f>
        <v>28</v>
      </c>
    </row>
    <row r="487" customFormat="false" ht="14.35" hidden="false" customHeight="false" outlineLevel="0" collapsed="false">
      <c r="A487" s="4" t="n">
        <v>22736</v>
      </c>
      <c r="B487" s="5" t="n">
        <f aca="false">PostPro4FW!H493</f>
        <v>800</v>
      </c>
      <c r="C487" s="5" t="n">
        <f aca="false">PostPro4FW!M493</f>
        <v>800</v>
      </c>
      <c r="D487" s="5" t="n">
        <f aca="false">PostPro4FW!H493+PostPro4FW!I493</f>
        <v>800</v>
      </c>
      <c r="E487" s="5" t="n">
        <f aca="false">PostPro4FW!S493</f>
        <v>800</v>
      </c>
      <c r="F487" s="5" t="n">
        <f aca="false">PostPro4FW!Q493</f>
        <v>0</v>
      </c>
      <c r="G487" s="0" t="n">
        <f aca="false">PostPro4FW!R493</f>
        <v>0</v>
      </c>
    </row>
    <row r="488" customFormat="false" ht="14.35" hidden="false" customHeight="false" outlineLevel="0" collapsed="false">
      <c r="A488" s="4" t="n">
        <v>22766</v>
      </c>
      <c r="B488" s="5" t="n">
        <f aca="false">PostPro4FW!H494</f>
        <v>772.844705422227</v>
      </c>
      <c r="C488" s="5" t="n">
        <f aca="false">PostPro4FW!M494</f>
        <v>700</v>
      </c>
      <c r="D488" s="5" t="n">
        <f aca="false">PostPro4FW!H494+PostPro4FW!I494</f>
        <v>1192.98359431112</v>
      </c>
      <c r="E488" s="5" t="n">
        <f aca="false">PostPro4FW!S494</f>
        <v>1192.98359431112</v>
      </c>
      <c r="F488" s="5" t="n">
        <f aca="false">PostPro4FW!Q494</f>
        <v>1192.98359431112</v>
      </c>
      <c r="G488" s="0" t="n">
        <f aca="false">PostPro4FW!R494</f>
        <v>30</v>
      </c>
    </row>
    <row r="489" customFormat="false" ht="14.35" hidden="false" customHeight="false" outlineLevel="0" collapsed="false">
      <c r="A489" s="4" t="n">
        <v>22797</v>
      </c>
      <c r="B489" s="5" t="n">
        <f aca="false">PostPro4FW!H495</f>
        <v>750.000000000038</v>
      </c>
      <c r="C489" s="5" t="n">
        <f aca="false">PostPro4FW!M495</f>
        <v>700</v>
      </c>
      <c r="D489" s="5" t="n">
        <f aca="false">PostPro4FW!H495+PostPro4FW!I495</f>
        <v>1156.58602150541</v>
      </c>
      <c r="E489" s="5" t="n">
        <f aca="false">PostPro4FW!S495</f>
        <v>817.828650711075</v>
      </c>
      <c r="F489" s="5" t="n">
        <f aca="false">PostPro4FW!Q495</f>
        <v>1156.58602150541</v>
      </c>
      <c r="G489" s="0" t="n">
        <f aca="false">PostPro4FW!R495</f>
        <v>8</v>
      </c>
    </row>
    <row r="490" customFormat="false" ht="14.35" hidden="false" customHeight="false" outlineLevel="0" collapsed="false">
      <c r="A490" s="4" t="n">
        <v>22827</v>
      </c>
      <c r="B490" s="5" t="n">
        <f aca="false">PostPro4FW!H496</f>
        <v>4479.01353056792</v>
      </c>
      <c r="C490" s="5" t="n">
        <f aca="false">PostPro4FW!M496</f>
        <v>700</v>
      </c>
      <c r="D490" s="5" t="n">
        <f aca="false">PostPro4FW!H496+PostPro4FW!I496</f>
        <v>4479.01353056792</v>
      </c>
      <c r="E490" s="5" t="n">
        <f aca="false">PostPro4FW!S496</f>
        <v>700</v>
      </c>
      <c r="F490" s="5" t="n">
        <f aca="false">PostPro4FW!Q496</f>
        <v>0</v>
      </c>
      <c r="G490" s="0" t="n">
        <f aca="false">PostPro4FW!R496</f>
        <v>0</v>
      </c>
    </row>
    <row r="491" customFormat="false" ht="14.35" hidden="false" customHeight="false" outlineLevel="0" collapsed="false">
      <c r="A491" s="4" t="n">
        <v>22858</v>
      </c>
      <c r="B491" s="5" t="n">
        <f aca="false">PostPro4FW!H497</f>
        <v>9531.01576857329</v>
      </c>
      <c r="C491" s="5" t="n">
        <f aca="false">PostPro4FW!M497</f>
        <v>700</v>
      </c>
      <c r="D491" s="5" t="n">
        <f aca="false">PostPro4FW!H497+PostPro4FW!I497</f>
        <v>9531.01576857329</v>
      </c>
      <c r="E491" s="5" t="n">
        <f aca="false">PostPro4FW!S497</f>
        <v>700</v>
      </c>
      <c r="F491" s="5" t="n">
        <f aca="false">PostPro4FW!Q497</f>
        <v>0</v>
      </c>
      <c r="G491" s="0" t="n">
        <f aca="false">PostPro4FW!R497</f>
        <v>0</v>
      </c>
    </row>
    <row r="492" customFormat="false" ht="14.35" hidden="false" customHeight="false" outlineLevel="0" collapsed="false">
      <c r="A492" s="4" t="n">
        <v>22889</v>
      </c>
      <c r="B492" s="5" t="n">
        <f aca="false">PostPro4FW!H498</f>
        <v>7688.19837681154</v>
      </c>
      <c r="C492" s="5" t="n">
        <f aca="false">PostPro4FW!M498</f>
        <v>700</v>
      </c>
      <c r="D492" s="5" t="n">
        <f aca="false">PostPro4FW!H498+PostPro4FW!I498</f>
        <v>7688.19837681154</v>
      </c>
      <c r="E492" s="5" t="n">
        <f aca="false">PostPro4FW!S498</f>
        <v>700</v>
      </c>
      <c r="F492" s="5" t="n">
        <f aca="false">PostPro4FW!Q498</f>
        <v>0</v>
      </c>
      <c r="G492" s="0" t="n">
        <f aca="false">PostPro4FW!R498</f>
        <v>0</v>
      </c>
    </row>
    <row r="493" customFormat="false" ht="14.35" hidden="false" customHeight="false" outlineLevel="0" collapsed="false">
      <c r="A493" s="4" t="n">
        <v>22919</v>
      </c>
      <c r="B493" s="5" t="n">
        <f aca="false">PostPro4FW!H499</f>
        <v>1177.28929209825</v>
      </c>
      <c r="C493" s="5" t="n">
        <f aca="false">PostPro4FW!M499</f>
        <v>773.3333333</v>
      </c>
      <c r="D493" s="5" t="n">
        <f aca="false">PostPro4FW!H499+PostPro4FW!I499</f>
        <v>1177.28929209825</v>
      </c>
      <c r="E493" s="5" t="n">
        <f aca="false">PostPro4FW!S499</f>
        <v>773.3333333</v>
      </c>
      <c r="F493" s="5" t="n">
        <f aca="false">PostPro4FW!Q499</f>
        <v>0</v>
      </c>
      <c r="G493" s="0" t="n">
        <f aca="false">PostPro4FW!R499</f>
        <v>0</v>
      </c>
    </row>
    <row r="494" customFormat="false" ht="14.35" hidden="false" customHeight="false" outlineLevel="0" collapsed="false">
      <c r="A494" s="4" t="n">
        <v>22950</v>
      </c>
      <c r="B494" s="5" t="n">
        <f aca="false">PostPro4FW!H500</f>
        <v>1200</v>
      </c>
      <c r="C494" s="5" t="n">
        <f aca="false">PostPro4FW!M500</f>
        <v>800</v>
      </c>
      <c r="D494" s="5" t="n">
        <f aca="false">PostPro4FW!H500+PostPro4FW!I500</f>
        <v>1200</v>
      </c>
      <c r="E494" s="5" t="n">
        <f aca="false">PostPro4FW!S500</f>
        <v>800</v>
      </c>
      <c r="F494" s="5" t="n">
        <f aca="false">PostPro4FW!Q500</f>
        <v>0</v>
      </c>
      <c r="G494" s="0" t="n">
        <f aca="false">PostPro4FW!R500</f>
        <v>0</v>
      </c>
    </row>
    <row r="495" customFormat="false" ht="14.35" hidden="false" customHeight="false" outlineLevel="0" collapsed="false">
      <c r="A495" s="4" t="n">
        <v>22980</v>
      </c>
      <c r="B495" s="5" t="n">
        <f aca="false">PostPro4FW!H501</f>
        <v>1200</v>
      </c>
      <c r="C495" s="5" t="n">
        <f aca="false">PostPro4FW!M501</f>
        <v>800</v>
      </c>
      <c r="D495" s="5" t="n">
        <f aca="false">PostPro4FW!H501+PostPro4FW!I501</f>
        <v>1200</v>
      </c>
      <c r="E495" s="5" t="n">
        <f aca="false">PostPro4FW!S501</f>
        <v>800</v>
      </c>
      <c r="F495" s="5" t="n">
        <f aca="false">PostPro4FW!Q501</f>
        <v>0</v>
      </c>
      <c r="G495" s="0" t="n">
        <f aca="false">PostPro4FW!R501</f>
        <v>0</v>
      </c>
    </row>
    <row r="496" customFormat="false" ht="14.35" hidden="false" customHeight="false" outlineLevel="0" collapsed="false">
      <c r="A496" s="4" t="n">
        <v>23011</v>
      </c>
      <c r="B496" s="5" t="n">
        <f aca="false">PostPro4FW!H502</f>
        <v>1200</v>
      </c>
      <c r="C496" s="5" t="n">
        <f aca="false">PostPro4FW!M502</f>
        <v>800</v>
      </c>
      <c r="D496" s="5" t="n">
        <f aca="false">PostPro4FW!H502+PostPro4FW!I502</f>
        <v>1200</v>
      </c>
      <c r="E496" s="5" t="n">
        <f aca="false">PostPro4FW!S502</f>
        <v>800</v>
      </c>
      <c r="F496" s="5" t="n">
        <f aca="false">PostPro4FW!Q502</f>
        <v>0</v>
      </c>
      <c r="G496" s="0" t="n">
        <f aca="false">PostPro4FW!R502</f>
        <v>0</v>
      </c>
    </row>
    <row r="497" customFormat="false" ht="14.35" hidden="false" customHeight="false" outlineLevel="0" collapsed="false">
      <c r="A497" s="4" t="n">
        <v>23042</v>
      </c>
      <c r="B497" s="5" t="n">
        <f aca="false">PostPro4FW!H503</f>
        <v>2935.10916335584</v>
      </c>
      <c r="C497" s="5" t="n">
        <f aca="false">PostPro4FW!M503</f>
        <v>800</v>
      </c>
      <c r="D497" s="5" t="n">
        <f aca="false">PostPro4FW!H503+PostPro4FW!I503</f>
        <v>2935.10916335584</v>
      </c>
      <c r="E497" s="5" t="n">
        <f aca="false">PostPro4FW!S503</f>
        <v>800</v>
      </c>
      <c r="F497" s="5" t="n">
        <f aca="false">PostPro4FW!Q503</f>
        <v>0</v>
      </c>
      <c r="G497" s="0" t="n">
        <f aca="false">PostPro4FW!R503</f>
        <v>0</v>
      </c>
    </row>
    <row r="498" customFormat="false" ht="14.35" hidden="false" customHeight="false" outlineLevel="0" collapsed="false">
      <c r="A498" s="4" t="n">
        <v>23070</v>
      </c>
      <c r="B498" s="5" t="n">
        <f aca="false">PostPro4FW!H504</f>
        <v>8991.51172719385</v>
      </c>
      <c r="C498" s="5" t="n">
        <f aca="false">PostPro4FW!M504</f>
        <v>800</v>
      </c>
      <c r="D498" s="5" t="n">
        <f aca="false">PostPro4FW!H504+PostPro4FW!I504</f>
        <v>8991.51172719385</v>
      </c>
      <c r="E498" s="5" t="n">
        <f aca="false">PostPro4FW!S504</f>
        <v>800</v>
      </c>
      <c r="F498" s="5" t="n">
        <f aca="false">PostPro4FW!Q504</f>
        <v>0</v>
      </c>
      <c r="G498" s="0" t="n">
        <f aca="false">PostPro4FW!R504</f>
        <v>0</v>
      </c>
    </row>
    <row r="499" customFormat="false" ht="14.35" hidden="false" customHeight="false" outlineLevel="0" collapsed="false">
      <c r="A499" s="4" t="n">
        <v>23101</v>
      </c>
      <c r="B499" s="5" t="n">
        <f aca="false">PostPro4FW!H505</f>
        <v>8289.09126783059</v>
      </c>
      <c r="C499" s="5" t="n">
        <f aca="false">PostPro4FW!M505</f>
        <v>800</v>
      </c>
      <c r="D499" s="5" t="n">
        <f aca="false">PostPro4FW!H505+PostPro4FW!I505</f>
        <v>8289.09126783059</v>
      </c>
      <c r="E499" s="5" t="n">
        <f aca="false">PostPro4FW!S505</f>
        <v>800</v>
      </c>
      <c r="F499" s="5" t="n">
        <f aca="false">PostPro4FW!Q505</f>
        <v>0</v>
      </c>
      <c r="G499" s="0" t="n">
        <f aca="false">PostPro4FW!R505</f>
        <v>0</v>
      </c>
    </row>
    <row r="500" customFormat="false" ht="14.35" hidden="false" customHeight="false" outlineLevel="0" collapsed="false">
      <c r="A500" s="4" t="n">
        <v>23131</v>
      </c>
      <c r="B500" s="5" t="n">
        <f aca="false">PostPro4FW!H506</f>
        <v>13103.8369171843</v>
      </c>
      <c r="C500" s="5" t="n">
        <f aca="false">PostPro4FW!M506</f>
        <v>700</v>
      </c>
      <c r="D500" s="5" t="n">
        <f aca="false">PostPro4FW!H506+PostPro4FW!I506</f>
        <v>13103.8369171843</v>
      </c>
      <c r="E500" s="5" t="n">
        <f aca="false">PostPro4FW!S506</f>
        <v>700</v>
      </c>
      <c r="F500" s="5" t="n">
        <f aca="false">PostPro4FW!Q506</f>
        <v>0</v>
      </c>
      <c r="G500" s="0" t="n">
        <f aca="false">PostPro4FW!R506</f>
        <v>0</v>
      </c>
    </row>
    <row r="501" customFormat="false" ht="14.35" hidden="false" customHeight="false" outlineLevel="0" collapsed="false">
      <c r="A501" s="4" t="n">
        <v>23162</v>
      </c>
      <c r="B501" s="5" t="n">
        <f aca="false">PostPro4FW!H507</f>
        <v>3138.99201203576</v>
      </c>
      <c r="C501" s="5" t="n">
        <f aca="false">PostPro4FW!M507</f>
        <v>700</v>
      </c>
      <c r="D501" s="5" t="n">
        <f aca="false">PostPro4FW!H507+PostPro4FW!I507</f>
        <v>3138.99201203576</v>
      </c>
      <c r="E501" s="5" t="n">
        <f aca="false">PostPro4FW!S507</f>
        <v>700</v>
      </c>
      <c r="F501" s="5" t="n">
        <f aca="false">PostPro4FW!Q507</f>
        <v>0</v>
      </c>
      <c r="G501" s="0" t="n">
        <f aca="false">PostPro4FW!R507</f>
        <v>0</v>
      </c>
    </row>
    <row r="502" customFormat="false" ht="14.35" hidden="false" customHeight="false" outlineLevel="0" collapsed="false">
      <c r="A502" s="4" t="n">
        <v>23192</v>
      </c>
      <c r="B502" s="5" t="n">
        <f aca="false">PostPro4FW!H508</f>
        <v>1997.62603631359</v>
      </c>
      <c r="C502" s="5" t="n">
        <f aca="false">PostPro4FW!M508</f>
        <v>700</v>
      </c>
      <c r="D502" s="5" t="n">
        <f aca="false">PostPro4FW!H508+PostPro4FW!I508</f>
        <v>1997.62603631359</v>
      </c>
      <c r="E502" s="5" t="n">
        <f aca="false">PostPro4FW!S508</f>
        <v>700</v>
      </c>
      <c r="F502" s="5" t="n">
        <f aca="false">PostPro4FW!Q508</f>
        <v>0</v>
      </c>
      <c r="G502" s="0" t="n">
        <f aca="false">PostPro4FW!R508</f>
        <v>0</v>
      </c>
    </row>
    <row r="503" customFormat="false" ht="14.35" hidden="false" customHeight="false" outlineLevel="0" collapsed="false">
      <c r="A503" s="4" t="n">
        <v>23223</v>
      </c>
      <c r="B503" s="5" t="n">
        <f aca="false">PostPro4FW!H509</f>
        <v>9352.89457269833</v>
      </c>
      <c r="C503" s="5" t="n">
        <f aca="false">PostPro4FW!M509</f>
        <v>700</v>
      </c>
      <c r="D503" s="5" t="n">
        <f aca="false">PostPro4FW!H509+PostPro4FW!I509</f>
        <v>9352.89457269833</v>
      </c>
      <c r="E503" s="5" t="n">
        <f aca="false">PostPro4FW!S509</f>
        <v>700</v>
      </c>
      <c r="F503" s="5" t="n">
        <f aca="false">PostPro4FW!Q509</f>
        <v>0</v>
      </c>
      <c r="G503" s="0" t="n">
        <f aca="false">PostPro4FW!R509</f>
        <v>0</v>
      </c>
    </row>
    <row r="504" customFormat="false" ht="14.35" hidden="false" customHeight="false" outlineLevel="0" collapsed="false">
      <c r="A504" s="4" t="n">
        <v>23254</v>
      </c>
      <c r="B504" s="5" t="n">
        <f aca="false">PostPro4FW!H510</f>
        <v>7675.84786190233</v>
      </c>
      <c r="C504" s="5" t="n">
        <f aca="false">PostPro4FW!M510</f>
        <v>700</v>
      </c>
      <c r="D504" s="5" t="n">
        <f aca="false">PostPro4FW!H510+PostPro4FW!I510</f>
        <v>7675.84786190233</v>
      </c>
      <c r="E504" s="5" t="n">
        <f aca="false">PostPro4FW!S510</f>
        <v>700</v>
      </c>
      <c r="F504" s="5" t="n">
        <f aca="false">PostPro4FW!Q510</f>
        <v>0</v>
      </c>
      <c r="G504" s="0" t="n">
        <f aca="false">PostPro4FW!R510</f>
        <v>0</v>
      </c>
    </row>
    <row r="505" customFormat="false" ht="14.35" hidden="false" customHeight="false" outlineLevel="0" collapsed="false">
      <c r="A505" s="4" t="n">
        <v>23284</v>
      </c>
      <c r="B505" s="5" t="n">
        <f aca="false">PostPro4FW!H511</f>
        <v>9380.91972728214</v>
      </c>
      <c r="C505" s="5" t="n">
        <f aca="false">PostPro4FW!M511</f>
        <v>773.3333333</v>
      </c>
      <c r="D505" s="5" t="n">
        <f aca="false">PostPro4FW!H511+PostPro4FW!I511</f>
        <v>9380.91972728214</v>
      </c>
      <c r="E505" s="5" t="n">
        <f aca="false">PostPro4FW!S511</f>
        <v>773.3333333</v>
      </c>
      <c r="F505" s="5" t="n">
        <f aca="false">PostPro4FW!Q511</f>
        <v>0</v>
      </c>
      <c r="G505" s="0" t="n">
        <f aca="false">PostPro4FW!R511</f>
        <v>0</v>
      </c>
    </row>
    <row r="506" customFormat="false" ht="14.35" hidden="false" customHeight="false" outlineLevel="0" collapsed="false">
      <c r="A506" s="4" t="n">
        <v>23315</v>
      </c>
      <c r="B506" s="5" t="n">
        <f aca="false">PostPro4FW!H512</f>
        <v>3829.41768679025</v>
      </c>
      <c r="C506" s="5" t="n">
        <f aca="false">PostPro4FW!M512</f>
        <v>800</v>
      </c>
      <c r="D506" s="5" t="n">
        <f aca="false">PostPro4FW!H512+PostPro4FW!I512</f>
        <v>3829.41768679025</v>
      </c>
      <c r="E506" s="5" t="n">
        <f aca="false">PostPro4FW!S512</f>
        <v>800</v>
      </c>
      <c r="F506" s="5" t="n">
        <f aca="false">PostPro4FW!Q512</f>
        <v>0</v>
      </c>
      <c r="G506" s="0" t="n">
        <f aca="false">PostPro4FW!R512</f>
        <v>0</v>
      </c>
    </row>
    <row r="507" customFormat="false" ht="14.35" hidden="false" customHeight="false" outlineLevel="0" collapsed="false">
      <c r="A507" s="4" t="n">
        <v>23345</v>
      </c>
      <c r="B507" s="5" t="n">
        <f aca="false">PostPro4FW!H513</f>
        <v>1893.36511230471</v>
      </c>
      <c r="C507" s="5" t="n">
        <f aca="false">PostPro4FW!M513</f>
        <v>800</v>
      </c>
      <c r="D507" s="5" t="n">
        <f aca="false">PostPro4FW!H513+PostPro4FW!I513</f>
        <v>1893.36511230471</v>
      </c>
      <c r="E507" s="5" t="n">
        <f aca="false">PostPro4FW!S513</f>
        <v>800</v>
      </c>
      <c r="F507" s="5" t="n">
        <f aca="false">PostPro4FW!Q513</f>
        <v>0</v>
      </c>
      <c r="G507" s="0" t="n">
        <f aca="false">PostPro4FW!R513</f>
        <v>0</v>
      </c>
    </row>
    <row r="508" customFormat="false" ht="14.35" hidden="false" customHeight="false" outlineLevel="0" collapsed="false">
      <c r="A508" s="4" t="n">
        <v>23376</v>
      </c>
      <c r="B508" s="5" t="n">
        <f aca="false">PostPro4FW!H514</f>
        <v>1700</v>
      </c>
      <c r="C508" s="5" t="n">
        <f aca="false">PostPro4FW!M514</f>
        <v>800</v>
      </c>
      <c r="D508" s="5" t="n">
        <f aca="false">PostPro4FW!H514+PostPro4FW!I514</f>
        <v>1700</v>
      </c>
      <c r="E508" s="5" t="n">
        <f aca="false">PostPro4FW!S514</f>
        <v>800</v>
      </c>
      <c r="F508" s="5" t="n">
        <f aca="false">PostPro4FW!Q514</f>
        <v>0</v>
      </c>
      <c r="G508" s="0" t="n">
        <f aca="false">PostPro4FW!R514</f>
        <v>0</v>
      </c>
    </row>
    <row r="509" customFormat="false" ht="14.35" hidden="false" customHeight="false" outlineLevel="0" collapsed="false">
      <c r="A509" s="4" t="n">
        <v>23407</v>
      </c>
      <c r="B509" s="5" t="n">
        <f aca="false">PostPro4FW!H515</f>
        <v>1700</v>
      </c>
      <c r="C509" s="5" t="n">
        <f aca="false">PostPro4FW!M515</f>
        <v>800</v>
      </c>
      <c r="D509" s="5" t="n">
        <f aca="false">PostPro4FW!H515+PostPro4FW!I515</f>
        <v>1700</v>
      </c>
      <c r="E509" s="5" t="n">
        <f aca="false">PostPro4FW!S515</f>
        <v>800</v>
      </c>
      <c r="F509" s="5" t="n">
        <f aca="false">PostPro4FW!Q515</f>
        <v>0</v>
      </c>
      <c r="G509" s="0" t="n">
        <f aca="false">PostPro4FW!R515</f>
        <v>0</v>
      </c>
    </row>
    <row r="510" customFormat="false" ht="14.35" hidden="false" customHeight="false" outlineLevel="0" collapsed="false">
      <c r="A510" s="4" t="n">
        <v>23436</v>
      </c>
      <c r="B510" s="5" t="n">
        <f aca="false">PostPro4FW!H516</f>
        <v>1700</v>
      </c>
      <c r="C510" s="5" t="n">
        <f aca="false">PostPro4FW!M516</f>
        <v>800</v>
      </c>
      <c r="D510" s="5" t="n">
        <f aca="false">PostPro4FW!H516+PostPro4FW!I516</f>
        <v>1700</v>
      </c>
      <c r="E510" s="5" t="n">
        <f aca="false">PostPro4FW!S516</f>
        <v>1544.8275862069</v>
      </c>
      <c r="F510" s="5" t="n">
        <f aca="false">PostPro4FW!Q516</f>
        <v>1700</v>
      </c>
      <c r="G510" s="0" t="n">
        <f aca="false">PostPro4FW!R516</f>
        <v>24</v>
      </c>
    </row>
    <row r="511" customFormat="false" ht="14.35" hidden="false" customHeight="false" outlineLevel="0" collapsed="false">
      <c r="A511" s="4" t="n">
        <v>23467</v>
      </c>
      <c r="B511" s="5" t="n">
        <f aca="false">PostPro4FW!H517</f>
        <v>1700</v>
      </c>
      <c r="C511" s="5" t="n">
        <f aca="false">PostPro4FW!M517</f>
        <v>800</v>
      </c>
      <c r="D511" s="5" t="n">
        <f aca="false">PostPro4FW!H517+PostPro4FW!I517</f>
        <v>1700</v>
      </c>
      <c r="E511" s="5" t="n">
        <f aca="false">PostPro4FW!S517</f>
        <v>800</v>
      </c>
      <c r="F511" s="5" t="n">
        <f aca="false">PostPro4FW!Q517</f>
        <v>0</v>
      </c>
      <c r="G511" s="0" t="n">
        <f aca="false">PostPro4FW!R517</f>
        <v>0</v>
      </c>
    </row>
    <row r="512" customFormat="false" ht="14.35" hidden="false" customHeight="false" outlineLevel="0" collapsed="false">
      <c r="A512" s="4" t="n">
        <v>23497</v>
      </c>
      <c r="B512" s="5" t="n">
        <f aca="false">PostPro4FW!H518</f>
        <v>1199.99359309529</v>
      </c>
      <c r="C512" s="5" t="n">
        <f aca="false">PostPro4FW!M518</f>
        <v>700</v>
      </c>
      <c r="D512" s="5" t="n">
        <f aca="false">PostPro4FW!H518+PostPro4FW!I518</f>
        <v>1620.13248198418</v>
      </c>
      <c r="E512" s="5" t="n">
        <f aca="false">PostPro4FW!S518</f>
        <v>700</v>
      </c>
      <c r="F512" s="5" t="n">
        <f aca="false">PostPro4FW!Q518</f>
        <v>0</v>
      </c>
      <c r="G512" s="0" t="n">
        <f aca="false">PostPro4FW!R518</f>
        <v>0</v>
      </c>
    </row>
    <row r="513" customFormat="false" ht="14.35" hidden="false" customHeight="false" outlineLevel="0" collapsed="false">
      <c r="A513" s="4" t="n">
        <v>23528</v>
      </c>
      <c r="B513" s="5" t="n">
        <f aca="false">PostPro4FW!H519</f>
        <v>1202.88487912524</v>
      </c>
      <c r="C513" s="5" t="n">
        <f aca="false">PostPro4FW!M519</f>
        <v>700</v>
      </c>
      <c r="D513" s="5" t="n">
        <f aca="false">PostPro4FW!H519+PostPro4FW!I519</f>
        <v>1609.47090063061</v>
      </c>
      <c r="E513" s="5" t="n">
        <f aca="false">PostPro4FW!S519</f>
        <v>700</v>
      </c>
      <c r="F513" s="5" t="n">
        <f aca="false">PostPro4FW!Q519</f>
        <v>0</v>
      </c>
      <c r="G513" s="0" t="n">
        <f aca="false">PostPro4FW!R519</f>
        <v>0</v>
      </c>
    </row>
    <row r="514" customFormat="false" ht="14.35" hidden="false" customHeight="false" outlineLevel="0" collapsed="false">
      <c r="A514" s="4" t="n">
        <v>23558</v>
      </c>
      <c r="B514" s="5" t="n">
        <f aca="false">PostPro4FW!H520</f>
        <v>3945.13367574875</v>
      </c>
      <c r="C514" s="5" t="n">
        <f aca="false">PostPro4FW!M520</f>
        <v>700</v>
      </c>
      <c r="D514" s="5" t="n">
        <f aca="false">PostPro4FW!H520+PostPro4FW!I520</f>
        <v>3945.13367574875</v>
      </c>
      <c r="E514" s="5" t="n">
        <f aca="false">PostPro4FW!S520</f>
        <v>700</v>
      </c>
      <c r="F514" s="5" t="n">
        <f aca="false">PostPro4FW!Q520</f>
        <v>0</v>
      </c>
      <c r="G514" s="0" t="n">
        <f aca="false">PostPro4FW!R520</f>
        <v>0</v>
      </c>
    </row>
    <row r="515" customFormat="false" ht="14.35" hidden="false" customHeight="false" outlineLevel="0" collapsed="false">
      <c r="A515" s="4" t="n">
        <v>23589</v>
      </c>
      <c r="B515" s="5" t="n">
        <f aca="false">PostPro4FW!H521</f>
        <v>9478.65157315759</v>
      </c>
      <c r="C515" s="5" t="n">
        <f aca="false">PostPro4FW!M521</f>
        <v>700</v>
      </c>
      <c r="D515" s="5" t="n">
        <f aca="false">PostPro4FW!H521+PostPro4FW!I521</f>
        <v>9478.65157315759</v>
      </c>
      <c r="E515" s="5" t="n">
        <f aca="false">PostPro4FW!S521</f>
        <v>700</v>
      </c>
      <c r="F515" s="5" t="n">
        <f aca="false">PostPro4FW!Q521</f>
        <v>0</v>
      </c>
      <c r="G515" s="0" t="n">
        <f aca="false">PostPro4FW!R521</f>
        <v>0</v>
      </c>
    </row>
    <row r="516" customFormat="false" ht="14.35" hidden="false" customHeight="false" outlineLevel="0" collapsed="false">
      <c r="A516" s="4" t="n">
        <v>23620</v>
      </c>
      <c r="B516" s="5" t="n">
        <f aca="false">PostPro4FW!H522</f>
        <v>1563.02267234652</v>
      </c>
      <c r="C516" s="5" t="n">
        <f aca="false">PostPro4FW!M522</f>
        <v>700</v>
      </c>
      <c r="D516" s="5" t="n">
        <f aca="false">PostPro4FW!H522+PostPro4FW!I522</f>
        <v>1563.02267234652</v>
      </c>
      <c r="E516" s="5" t="n">
        <f aca="false">PostPro4FW!S522</f>
        <v>700</v>
      </c>
      <c r="F516" s="5" t="n">
        <f aca="false">PostPro4FW!Q522</f>
        <v>0</v>
      </c>
      <c r="G516" s="0" t="n">
        <f aca="false">PostPro4FW!R522</f>
        <v>0</v>
      </c>
    </row>
    <row r="517" customFormat="false" ht="14.35" hidden="false" customHeight="false" outlineLevel="0" collapsed="false">
      <c r="A517" s="4" t="n">
        <v>23650</v>
      </c>
      <c r="B517" s="5" t="n">
        <f aca="false">PostPro4FW!H523</f>
        <v>1000</v>
      </c>
      <c r="C517" s="5" t="n">
        <f aca="false">PostPro4FW!M523</f>
        <v>773.3333333</v>
      </c>
      <c r="D517" s="5" t="n">
        <f aca="false">PostPro4FW!H523+PostPro4FW!I523</f>
        <v>1000</v>
      </c>
      <c r="E517" s="5" t="n">
        <f aca="false">PostPro4FW!S523</f>
        <v>773.3333333</v>
      </c>
      <c r="F517" s="5" t="n">
        <f aca="false">PostPro4FW!Q523</f>
        <v>0</v>
      </c>
      <c r="G517" s="0" t="n">
        <f aca="false">PostPro4FW!R523</f>
        <v>0</v>
      </c>
    </row>
    <row r="518" customFormat="false" ht="14.35" hidden="false" customHeight="false" outlineLevel="0" collapsed="false">
      <c r="A518" s="4" t="n">
        <v>23681</v>
      </c>
      <c r="B518" s="5" t="n">
        <f aca="false">PostPro4FW!H524</f>
        <v>1700</v>
      </c>
      <c r="C518" s="5" t="n">
        <f aca="false">PostPro4FW!M524</f>
        <v>800</v>
      </c>
      <c r="D518" s="5" t="n">
        <f aca="false">PostPro4FW!H524+PostPro4FW!I524</f>
        <v>1700</v>
      </c>
      <c r="E518" s="5" t="n">
        <f aca="false">PostPro4FW!S524</f>
        <v>800</v>
      </c>
      <c r="F518" s="5" t="n">
        <f aca="false">PostPro4FW!Q524</f>
        <v>0</v>
      </c>
      <c r="G518" s="0" t="n">
        <f aca="false">PostPro4FW!R524</f>
        <v>0</v>
      </c>
    </row>
    <row r="519" customFormat="false" ht="14.35" hidden="false" customHeight="false" outlineLevel="0" collapsed="false">
      <c r="A519" s="4" t="n">
        <v>23711</v>
      </c>
      <c r="B519" s="5" t="n">
        <f aca="false">PostPro4FW!H525</f>
        <v>1700</v>
      </c>
      <c r="C519" s="5" t="n">
        <f aca="false">PostPro4FW!M525</f>
        <v>800</v>
      </c>
      <c r="D519" s="5" t="n">
        <f aca="false">PostPro4FW!H525+PostPro4FW!I525</f>
        <v>1700</v>
      </c>
      <c r="E519" s="5" t="n">
        <f aca="false">PostPro4FW!S525</f>
        <v>800</v>
      </c>
      <c r="F519" s="5" t="n">
        <f aca="false">PostPro4FW!Q525</f>
        <v>0</v>
      </c>
      <c r="G519" s="0" t="n">
        <f aca="false">PostPro4FW!R525</f>
        <v>0</v>
      </c>
    </row>
    <row r="520" customFormat="false" ht="14.35" hidden="false" customHeight="false" outlineLevel="0" collapsed="false">
      <c r="A520" s="4" t="n">
        <v>23742</v>
      </c>
      <c r="B520" s="5" t="n">
        <f aca="false">PostPro4FW!H526</f>
        <v>1700</v>
      </c>
      <c r="C520" s="5" t="n">
        <f aca="false">PostPro4FW!M526</f>
        <v>800</v>
      </c>
      <c r="D520" s="5" t="n">
        <f aca="false">PostPro4FW!H526+PostPro4FW!I526</f>
        <v>1700</v>
      </c>
      <c r="E520" s="5" t="n">
        <f aca="false">PostPro4FW!S526</f>
        <v>800</v>
      </c>
      <c r="F520" s="5" t="n">
        <f aca="false">PostPro4FW!Q526</f>
        <v>0</v>
      </c>
      <c r="G520" s="0" t="n">
        <f aca="false">PostPro4FW!R526</f>
        <v>0</v>
      </c>
    </row>
    <row r="521" customFormat="false" ht="14.35" hidden="false" customHeight="false" outlineLevel="0" collapsed="false">
      <c r="A521" s="4" t="n">
        <v>23773</v>
      </c>
      <c r="B521" s="5" t="n">
        <f aca="false">PostPro4FW!H527</f>
        <v>16872.4603357842</v>
      </c>
      <c r="C521" s="5" t="n">
        <f aca="false">PostPro4FW!M527</f>
        <v>800</v>
      </c>
      <c r="D521" s="5" t="n">
        <f aca="false">PostPro4FW!H527+PostPro4FW!I527</f>
        <v>16872.4603357842</v>
      </c>
      <c r="E521" s="5" t="n">
        <f aca="false">PostPro4FW!S527</f>
        <v>800</v>
      </c>
      <c r="F521" s="5" t="n">
        <f aca="false">PostPro4FW!Q527</f>
        <v>0</v>
      </c>
      <c r="G521" s="0" t="n">
        <f aca="false">PostPro4FW!R527</f>
        <v>0</v>
      </c>
    </row>
    <row r="522" customFormat="false" ht="14.35" hidden="false" customHeight="false" outlineLevel="0" collapsed="false">
      <c r="A522" s="4" t="n">
        <v>23801</v>
      </c>
      <c r="B522" s="5" t="n">
        <f aca="false">PostPro4FW!H528</f>
        <v>4858.8294242985</v>
      </c>
      <c r="C522" s="5" t="n">
        <f aca="false">PostPro4FW!M528</f>
        <v>800</v>
      </c>
      <c r="D522" s="5" t="n">
        <f aca="false">PostPro4FW!H528+PostPro4FW!I528</f>
        <v>4858.8294242985</v>
      </c>
      <c r="E522" s="5" t="n">
        <f aca="false">PostPro4FW!S528</f>
        <v>800</v>
      </c>
      <c r="F522" s="5" t="n">
        <f aca="false">PostPro4FW!Q528</f>
        <v>0</v>
      </c>
      <c r="G522" s="0" t="n">
        <f aca="false">PostPro4FW!R528</f>
        <v>0</v>
      </c>
    </row>
    <row r="523" customFormat="false" ht="14.35" hidden="false" customHeight="false" outlineLevel="0" collapsed="false">
      <c r="A523" s="4" t="n">
        <v>23832</v>
      </c>
      <c r="B523" s="5" t="n">
        <f aca="false">PostPro4FW!H529</f>
        <v>5227.60105068442</v>
      </c>
      <c r="C523" s="5" t="n">
        <f aca="false">PostPro4FW!M529</f>
        <v>800</v>
      </c>
      <c r="D523" s="5" t="n">
        <f aca="false">PostPro4FW!H529+PostPro4FW!I529</f>
        <v>5227.60105068442</v>
      </c>
      <c r="E523" s="5" t="n">
        <f aca="false">PostPro4FW!S529</f>
        <v>800</v>
      </c>
      <c r="F523" s="5" t="n">
        <f aca="false">PostPro4FW!Q529</f>
        <v>0</v>
      </c>
      <c r="G523" s="0" t="n">
        <f aca="false">PostPro4FW!R529</f>
        <v>0</v>
      </c>
    </row>
    <row r="524" customFormat="false" ht="14.35" hidden="false" customHeight="false" outlineLevel="0" collapsed="false">
      <c r="A524" s="4" t="n">
        <v>23862</v>
      </c>
      <c r="B524" s="5" t="n">
        <f aca="false">PostPro4FW!H530</f>
        <v>7799.22257927267</v>
      </c>
      <c r="C524" s="5" t="n">
        <f aca="false">PostPro4FW!M530</f>
        <v>700</v>
      </c>
      <c r="D524" s="5" t="n">
        <f aca="false">PostPro4FW!H530+PostPro4FW!I530</f>
        <v>7799.22257927267</v>
      </c>
      <c r="E524" s="5" t="n">
        <f aca="false">PostPro4FW!S530</f>
        <v>700</v>
      </c>
      <c r="F524" s="5" t="n">
        <f aca="false">PostPro4FW!Q530</f>
        <v>0</v>
      </c>
      <c r="G524" s="0" t="n">
        <f aca="false">PostPro4FW!R530</f>
        <v>0</v>
      </c>
    </row>
    <row r="525" customFormat="false" ht="14.35" hidden="false" customHeight="false" outlineLevel="0" collapsed="false">
      <c r="A525" s="4" t="n">
        <v>23893</v>
      </c>
      <c r="B525" s="5" t="n">
        <f aca="false">PostPro4FW!H531</f>
        <v>3484.98822447874</v>
      </c>
      <c r="C525" s="5" t="n">
        <f aca="false">PostPro4FW!M531</f>
        <v>700</v>
      </c>
      <c r="D525" s="5" t="n">
        <f aca="false">PostPro4FW!H531+PostPro4FW!I531</f>
        <v>3484.98822447874</v>
      </c>
      <c r="E525" s="5" t="n">
        <f aca="false">PostPro4FW!S531</f>
        <v>700</v>
      </c>
      <c r="F525" s="5" t="n">
        <f aca="false">PostPro4FW!Q531</f>
        <v>0</v>
      </c>
      <c r="G525" s="0" t="n">
        <f aca="false">PostPro4FW!R531</f>
        <v>0</v>
      </c>
    </row>
    <row r="526" customFormat="false" ht="14.35" hidden="false" customHeight="false" outlineLevel="0" collapsed="false">
      <c r="A526" s="4" t="n">
        <v>23923</v>
      </c>
      <c r="B526" s="5" t="n">
        <f aca="false">PostPro4FW!H532</f>
        <v>2160.69124526387</v>
      </c>
      <c r="C526" s="5" t="n">
        <f aca="false">PostPro4FW!M532</f>
        <v>700</v>
      </c>
      <c r="D526" s="5" t="n">
        <f aca="false">PostPro4FW!H532+PostPro4FW!I532</f>
        <v>2160.69124526387</v>
      </c>
      <c r="E526" s="5" t="n">
        <f aca="false">PostPro4FW!S532</f>
        <v>700</v>
      </c>
      <c r="F526" s="5" t="n">
        <f aca="false">PostPro4FW!Q532</f>
        <v>0</v>
      </c>
      <c r="G526" s="0" t="n">
        <f aca="false">PostPro4FW!R532</f>
        <v>0</v>
      </c>
    </row>
    <row r="527" customFormat="false" ht="14.35" hidden="false" customHeight="false" outlineLevel="0" collapsed="false">
      <c r="A527" s="4" t="n">
        <v>23954</v>
      </c>
      <c r="B527" s="5" t="n">
        <f aca="false">PostPro4FW!H533</f>
        <v>8671.9023445865</v>
      </c>
      <c r="C527" s="5" t="n">
        <f aca="false">PostPro4FW!M533</f>
        <v>700</v>
      </c>
      <c r="D527" s="5" t="n">
        <f aca="false">PostPro4FW!H533+PostPro4FW!I533</f>
        <v>8671.9023445865</v>
      </c>
      <c r="E527" s="5" t="n">
        <f aca="false">PostPro4FW!S533</f>
        <v>700</v>
      </c>
      <c r="F527" s="5" t="n">
        <f aca="false">PostPro4FW!Q533</f>
        <v>0</v>
      </c>
      <c r="G527" s="0" t="n">
        <f aca="false">PostPro4FW!R533</f>
        <v>0</v>
      </c>
    </row>
    <row r="528" customFormat="false" ht="14.35" hidden="false" customHeight="false" outlineLevel="0" collapsed="false">
      <c r="A528" s="4" t="n">
        <v>23985</v>
      </c>
      <c r="B528" s="5" t="n">
        <f aca="false">PostPro4FW!H534</f>
        <v>5640.01816830572</v>
      </c>
      <c r="C528" s="5" t="n">
        <f aca="false">PostPro4FW!M534</f>
        <v>700</v>
      </c>
      <c r="D528" s="5" t="n">
        <f aca="false">PostPro4FW!H534+PostPro4FW!I534</f>
        <v>5640.01816830572</v>
      </c>
      <c r="E528" s="5" t="n">
        <f aca="false">PostPro4FW!S534</f>
        <v>700</v>
      </c>
      <c r="F528" s="5" t="n">
        <f aca="false">PostPro4FW!Q534</f>
        <v>0</v>
      </c>
      <c r="G528" s="0" t="n">
        <f aca="false">PostPro4FW!R534</f>
        <v>0</v>
      </c>
    </row>
    <row r="529" customFormat="false" ht="14.35" hidden="false" customHeight="false" outlineLevel="0" collapsed="false">
      <c r="A529" s="4" t="n">
        <v>24015</v>
      </c>
      <c r="B529" s="5" t="n">
        <f aca="false">PostPro4FW!H535</f>
        <v>9747.07475690691</v>
      </c>
      <c r="C529" s="5" t="n">
        <f aca="false">PostPro4FW!M535</f>
        <v>773.3333333</v>
      </c>
      <c r="D529" s="5" t="n">
        <f aca="false">PostPro4FW!H535+PostPro4FW!I535</f>
        <v>9747.07475690691</v>
      </c>
      <c r="E529" s="5" t="n">
        <f aca="false">PostPro4FW!S535</f>
        <v>773.3333333</v>
      </c>
      <c r="F529" s="5" t="n">
        <f aca="false">PostPro4FW!Q535</f>
        <v>0</v>
      </c>
      <c r="G529" s="0" t="n">
        <f aca="false">PostPro4FW!R535</f>
        <v>0</v>
      </c>
    </row>
    <row r="530" customFormat="false" ht="14.35" hidden="false" customHeight="false" outlineLevel="0" collapsed="false">
      <c r="A530" s="4" t="n">
        <v>24046</v>
      </c>
      <c r="B530" s="5" t="n">
        <f aca="false">PostPro4FW!H536</f>
        <v>4000</v>
      </c>
      <c r="C530" s="5" t="n">
        <f aca="false">PostPro4FW!M536</f>
        <v>800</v>
      </c>
      <c r="D530" s="5" t="n">
        <f aca="false">PostPro4FW!H536+PostPro4FW!I536</f>
        <v>4000</v>
      </c>
      <c r="E530" s="5" t="n">
        <f aca="false">PostPro4FW!S536</f>
        <v>800</v>
      </c>
      <c r="F530" s="5" t="n">
        <f aca="false">PostPro4FW!Q536</f>
        <v>0</v>
      </c>
      <c r="G530" s="0" t="n">
        <f aca="false">PostPro4FW!R536</f>
        <v>0</v>
      </c>
    </row>
    <row r="531" customFormat="false" ht="14.35" hidden="false" customHeight="false" outlineLevel="0" collapsed="false">
      <c r="A531" s="4" t="n">
        <v>24076</v>
      </c>
      <c r="B531" s="5" t="n">
        <f aca="false">PostPro4FW!H537</f>
        <v>2500</v>
      </c>
      <c r="C531" s="5" t="n">
        <f aca="false">PostPro4FW!M537</f>
        <v>800</v>
      </c>
      <c r="D531" s="5" t="n">
        <f aca="false">PostPro4FW!H537+PostPro4FW!I537</f>
        <v>2500</v>
      </c>
      <c r="E531" s="5" t="n">
        <f aca="false">PostPro4FW!S537</f>
        <v>800</v>
      </c>
      <c r="F531" s="5" t="n">
        <f aca="false">PostPro4FW!Q537</f>
        <v>0</v>
      </c>
      <c r="G531" s="0" t="n">
        <f aca="false">PostPro4FW!R537</f>
        <v>0</v>
      </c>
    </row>
    <row r="532" customFormat="false" ht="14.35" hidden="false" customHeight="false" outlineLevel="0" collapsed="false">
      <c r="A532" s="4" t="n">
        <v>24107</v>
      </c>
      <c r="B532" s="5" t="n">
        <f aca="false">PostPro4FW!H538</f>
        <v>1700</v>
      </c>
      <c r="C532" s="5" t="n">
        <f aca="false">PostPro4FW!M538</f>
        <v>800</v>
      </c>
      <c r="D532" s="5" t="n">
        <f aca="false">PostPro4FW!H538+PostPro4FW!I538</f>
        <v>1700</v>
      </c>
      <c r="E532" s="5" t="n">
        <f aca="false">PostPro4FW!S538</f>
        <v>800</v>
      </c>
      <c r="F532" s="5" t="n">
        <f aca="false">PostPro4FW!Q538</f>
        <v>0</v>
      </c>
      <c r="G532" s="0" t="n">
        <f aca="false">PostPro4FW!R538</f>
        <v>0</v>
      </c>
    </row>
    <row r="533" customFormat="false" ht="14.35" hidden="false" customHeight="false" outlineLevel="0" collapsed="false">
      <c r="A533" s="4" t="n">
        <v>24138</v>
      </c>
      <c r="B533" s="5" t="n">
        <f aca="false">PostPro4FW!H539</f>
        <v>1700</v>
      </c>
      <c r="C533" s="5" t="n">
        <f aca="false">PostPro4FW!M539</f>
        <v>800</v>
      </c>
      <c r="D533" s="5" t="n">
        <f aca="false">PostPro4FW!H539+PostPro4FW!I539</f>
        <v>1700</v>
      </c>
      <c r="E533" s="5" t="n">
        <f aca="false">PostPro4FW!S539</f>
        <v>800</v>
      </c>
      <c r="F533" s="5" t="n">
        <f aca="false">PostPro4FW!Q539</f>
        <v>0</v>
      </c>
      <c r="G533" s="0" t="n">
        <f aca="false">PostPro4FW!R539</f>
        <v>0</v>
      </c>
    </row>
    <row r="534" customFormat="false" ht="14.35" hidden="false" customHeight="false" outlineLevel="0" collapsed="false">
      <c r="A534" s="4" t="n">
        <v>24166</v>
      </c>
      <c r="B534" s="5" t="n">
        <f aca="false">PostPro4FW!H540</f>
        <v>1700</v>
      </c>
      <c r="C534" s="5" t="n">
        <f aca="false">PostPro4FW!M540</f>
        <v>800</v>
      </c>
      <c r="D534" s="5" t="n">
        <f aca="false">PostPro4FW!H540+PostPro4FW!I540</f>
        <v>1700</v>
      </c>
      <c r="E534" s="5" t="n">
        <f aca="false">PostPro4FW!S540</f>
        <v>1571.42857142857</v>
      </c>
      <c r="F534" s="5" t="n">
        <f aca="false">PostPro4FW!Q540</f>
        <v>1700</v>
      </c>
      <c r="G534" s="0" t="n">
        <f aca="false">PostPro4FW!R540</f>
        <v>24</v>
      </c>
    </row>
    <row r="535" customFormat="false" ht="14.35" hidden="false" customHeight="false" outlineLevel="0" collapsed="false">
      <c r="A535" s="4" t="n">
        <v>24197</v>
      </c>
      <c r="B535" s="5" t="n">
        <f aca="false">PostPro4FW!H541</f>
        <v>1700</v>
      </c>
      <c r="C535" s="5" t="n">
        <f aca="false">PostPro4FW!M541</f>
        <v>800</v>
      </c>
      <c r="D535" s="5" t="n">
        <f aca="false">PostPro4FW!H541+PostPro4FW!I541</f>
        <v>1700</v>
      </c>
      <c r="E535" s="5" t="n">
        <f aca="false">PostPro4FW!S541</f>
        <v>800</v>
      </c>
      <c r="F535" s="5" t="n">
        <f aca="false">PostPro4FW!Q541</f>
        <v>0</v>
      </c>
      <c r="G535" s="0" t="n">
        <f aca="false">PostPro4FW!R541</f>
        <v>0</v>
      </c>
    </row>
    <row r="536" customFormat="false" ht="14.35" hidden="false" customHeight="false" outlineLevel="0" collapsed="false">
      <c r="A536" s="4" t="n">
        <v>24227</v>
      </c>
      <c r="B536" s="5" t="n">
        <f aca="false">PostPro4FW!H542</f>
        <v>1000</v>
      </c>
      <c r="C536" s="5" t="n">
        <f aca="false">PostPro4FW!M542</f>
        <v>700</v>
      </c>
      <c r="D536" s="5" t="n">
        <f aca="false">PostPro4FW!H542+PostPro4FW!I542</f>
        <v>1420.13888888889</v>
      </c>
      <c r="E536" s="5" t="n">
        <f aca="false">PostPro4FW!S542</f>
        <v>700</v>
      </c>
      <c r="F536" s="5" t="n">
        <f aca="false">PostPro4FW!Q542</f>
        <v>0</v>
      </c>
      <c r="G536" s="0" t="n">
        <f aca="false">PostPro4FW!R542</f>
        <v>0</v>
      </c>
    </row>
    <row r="537" customFormat="false" ht="14.35" hidden="false" customHeight="false" outlineLevel="0" collapsed="false">
      <c r="A537" s="4" t="n">
        <v>24258</v>
      </c>
      <c r="B537" s="5" t="n">
        <f aca="false">PostPro4FW!H543</f>
        <v>1000.00000000003</v>
      </c>
      <c r="C537" s="5" t="n">
        <f aca="false">PostPro4FW!M543</f>
        <v>700</v>
      </c>
      <c r="D537" s="5" t="n">
        <f aca="false">PostPro4FW!H543+PostPro4FW!I543</f>
        <v>1406.5860215054</v>
      </c>
      <c r="E537" s="5" t="n">
        <f aca="false">PostPro4FW!S543</f>
        <v>700</v>
      </c>
      <c r="F537" s="5" t="n">
        <f aca="false">PostPro4FW!Q543</f>
        <v>0</v>
      </c>
      <c r="G537" s="0" t="n">
        <f aca="false">PostPro4FW!R543</f>
        <v>0</v>
      </c>
    </row>
    <row r="538" customFormat="false" ht="14.35" hidden="false" customHeight="false" outlineLevel="0" collapsed="false">
      <c r="A538" s="4" t="n">
        <v>24288</v>
      </c>
      <c r="B538" s="5" t="n">
        <f aca="false">PostPro4FW!H544</f>
        <v>3835.40297739571</v>
      </c>
      <c r="C538" s="5" t="n">
        <f aca="false">PostPro4FW!M544</f>
        <v>700</v>
      </c>
      <c r="D538" s="5" t="n">
        <f aca="false">PostPro4FW!H544+PostPro4FW!I544</f>
        <v>3835.40297739571</v>
      </c>
      <c r="E538" s="5" t="n">
        <f aca="false">PostPro4FW!S544</f>
        <v>700</v>
      </c>
      <c r="F538" s="5" t="n">
        <f aca="false">PostPro4FW!Q544</f>
        <v>0</v>
      </c>
      <c r="G538" s="0" t="n">
        <f aca="false">PostPro4FW!R544</f>
        <v>0</v>
      </c>
    </row>
    <row r="539" customFormat="false" ht="14.35" hidden="false" customHeight="false" outlineLevel="0" collapsed="false">
      <c r="A539" s="4" t="n">
        <v>24319</v>
      </c>
      <c r="B539" s="5" t="n">
        <f aca="false">PostPro4FW!H545</f>
        <v>10000</v>
      </c>
      <c r="C539" s="5" t="n">
        <f aca="false">PostPro4FW!M545</f>
        <v>700</v>
      </c>
      <c r="D539" s="5" t="n">
        <f aca="false">PostPro4FW!H545+PostPro4FW!I545</f>
        <v>10000</v>
      </c>
      <c r="E539" s="5" t="n">
        <f aca="false">PostPro4FW!S545</f>
        <v>700</v>
      </c>
      <c r="F539" s="5" t="n">
        <f aca="false">PostPro4FW!Q545</f>
        <v>0</v>
      </c>
      <c r="G539" s="0" t="n">
        <f aca="false">PostPro4FW!R545</f>
        <v>0</v>
      </c>
    </row>
    <row r="540" customFormat="false" ht="14.35" hidden="false" customHeight="false" outlineLevel="0" collapsed="false">
      <c r="A540" s="4" t="n">
        <v>24350</v>
      </c>
      <c r="B540" s="5" t="n">
        <f aca="false">PostPro4FW!H546</f>
        <v>8070.51797862552</v>
      </c>
      <c r="C540" s="5" t="n">
        <f aca="false">PostPro4FW!M546</f>
        <v>700</v>
      </c>
      <c r="D540" s="5" t="n">
        <f aca="false">PostPro4FW!H546+PostPro4FW!I546</f>
        <v>8070.51797862552</v>
      </c>
      <c r="E540" s="5" t="n">
        <f aca="false">PostPro4FW!S546</f>
        <v>700</v>
      </c>
      <c r="F540" s="5" t="n">
        <f aca="false">PostPro4FW!Q546</f>
        <v>0</v>
      </c>
      <c r="G540" s="0" t="n">
        <f aca="false">PostPro4FW!R546</f>
        <v>0</v>
      </c>
    </row>
    <row r="541" customFormat="false" ht="14.35" hidden="false" customHeight="false" outlineLevel="0" collapsed="false">
      <c r="A541" s="4" t="n">
        <v>24380</v>
      </c>
      <c r="B541" s="5" t="n">
        <f aca="false">PostPro4FW!H547</f>
        <v>1092.03164760903</v>
      </c>
      <c r="C541" s="5" t="n">
        <f aca="false">PostPro4FW!M547</f>
        <v>773.3333333</v>
      </c>
      <c r="D541" s="5" t="n">
        <f aca="false">PostPro4FW!H547+PostPro4FW!I547</f>
        <v>1092.03164760903</v>
      </c>
      <c r="E541" s="5" t="n">
        <f aca="false">PostPro4FW!S547</f>
        <v>773.3333333</v>
      </c>
      <c r="F541" s="5" t="n">
        <f aca="false">PostPro4FW!Q547</f>
        <v>0</v>
      </c>
      <c r="G541" s="0" t="n">
        <f aca="false">PostPro4FW!R547</f>
        <v>0</v>
      </c>
    </row>
    <row r="542" customFormat="false" ht="14.35" hidden="false" customHeight="false" outlineLevel="0" collapsed="false">
      <c r="A542" s="4" t="n">
        <v>24411</v>
      </c>
      <c r="B542" s="5" t="n">
        <f aca="false">PostPro4FW!H548</f>
        <v>1700.00000000001</v>
      </c>
      <c r="C542" s="5" t="n">
        <f aca="false">PostPro4FW!M548</f>
        <v>800</v>
      </c>
      <c r="D542" s="5" t="n">
        <f aca="false">PostPro4FW!H548+PostPro4FW!I548</f>
        <v>1700.00000000001</v>
      </c>
      <c r="E542" s="5" t="n">
        <f aca="false">PostPro4FW!S548</f>
        <v>800</v>
      </c>
      <c r="F542" s="5" t="n">
        <f aca="false">PostPro4FW!Q548</f>
        <v>0</v>
      </c>
      <c r="G542" s="0" t="n">
        <f aca="false">PostPro4FW!R548</f>
        <v>0</v>
      </c>
    </row>
    <row r="543" customFormat="false" ht="14.35" hidden="false" customHeight="false" outlineLevel="0" collapsed="false">
      <c r="A543" s="4" t="n">
        <v>24441</v>
      </c>
      <c r="B543" s="5" t="n">
        <f aca="false">PostPro4FW!H549</f>
        <v>1700</v>
      </c>
      <c r="C543" s="5" t="n">
        <f aca="false">PostPro4FW!M549</f>
        <v>800</v>
      </c>
      <c r="D543" s="5" t="n">
        <f aca="false">PostPro4FW!H549+PostPro4FW!I549</f>
        <v>1700</v>
      </c>
      <c r="E543" s="5" t="n">
        <f aca="false">PostPro4FW!S549</f>
        <v>800</v>
      </c>
      <c r="F543" s="5" t="n">
        <f aca="false">PostPro4FW!Q549</f>
        <v>0</v>
      </c>
      <c r="G543" s="0" t="n">
        <f aca="false">PostPro4FW!R549</f>
        <v>0</v>
      </c>
    </row>
    <row r="544" customFormat="false" ht="14.35" hidden="false" customHeight="false" outlineLevel="0" collapsed="false">
      <c r="A544" s="4" t="n">
        <v>24472</v>
      </c>
      <c r="B544" s="5" t="n">
        <f aca="false">PostPro4FW!H550</f>
        <v>1700</v>
      </c>
      <c r="C544" s="5" t="n">
        <f aca="false">PostPro4FW!M550</f>
        <v>800</v>
      </c>
      <c r="D544" s="5" t="n">
        <f aca="false">PostPro4FW!H550+PostPro4FW!I550</f>
        <v>1700</v>
      </c>
      <c r="E544" s="5" t="n">
        <f aca="false">PostPro4FW!S550</f>
        <v>800</v>
      </c>
      <c r="F544" s="5" t="n">
        <f aca="false">PostPro4FW!Q550</f>
        <v>0</v>
      </c>
      <c r="G544" s="0" t="n">
        <f aca="false">PostPro4FW!R550</f>
        <v>0</v>
      </c>
    </row>
    <row r="545" customFormat="false" ht="14.35" hidden="false" customHeight="false" outlineLevel="0" collapsed="false">
      <c r="A545" s="4" t="n">
        <v>24503</v>
      </c>
      <c r="B545" s="5" t="n">
        <f aca="false">PostPro4FW!H551</f>
        <v>1700</v>
      </c>
      <c r="C545" s="5" t="n">
        <f aca="false">PostPro4FW!M551</f>
        <v>800</v>
      </c>
      <c r="D545" s="5" t="n">
        <f aca="false">PostPro4FW!H551+PostPro4FW!I551</f>
        <v>1700</v>
      </c>
      <c r="E545" s="5" t="n">
        <f aca="false">PostPro4FW!S551</f>
        <v>800</v>
      </c>
      <c r="F545" s="5" t="n">
        <f aca="false">PostPro4FW!Q551</f>
        <v>0</v>
      </c>
      <c r="G545" s="0" t="n">
        <f aca="false">PostPro4FW!R551</f>
        <v>0</v>
      </c>
    </row>
    <row r="546" customFormat="false" ht="14.35" hidden="false" customHeight="false" outlineLevel="0" collapsed="false">
      <c r="A546" s="4" t="n">
        <v>24531</v>
      </c>
      <c r="B546" s="5" t="n">
        <f aca="false">PostPro4FW!H552</f>
        <v>1700</v>
      </c>
      <c r="C546" s="5" t="n">
        <f aca="false">PostPro4FW!M552</f>
        <v>800</v>
      </c>
      <c r="D546" s="5" t="n">
        <f aca="false">PostPro4FW!H552+PostPro4FW!I552</f>
        <v>1700</v>
      </c>
      <c r="E546" s="5" t="n">
        <f aca="false">PostPro4FW!S552</f>
        <v>800</v>
      </c>
      <c r="F546" s="5" t="n">
        <f aca="false">PostPro4FW!Q552</f>
        <v>0</v>
      </c>
      <c r="G546" s="0" t="n">
        <f aca="false">PostPro4FW!R552</f>
        <v>0</v>
      </c>
    </row>
    <row r="547" customFormat="false" ht="14.35" hidden="false" customHeight="false" outlineLevel="0" collapsed="false">
      <c r="A547" s="4" t="n">
        <v>24562</v>
      </c>
      <c r="B547" s="5" t="n">
        <f aca="false">PostPro4FW!H553</f>
        <v>9943.60934595606</v>
      </c>
      <c r="C547" s="5" t="n">
        <f aca="false">PostPro4FW!M553</f>
        <v>800</v>
      </c>
      <c r="D547" s="5" t="n">
        <f aca="false">PostPro4FW!H553+PostPro4FW!I553</f>
        <v>9943.60934595606</v>
      </c>
      <c r="E547" s="5" t="n">
        <f aca="false">PostPro4FW!S553</f>
        <v>800</v>
      </c>
      <c r="F547" s="5" t="n">
        <f aca="false">PostPro4FW!Q553</f>
        <v>0</v>
      </c>
      <c r="G547" s="0" t="n">
        <f aca="false">PostPro4FW!R553</f>
        <v>0</v>
      </c>
    </row>
    <row r="548" customFormat="false" ht="14.35" hidden="false" customHeight="false" outlineLevel="0" collapsed="false">
      <c r="A548" s="4" t="n">
        <v>24592</v>
      </c>
      <c r="B548" s="5" t="n">
        <f aca="false">PostPro4FW!H554</f>
        <v>2159.99745016713</v>
      </c>
      <c r="C548" s="5" t="n">
        <f aca="false">PostPro4FW!M554</f>
        <v>700</v>
      </c>
      <c r="D548" s="5" t="n">
        <f aca="false">PostPro4FW!H554+PostPro4FW!I554</f>
        <v>2159.99745016713</v>
      </c>
      <c r="E548" s="5" t="n">
        <f aca="false">PostPro4FW!S554</f>
        <v>700</v>
      </c>
      <c r="F548" s="5" t="n">
        <f aca="false">PostPro4FW!Q554</f>
        <v>0</v>
      </c>
      <c r="G548" s="0" t="n">
        <f aca="false">PostPro4FW!R554</f>
        <v>0</v>
      </c>
    </row>
    <row r="549" customFormat="false" ht="14.35" hidden="false" customHeight="false" outlineLevel="0" collapsed="false">
      <c r="A549" s="4" t="n">
        <v>24623</v>
      </c>
      <c r="B549" s="5" t="n">
        <f aca="false">PostPro4FW!H555</f>
        <v>9235.64953089231</v>
      </c>
      <c r="C549" s="5" t="n">
        <f aca="false">PostPro4FW!M555</f>
        <v>700</v>
      </c>
      <c r="D549" s="5" t="n">
        <f aca="false">PostPro4FW!H555+PostPro4FW!I555</f>
        <v>9235.64953089231</v>
      </c>
      <c r="E549" s="5" t="n">
        <f aca="false">PostPro4FW!S555</f>
        <v>700</v>
      </c>
      <c r="F549" s="5" t="n">
        <f aca="false">PostPro4FW!Q555</f>
        <v>0</v>
      </c>
      <c r="G549" s="0" t="n">
        <f aca="false">PostPro4FW!R555</f>
        <v>0</v>
      </c>
    </row>
    <row r="550" customFormat="false" ht="14.35" hidden="false" customHeight="false" outlineLevel="0" collapsed="false">
      <c r="A550" s="4" t="n">
        <v>24653</v>
      </c>
      <c r="B550" s="5" t="n">
        <f aca="false">PostPro4FW!H556</f>
        <v>8491.61925673883</v>
      </c>
      <c r="C550" s="5" t="n">
        <f aca="false">PostPro4FW!M556</f>
        <v>700</v>
      </c>
      <c r="D550" s="5" t="n">
        <f aca="false">PostPro4FW!H556+PostPro4FW!I556</f>
        <v>8491.61925673883</v>
      </c>
      <c r="E550" s="5" t="n">
        <f aca="false">PostPro4FW!S556</f>
        <v>700</v>
      </c>
      <c r="F550" s="5" t="n">
        <f aca="false">PostPro4FW!Q556</f>
        <v>0</v>
      </c>
      <c r="G550" s="0" t="n">
        <f aca="false">PostPro4FW!R556</f>
        <v>0</v>
      </c>
    </row>
    <row r="551" customFormat="false" ht="14.35" hidden="false" customHeight="false" outlineLevel="0" collapsed="false">
      <c r="A551" s="4" t="n">
        <v>24684</v>
      </c>
      <c r="B551" s="5" t="n">
        <f aca="false">PostPro4FW!H557</f>
        <v>1416.53239705475</v>
      </c>
      <c r="C551" s="5" t="n">
        <f aca="false">PostPro4FW!M557</f>
        <v>700</v>
      </c>
      <c r="D551" s="5" t="n">
        <f aca="false">PostPro4FW!H557+PostPro4FW!I557</f>
        <v>1416.53239705475</v>
      </c>
      <c r="E551" s="5" t="n">
        <f aca="false">PostPro4FW!S557</f>
        <v>700</v>
      </c>
      <c r="F551" s="5" t="n">
        <f aca="false">PostPro4FW!Q557</f>
        <v>0</v>
      </c>
      <c r="G551" s="0" t="n">
        <f aca="false">PostPro4FW!R557</f>
        <v>0</v>
      </c>
    </row>
    <row r="552" customFormat="false" ht="14.35" hidden="false" customHeight="false" outlineLevel="0" collapsed="false">
      <c r="A552" s="4" t="n">
        <v>24715</v>
      </c>
      <c r="B552" s="5" t="n">
        <f aca="false">PostPro4FW!H558</f>
        <v>1390.38790976898</v>
      </c>
      <c r="C552" s="5" t="n">
        <f aca="false">PostPro4FW!M558</f>
        <v>700</v>
      </c>
      <c r="D552" s="5" t="n">
        <f aca="false">PostPro4FW!H558+PostPro4FW!I558</f>
        <v>1390.38790976898</v>
      </c>
      <c r="E552" s="5" t="n">
        <f aca="false">PostPro4FW!S558</f>
        <v>700</v>
      </c>
      <c r="F552" s="5" t="n">
        <f aca="false">PostPro4FW!Q558</f>
        <v>0</v>
      </c>
      <c r="G552" s="0" t="n">
        <f aca="false">PostPro4FW!R558</f>
        <v>0</v>
      </c>
    </row>
    <row r="553" customFormat="false" ht="14.35" hidden="false" customHeight="false" outlineLevel="0" collapsed="false">
      <c r="A553" s="4" t="n">
        <v>24745</v>
      </c>
      <c r="B553" s="5" t="n">
        <f aca="false">PostPro4FW!H559</f>
        <v>9360.28904760449</v>
      </c>
      <c r="C553" s="5" t="n">
        <f aca="false">PostPro4FW!M559</f>
        <v>773.3333333</v>
      </c>
      <c r="D553" s="5" t="n">
        <f aca="false">PostPro4FW!H559+PostPro4FW!I559</f>
        <v>9360.28904760449</v>
      </c>
      <c r="E553" s="5" t="n">
        <f aca="false">PostPro4FW!S559</f>
        <v>773.3333333</v>
      </c>
      <c r="F553" s="5" t="n">
        <f aca="false">PostPro4FW!Q559</f>
        <v>0</v>
      </c>
      <c r="G553" s="0" t="n">
        <f aca="false">PostPro4FW!R559</f>
        <v>0</v>
      </c>
    </row>
    <row r="554" customFormat="false" ht="14.35" hidden="false" customHeight="false" outlineLevel="0" collapsed="false">
      <c r="A554" s="4" t="n">
        <v>24776</v>
      </c>
      <c r="B554" s="5" t="n">
        <f aca="false">PostPro4FW!H560</f>
        <v>4000</v>
      </c>
      <c r="C554" s="5" t="n">
        <f aca="false">PostPro4FW!M560</f>
        <v>800</v>
      </c>
      <c r="D554" s="5" t="n">
        <f aca="false">PostPro4FW!H560+PostPro4FW!I560</f>
        <v>4000</v>
      </c>
      <c r="E554" s="5" t="n">
        <f aca="false">PostPro4FW!S560</f>
        <v>800</v>
      </c>
      <c r="F554" s="5" t="n">
        <f aca="false">PostPro4FW!Q560</f>
        <v>0</v>
      </c>
      <c r="G554" s="0" t="n">
        <f aca="false">PostPro4FW!R560</f>
        <v>0</v>
      </c>
    </row>
    <row r="555" customFormat="false" ht="14.35" hidden="false" customHeight="false" outlineLevel="0" collapsed="false">
      <c r="A555" s="4" t="n">
        <v>24806</v>
      </c>
      <c r="B555" s="5" t="n">
        <f aca="false">PostPro4FW!H561</f>
        <v>2500</v>
      </c>
      <c r="C555" s="5" t="n">
        <f aca="false">PostPro4FW!M561</f>
        <v>800</v>
      </c>
      <c r="D555" s="5" t="n">
        <f aca="false">PostPro4FW!H561+PostPro4FW!I561</f>
        <v>2500</v>
      </c>
      <c r="E555" s="5" t="n">
        <f aca="false">PostPro4FW!S561</f>
        <v>800</v>
      </c>
      <c r="F555" s="5" t="n">
        <f aca="false">PostPro4FW!Q561</f>
        <v>0</v>
      </c>
      <c r="G555" s="0" t="n">
        <f aca="false">PostPro4FW!R561</f>
        <v>0</v>
      </c>
    </row>
    <row r="556" customFormat="false" ht="14.35" hidden="false" customHeight="false" outlineLevel="0" collapsed="false">
      <c r="A556" s="4" t="n">
        <v>24837</v>
      </c>
      <c r="B556" s="5" t="n">
        <f aca="false">PostPro4FW!H562</f>
        <v>4507.56536214403</v>
      </c>
      <c r="C556" s="5" t="n">
        <f aca="false">PostPro4FW!M562</f>
        <v>800</v>
      </c>
      <c r="D556" s="5" t="n">
        <f aca="false">PostPro4FW!H562+PostPro4FW!I562</f>
        <v>4507.56536214403</v>
      </c>
      <c r="E556" s="5" t="n">
        <f aca="false">PostPro4FW!S562</f>
        <v>800</v>
      </c>
      <c r="F556" s="5" t="n">
        <f aca="false">PostPro4FW!Q562</f>
        <v>0</v>
      </c>
      <c r="G556" s="0" t="n">
        <f aca="false">PostPro4FW!R562</f>
        <v>0</v>
      </c>
    </row>
    <row r="557" customFormat="false" ht="14.35" hidden="false" customHeight="false" outlineLevel="0" collapsed="false">
      <c r="A557" s="4" t="n">
        <v>24868</v>
      </c>
      <c r="B557" s="5" t="n">
        <f aca="false">PostPro4FW!H563</f>
        <v>1700</v>
      </c>
      <c r="C557" s="5" t="n">
        <f aca="false">PostPro4FW!M563</f>
        <v>800</v>
      </c>
      <c r="D557" s="5" t="n">
        <f aca="false">PostPro4FW!H563+PostPro4FW!I563</f>
        <v>1700</v>
      </c>
      <c r="E557" s="5" t="n">
        <f aca="false">PostPro4FW!S563</f>
        <v>800</v>
      </c>
      <c r="F557" s="5" t="n">
        <f aca="false">PostPro4FW!Q563</f>
        <v>0</v>
      </c>
      <c r="G557" s="0" t="n">
        <f aca="false">PostPro4FW!R563</f>
        <v>0</v>
      </c>
    </row>
    <row r="558" customFormat="false" ht="14.35" hidden="false" customHeight="false" outlineLevel="0" collapsed="false">
      <c r="A558" s="4" t="n">
        <v>24897</v>
      </c>
      <c r="B558" s="5" t="n">
        <f aca="false">PostPro4FW!H564</f>
        <v>7035.80442350569</v>
      </c>
      <c r="C558" s="5" t="n">
        <f aca="false">PostPro4FW!M564</f>
        <v>800</v>
      </c>
      <c r="D558" s="5" t="n">
        <f aca="false">PostPro4FW!H564+PostPro4FW!I564</f>
        <v>7035.80442350569</v>
      </c>
      <c r="E558" s="5" t="n">
        <f aca="false">PostPro4FW!S564</f>
        <v>1544.8275862069</v>
      </c>
      <c r="F558" s="5" t="n">
        <f aca="false">PostPro4FW!Q564</f>
        <v>2000</v>
      </c>
      <c r="G558" s="0" t="n">
        <f aca="false">PostPro4FW!R564</f>
        <v>18</v>
      </c>
    </row>
    <row r="559" customFormat="false" ht="14.35" hidden="false" customHeight="false" outlineLevel="0" collapsed="false">
      <c r="A559" s="4" t="n">
        <v>24928</v>
      </c>
      <c r="B559" s="5" t="n">
        <f aca="false">PostPro4FW!H565</f>
        <v>6618.57740343677</v>
      </c>
      <c r="C559" s="5" t="n">
        <f aca="false">PostPro4FW!M565</f>
        <v>800</v>
      </c>
      <c r="D559" s="5" t="n">
        <f aca="false">PostPro4FW!H565+PostPro4FW!I565</f>
        <v>6618.57740343677</v>
      </c>
      <c r="E559" s="5" t="n">
        <f aca="false">PostPro4FW!S565</f>
        <v>800</v>
      </c>
      <c r="F559" s="5" t="n">
        <f aca="false">PostPro4FW!Q565</f>
        <v>0</v>
      </c>
      <c r="G559" s="0" t="n">
        <f aca="false">PostPro4FW!R565</f>
        <v>0</v>
      </c>
    </row>
    <row r="560" customFormat="false" ht="14.35" hidden="false" customHeight="false" outlineLevel="0" collapsed="false">
      <c r="A560" s="4" t="n">
        <v>24958</v>
      </c>
      <c r="B560" s="5" t="n">
        <f aca="false">PostPro4FW!H566</f>
        <v>1687.70651080741</v>
      </c>
      <c r="C560" s="5" t="n">
        <f aca="false">PostPro4FW!M566</f>
        <v>700</v>
      </c>
      <c r="D560" s="5" t="n">
        <f aca="false">PostPro4FW!H566+PostPro4FW!I566</f>
        <v>2107.8453996963</v>
      </c>
      <c r="E560" s="5" t="n">
        <f aca="false">PostPro4FW!S566</f>
        <v>700</v>
      </c>
      <c r="F560" s="5" t="n">
        <f aca="false">PostPro4FW!Q566</f>
        <v>0</v>
      </c>
      <c r="G560" s="0" t="n">
        <f aca="false">PostPro4FW!R566</f>
        <v>0</v>
      </c>
    </row>
    <row r="561" customFormat="false" ht="14.35" hidden="false" customHeight="false" outlineLevel="0" collapsed="false">
      <c r="A561" s="4" t="n">
        <v>24989</v>
      </c>
      <c r="B561" s="5" t="n">
        <f aca="false">PostPro4FW!H567</f>
        <v>1505.20757573375</v>
      </c>
      <c r="C561" s="5" t="n">
        <f aca="false">PostPro4FW!M567</f>
        <v>700</v>
      </c>
      <c r="D561" s="5" t="n">
        <f aca="false">PostPro4FW!H567+PostPro4FW!I567</f>
        <v>1911.79359723913</v>
      </c>
      <c r="E561" s="5" t="n">
        <f aca="false">PostPro4FW!S567</f>
        <v>700</v>
      </c>
      <c r="F561" s="5" t="n">
        <f aca="false">PostPro4FW!Q567</f>
        <v>0</v>
      </c>
      <c r="G561" s="0" t="n">
        <f aca="false">PostPro4FW!R567</f>
        <v>0</v>
      </c>
    </row>
    <row r="562" customFormat="false" ht="14.35" hidden="false" customHeight="false" outlineLevel="0" collapsed="false">
      <c r="A562" s="4" t="n">
        <v>25019</v>
      </c>
      <c r="B562" s="5" t="n">
        <f aca="false">PostPro4FW!H568</f>
        <v>4189.72046322163</v>
      </c>
      <c r="C562" s="5" t="n">
        <f aca="false">PostPro4FW!M568</f>
        <v>700</v>
      </c>
      <c r="D562" s="5" t="n">
        <f aca="false">PostPro4FW!H568+PostPro4FW!I568</f>
        <v>4189.72046322163</v>
      </c>
      <c r="E562" s="5" t="n">
        <f aca="false">PostPro4FW!S568</f>
        <v>700</v>
      </c>
      <c r="F562" s="5" t="n">
        <f aca="false">PostPro4FW!Q568</f>
        <v>0</v>
      </c>
      <c r="G562" s="0" t="n">
        <f aca="false">PostPro4FW!R568</f>
        <v>0</v>
      </c>
    </row>
    <row r="563" customFormat="false" ht="14.35" hidden="false" customHeight="false" outlineLevel="0" collapsed="false">
      <c r="A563" s="4" t="n">
        <v>25050</v>
      </c>
      <c r="B563" s="5" t="n">
        <f aca="false">PostPro4FW!H569</f>
        <v>10000</v>
      </c>
      <c r="C563" s="5" t="n">
        <f aca="false">PostPro4FW!M569</f>
        <v>700</v>
      </c>
      <c r="D563" s="5" t="n">
        <f aca="false">PostPro4FW!H569+PostPro4FW!I569</f>
        <v>10000</v>
      </c>
      <c r="E563" s="5" t="n">
        <f aca="false">PostPro4FW!S569</f>
        <v>700</v>
      </c>
      <c r="F563" s="5" t="n">
        <f aca="false">PostPro4FW!Q569</f>
        <v>0</v>
      </c>
      <c r="G563" s="0" t="n">
        <f aca="false">PostPro4FW!R569</f>
        <v>0</v>
      </c>
    </row>
    <row r="564" customFormat="false" ht="14.35" hidden="false" customHeight="false" outlineLevel="0" collapsed="false">
      <c r="A564" s="4" t="n">
        <v>25081</v>
      </c>
      <c r="B564" s="5" t="n">
        <f aca="false">PostPro4FW!H570</f>
        <v>7527.88639394057</v>
      </c>
      <c r="C564" s="5" t="n">
        <f aca="false">PostPro4FW!M570</f>
        <v>700</v>
      </c>
      <c r="D564" s="5" t="n">
        <f aca="false">PostPro4FW!H570+PostPro4FW!I570</f>
        <v>7527.88639394057</v>
      </c>
      <c r="E564" s="5" t="n">
        <f aca="false">PostPro4FW!S570</f>
        <v>700</v>
      </c>
      <c r="F564" s="5" t="n">
        <f aca="false">PostPro4FW!Q570</f>
        <v>0</v>
      </c>
      <c r="G564" s="0" t="n">
        <f aca="false">PostPro4FW!R570</f>
        <v>0</v>
      </c>
    </row>
    <row r="565" customFormat="false" ht="14.35" hidden="false" customHeight="false" outlineLevel="0" collapsed="false">
      <c r="A565" s="4" t="n">
        <v>25111</v>
      </c>
      <c r="B565" s="5" t="n">
        <f aca="false">PostPro4FW!H571</f>
        <v>4743.26835232476</v>
      </c>
      <c r="C565" s="5" t="n">
        <f aca="false">PostPro4FW!M571</f>
        <v>773.3333333</v>
      </c>
      <c r="D565" s="5" t="n">
        <f aca="false">PostPro4FW!H571+PostPro4FW!I571</f>
        <v>4743.26835232476</v>
      </c>
      <c r="E565" s="5" t="n">
        <f aca="false">PostPro4FW!S571</f>
        <v>773.3333333</v>
      </c>
      <c r="F565" s="5" t="n">
        <f aca="false">PostPro4FW!Q571</f>
        <v>0</v>
      </c>
      <c r="G565" s="0" t="n">
        <f aca="false">PostPro4FW!R571</f>
        <v>0</v>
      </c>
    </row>
    <row r="566" customFormat="false" ht="14.35" hidden="false" customHeight="false" outlineLevel="0" collapsed="false">
      <c r="A566" s="4" t="n">
        <v>25142</v>
      </c>
      <c r="B566" s="5" t="n">
        <f aca="false">PostPro4FW!H572</f>
        <v>2396.26486487769</v>
      </c>
      <c r="C566" s="5" t="n">
        <f aca="false">PostPro4FW!M572</f>
        <v>800</v>
      </c>
      <c r="D566" s="5" t="n">
        <f aca="false">PostPro4FW!H572+PostPro4FW!I572</f>
        <v>2396.26486487769</v>
      </c>
      <c r="E566" s="5" t="n">
        <f aca="false">PostPro4FW!S572</f>
        <v>800</v>
      </c>
      <c r="F566" s="5" t="n">
        <f aca="false">PostPro4FW!Q572</f>
        <v>0</v>
      </c>
      <c r="G566" s="0" t="n">
        <f aca="false">PostPro4FW!R572</f>
        <v>0</v>
      </c>
    </row>
    <row r="567" customFormat="false" ht="14.35" hidden="false" customHeight="false" outlineLevel="0" collapsed="false">
      <c r="A567" s="4" t="n">
        <v>25172</v>
      </c>
      <c r="B567" s="5" t="n">
        <f aca="false">PostPro4FW!H573</f>
        <v>1700.60393951068</v>
      </c>
      <c r="C567" s="5" t="n">
        <f aca="false">PostPro4FW!M573</f>
        <v>800</v>
      </c>
      <c r="D567" s="5" t="n">
        <f aca="false">PostPro4FW!H573+PostPro4FW!I573</f>
        <v>1700.60393951068</v>
      </c>
      <c r="E567" s="5" t="n">
        <f aca="false">PostPro4FW!S573</f>
        <v>800</v>
      </c>
      <c r="F567" s="5" t="n">
        <f aca="false">PostPro4FW!Q573</f>
        <v>0</v>
      </c>
      <c r="G567" s="0" t="n">
        <f aca="false">PostPro4FW!R573</f>
        <v>0</v>
      </c>
    </row>
    <row r="568" customFormat="false" ht="14.35" hidden="false" customHeight="false" outlineLevel="0" collapsed="false">
      <c r="A568" s="4" t="n">
        <v>25203</v>
      </c>
      <c r="B568" s="5" t="n">
        <f aca="false">PostPro4FW!H574</f>
        <v>1700</v>
      </c>
      <c r="C568" s="5" t="n">
        <f aca="false">PostPro4FW!M574</f>
        <v>800</v>
      </c>
      <c r="D568" s="5" t="n">
        <f aca="false">PostPro4FW!H574+PostPro4FW!I574</f>
        <v>1700</v>
      </c>
      <c r="E568" s="5" t="n">
        <f aca="false">PostPro4FW!S574</f>
        <v>800</v>
      </c>
      <c r="F568" s="5" t="n">
        <f aca="false">PostPro4FW!Q574</f>
        <v>0</v>
      </c>
      <c r="G568" s="0" t="n">
        <f aca="false">PostPro4FW!R574</f>
        <v>0</v>
      </c>
    </row>
    <row r="569" customFormat="false" ht="14.35" hidden="false" customHeight="false" outlineLevel="0" collapsed="false">
      <c r="A569" s="4" t="n">
        <v>25234</v>
      </c>
      <c r="B569" s="5" t="n">
        <f aca="false">PostPro4FW!H575</f>
        <v>6453.98998695442</v>
      </c>
      <c r="C569" s="5" t="n">
        <f aca="false">PostPro4FW!M575</f>
        <v>800</v>
      </c>
      <c r="D569" s="5" t="n">
        <f aca="false">PostPro4FW!H575+PostPro4FW!I575</f>
        <v>6453.98998695442</v>
      </c>
      <c r="E569" s="5" t="n">
        <f aca="false">PostPro4FW!S575</f>
        <v>800</v>
      </c>
      <c r="F569" s="5" t="n">
        <f aca="false">PostPro4FW!Q575</f>
        <v>0</v>
      </c>
      <c r="G569" s="0" t="n">
        <f aca="false">PostPro4FW!R575</f>
        <v>0</v>
      </c>
    </row>
    <row r="570" customFormat="false" ht="14.35" hidden="false" customHeight="false" outlineLevel="0" collapsed="false">
      <c r="A570" s="4" t="n">
        <v>25262</v>
      </c>
      <c r="B570" s="5" t="n">
        <f aca="false">PostPro4FW!H576</f>
        <v>12472.486521228</v>
      </c>
      <c r="C570" s="5" t="n">
        <f aca="false">PostPro4FW!M576</f>
        <v>800</v>
      </c>
      <c r="D570" s="5" t="n">
        <f aca="false">PostPro4FW!H576+PostPro4FW!I576</f>
        <v>12472.486521228</v>
      </c>
      <c r="E570" s="5" t="n">
        <f aca="false">PostPro4FW!S576</f>
        <v>800</v>
      </c>
      <c r="F570" s="5" t="n">
        <f aca="false">PostPro4FW!Q576</f>
        <v>0</v>
      </c>
      <c r="G570" s="0" t="n">
        <f aca="false">PostPro4FW!R576</f>
        <v>0</v>
      </c>
    </row>
    <row r="571" customFormat="false" ht="14.35" hidden="false" customHeight="false" outlineLevel="0" collapsed="false">
      <c r="A571" s="4" t="n">
        <v>25293</v>
      </c>
      <c r="B571" s="5" t="n">
        <f aca="false">PostPro4FW!H577</f>
        <v>6449.60628360804</v>
      </c>
      <c r="C571" s="5" t="n">
        <f aca="false">PostPro4FW!M577</f>
        <v>800</v>
      </c>
      <c r="D571" s="5" t="n">
        <f aca="false">PostPro4FW!H577+PostPro4FW!I577</f>
        <v>6449.60628360804</v>
      </c>
      <c r="E571" s="5" t="n">
        <f aca="false">PostPro4FW!S577</f>
        <v>800</v>
      </c>
      <c r="F571" s="5" t="n">
        <f aca="false">PostPro4FW!Q577</f>
        <v>0</v>
      </c>
      <c r="G571" s="0" t="n">
        <f aca="false">PostPro4FW!R577</f>
        <v>0</v>
      </c>
    </row>
    <row r="572" customFormat="false" ht="14.35" hidden="false" customHeight="false" outlineLevel="0" collapsed="false">
      <c r="A572" s="4" t="n">
        <v>25323</v>
      </c>
      <c r="B572" s="5" t="n">
        <f aca="false">PostPro4FW!H578</f>
        <v>7559.97542206831</v>
      </c>
      <c r="C572" s="5" t="n">
        <f aca="false">PostPro4FW!M578</f>
        <v>700</v>
      </c>
      <c r="D572" s="5" t="n">
        <f aca="false">PostPro4FW!H578+PostPro4FW!I578</f>
        <v>7559.97542206831</v>
      </c>
      <c r="E572" s="5" t="n">
        <f aca="false">PostPro4FW!S578</f>
        <v>700</v>
      </c>
      <c r="F572" s="5" t="n">
        <f aca="false">PostPro4FW!Q578</f>
        <v>0</v>
      </c>
      <c r="G572" s="0" t="n">
        <f aca="false">PostPro4FW!R578</f>
        <v>0</v>
      </c>
    </row>
    <row r="573" customFormat="false" ht="14.35" hidden="false" customHeight="false" outlineLevel="0" collapsed="false">
      <c r="A573" s="4" t="n">
        <v>25354</v>
      </c>
      <c r="B573" s="5" t="n">
        <f aca="false">PostPro4FW!H579</f>
        <v>12825.0923709155</v>
      </c>
      <c r="C573" s="5" t="n">
        <f aca="false">PostPro4FW!M579</f>
        <v>700</v>
      </c>
      <c r="D573" s="5" t="n">
        <f aca="false">PostPro4FW!H579+PostPro4FW!I579</f>
        <v>12825.0923709155</v>
      </c>
      <c r="E573" s="5" t="n">
        <f aca="false">PostPro4FW!S579</f>
        <v>700</v>
      </c>
      <c r="F573" s="5" t="n">
        <f aca="false">PostPro4FW!Q579</f>
        <v>0</v>
      </c>
      <c r="G573" s="0" t="n">
        <f aca="false">PostPro4FW!R579</f>
        <v>0</v>
      </c>
    </row>
    <row r="574" customFormat="false" ht="14.35" hidden="false" customHeight="false" outlineLevel="0" collapsed="false">
      <c r="A574" s="4" t="n">
        <v>25384</v>
      </c>
      <c r="B574" s="5" t="n">
        <f aca="false">PostPro4FW!H580</f>
        <v>3740.85142656803</v>
      </c>
      <c r="C574" s="5" t="n">
        <f aca="false">PostPro4FW!M580</f>
        <v>700</v>
      </c>
      <c r="D574" s="5" t="n">
        <f aca="false">PostPro4FW!H580+PostPro4FW!I580</f>
        <v>3740.85142656803</v>
      </c>
      <c r="E574" s="5" t="n">
        <f aca="false">PostPro4FW!S580</f>
        <v>700</v>
      </c>
      <c r="F574" s="5" t="n">
        <f aca="false">PostPro4FW!Q580</f>
        <v>0</v>
      </c>
      <c r="G574" s="0" t="n">
        <f aca="false">PostPro4FW!R580</f>
        <v>0</v>
      </c>
    </row>
    <row r="575" customFormat="false" ht="14.35" hidden="false" customHeight="false" outlineLevel="0" collapsed="false">
      <c r="A575" s="4" t="n">
        <v>25415</v>
      </c>
      <c r="B575" s="5" t="n">
        <f aca="false">PostPro4FW!H581</f>
        <v>5409.12471617888</v>
      </c>
      <c r="C575" s="5" t="n">
        <f aca="false">PostPro4FW!M581</f>
        <v>700</v>
      </c>
      <c r="D575" s="5" t="n">
        <f aca="false">PostPro4FW!H581+PostPro4FW!I581</f>
        <v>5409.12471617888</v>
      </c>
      <c r="E575" s="5" t="n">
        <f aca="false">PostPro4FW!S581</f>
        <v>700</v>
      </c>
      <c r="F575" s="5" t="n">
        <f aca="false">PostPro4FW!Q581</f>
        <v>0</v>
      </c>
      <c r="G575" s="0" t="n">
        <f aca="false">PostPro4FW!R581</f>
        <v>0</v>
      </c>
    </row>
    <row r="576" customFormat="false" ht="14.35" hidden="false" customHeight="false" outlineLevel="0" collapsed="false">
      <c r="A576" s="4" t="n">
        <v>25446</v>
      </c>
      <c r="B576" s="5" t="n">
        <f aca="false">PostPro4FW!H582</f>
        <v>4434.95106326214</v>
      </c>
      <c r="C576" s="5" t="n">
        <f aca="false">PostPro4FW!M582</f>
        <v>700</v>
      </c>
      <c r="D576" s="5" t="n">
        <f aca="false">PostPro4FW!H582+PostPro4FW!I582</f>
        <v>4434.95106326214</v>
      </c>
      <c r="E576" s="5" t="n">
        <f aca="false">PostPro4FW!S582</f>
        <v>700</v>
      </c>
      <c r="F576" s="5" t="n">
        <f aca="false">PostPro4FW!Q582</f>
        <v>0</v>
      </c>
      <c r="G576" s="0" t="n">
        <f aca="false">PostPro4FW!R582</f>
        <v>0</v>
      </c>
    </row>
    <row r="577" customFormat="false" ht="14.35" hidden="false" customHeight="false" outlineLevel="0" collapsed="false">
      <c r="A577" s="4" t="n">
        <v>25476</v>
      </c>
      <c r="B577" s="5" t="n">
        <f aca="false">PostPro4FW!H583</f>
        <v>9802.1974182129</v>
      </c>
      <c r="C577" s="5" t="n">
        <f aca="false">PostPro4FW!M583</f>
        <v>773.3333333</v>
      </c>
      <c r="D577" s="5" t="n">
        <f aca="false">PostPro4FW!H583+PostPro4FW!I583</f>
        <v>9802.1974182129</v>
      </c>
      <c r="E577" s="5" t="n">
        <f aca="false">PostPro4FW!S583</f>
        <v>773.3333333</v>
      </c>
      <c r="F577" s="5" t="n">
        <f aca="false">PostPro4FW!Q583</f>
        <v>0</v>
      </c>
      <c r="G577" s="0" t="n">
        <f aca="false">PostPro4FW!R583</f>
        <v>0</v>
      </c>
    </row>
    <row r="578" customFormat="false" ht="14.35" hidden="false" customHeight="false" outlineLevel="0" collapsed="false">
      <c r="A578" s="4" t="n">
        <v>25507</v>
      </c>
      <c r="B578" s="5" t="n">
        <f aca="false">PostPro4FW!H584</f>
        <v>4000</v>
      </c>
      <c r="C578" s="5" t="n">
        <f aca="false">PostPro4FW!M584</f>
        <v>800</v>
      </c>
      <c r="D578" s="5" t="n">
        <f aca="false">PostPro4FW!H584+PostPro4FW!I584</f>
        <v>4000</v>
      </c>
      <c r="E578" s="5" t="n">
        <f aca="false">PostPro4FW!S584</f>
        <v>800</v>
      </c>
      <c r="F578" s="5" t="n">
        <f aca="false">PostPro4FW!Q584</f>
        <v>0</v>
      </c>
      <c r="G578" s="0" t="n">
        <f aca="false">PostPro4FW!R584</f>
        <v>0</v>
      </c>
    </row>
    <row r="579" customFormat="false" ht="14.35" hidden="false" customHeight="false" outlineLevel="0" collapsed="false">
      <c r="A579" s="4" t="n">
        <v>25537</v>
      </c>
      <c r="B579" s="5" t="n">
        <f aca="false">PostPro4FW!H585</f>
        <v>2500</v>
      </c>
      <c r="C579" s="5" t="n">
        <f aca="false">PostPro4FW!M585</f>
        <v>800</v>
      </c>
      <c r="D579" s="5" t="n">
        <f aca="false">PostPro4FW!H585+PostPro4FW!I585</f>
        <v>2500</v>
      </c>
      <c r="E579" s="5" t="n">
        <f aca="false">PostPro4FW!S585</f>
        <v>800</v>
      </c>
      <c r="F579" s="5" t="n">
        <f aca="false">PostPro4FW!Q585</f>
        <v>0</v>
      </c>
      <c r="G579" s="0" t="n">
        <f aca="false">PostPro4FW!R585</f>
        <v>0</v>
      </c>
    </row>
    <row r="580" customFormat="false" ht="14.35" hidden="false" customHeight="false" outlineLevel="0" collapsed="false">
      <c r="A580" s="4" t="n">
        <v>25568</v>
      </c>
      <c r="B580" s="5" t="n">
        <f aca="false">PostPro4FW!H586</f>
        <v>1700</v>
      </c>
      <c r="C580" s="5" t="n">
        <f aca="false">PostPro4FW!M586</f>
        <v>800</v>
      </c>
      <c r="D580" s="5" t="n">
        <f aca="false">PostPro4FW!H586+PostPro4FW!I586</f>
        <v>1700</v>
      </c>
      <c r="E580" s="5" t="n">
        <f aca="false">PostPro4FW!S586</f>
        <v>800</v>
      </c>
      <c r="F580" s="5" t="n">
        <f aca="false">PostPro4FW!Q586</f>
        <v>0</v>
      </c>
      <c r="G580" s="0" t="n">
        <f aca="false">PostPro4FW!R586</f>
        <v>0</v>
      </c>
    </row>
    <row r="581" customFormat="false" ht="14.35" hidden="false" customHeight="false" outlineLevel="0" collapsed="false">
      <c r="A581" s="4" t="n">
        <v>25599</v>
      </c>
      <c r="B581" s="5" t="n">
        <f aca="false">PostPro4FW!H587</f>
        <v>35769.8686162006</v>
      </c>
      <c r="C581" s="5" t="n">
        <f aca="false">PostPro4FW!M587</f>
        <v>800</v>
      </c>
      <c r="D581" s="5" t="n">
        <f aca="false">PostPro4FW!H587+PostPro4FW!I587</f>
        <v>35769.8686162006</v>
      </c>
      <c r="E581" s="5" t="n">
        <f aca="false">PostPro4FW!S587</f>
        <v>800</v>
      </c>
      <c r="F581" s="5" t="n">
        <f aca="false">PostPro4FW!Q587</f>
        <v>0</v>
      </c>
      <c r="G581" s="0" t="n">
        <f aca="false">PostPro4FW!R587</f>
        <v>0</v>
      </c>
    </row>
    <row r="582" customFormat="false" ht="14.35" hidden="false" customHeight="false" outlineLevel="0" collapsed="false">
      <c r="A582" s="4" t="n">
        <v>25627</v>
      </c>
      <c r="B582" s="5" t="n">
        <f aca="false">PostPro4FW!H588</f>
        <v>10654.5581216252</v>
      </c>
      <c r="C582" s="5" t="n">
        <f aca="false">PostPro4FW!M588</f>
        <v>800</v>
      </c>
      <c r="D582" s="5" t="n">
        <f aca="false">PostPro4FW!H588+PostPro4FW!I588</f>
        <v>10654.5581216252</v>
      </c>
      <c r="E582" s="5" t="n">
        <f aca="false">PostPro4FW!S588</f>
        <v>800</v>
      </c>
      <c r="F582" s="5" t="n">
        <f aca="false">PostPro4FW!Q588</f>
        <v>0</v>
      </c>
      <c r="G582" s="0" t="n">
        <f aca="false">PostPro4FW!R588</f>
        <v>0</v>
      </c>
    </row>
    <row r="583" customFormat="false" ht="14.35" hidden="false" customHeight="false" outlineLevel="0" collapsed="false">
      <c r="A583" s="4" t="n">
        <v>25658</v>
      </c>
      <c r="B583" s="5" t="n">
        <f aca="false">PostPro4FW!H589</f>
        <v>4108.83402382985</v>
      </c>
      <c r="C583" s="5" t="n">
        <f aca="false">PostPro4FW!M589</f>
        <v>800</v>
      </c>
      <c r="D583" s="5" t="n">
        <f aca="false">PostPro4FW!H589+PostPro4FW!I589</f>
        <v>4108.83402382985</v>
      </c>
      <c r="E583" s="5" t="n">
        <f aca="false">PostPro4FW!S589</f>
        <v>800</v>
      </c>
      <c r="F583" s="5" t="n">
        <f aca="false">PostPro4FW!Q589</f>
        <v>0</v>
      </c>
      <c r="G583" s="0" t="n">
        <f aca="false">PostPro4FW!R589</f>
        <v>0</v>
      </c>
    </row>
    <row r="584" customFormat="false" ht="14.35" hidden="false" customHeight="false" outlineLevel="0" collapsed="false">
      <c r="A584" s="4" t="n">
        <v>25688</v>
      </c>
      <c r="B584" s="5" t="n">
        <f aca="false">PostPro4FW!H590</f>
        <v>1357.21306350448</v>
      </c>
      <c r="C584" s="5" t="n">
        <f aca="false">PostPro4FW!M590</f>
        <v>700</v>
      </c>
      <c r="D584" s="5" t="n">
        <f aca="false">PostPro4FW!H590+PostPro4FW!I590</f>
        <v>1357.21306350448</v>
      </c>
      <c r="E584" s="5" t="n">
        <f aca="false">PostPro4FW!S590</f>
        <v>700</v>
      </c>
      <c r="F584" s="5" t="n">
        <f aca="false">PostPro4FW!Q590</f>
        <v>0</v>
      </c>
      <c r="G584" s="0" t="n">
        <f aca="false">PostPro4FW!R590</f>
        <v>0</v>
      </c>
    </row>
    <row r="585" customFormat="false" ht="14.35" hidden="false" customHeight="false" outlineLevel="0" collapsed="false">
      <c r="A585" s="4" t="n">
        <v>25719</v>
      </c>
      <c r="B585" s="5" t="n">
        <f aca="false">PostPro4FW!H591</f>
        <v>1000</v>
      </c>
      <c r="C585" s="5" t="n">
        <f aca="false">PostPro4FW!M591</f>
        <v>700</v>
      </c>
      <c r="D585" s="5" t="n">
        <f aca="false">PostPro4FW!H591+PostPro4FW!I591</f>
        <v>1000</v>
      </c>
      <c r="E585" s="5" t="n">
        <f aca="false">PostPro4FW!S591</f>
        <v>700</v>
      </c>
      <c r="F585" s="5" t="n">
        <f aca="false">PostPro4FW!Q591</f>
        <v>0</v>
      </c>
      <c r="G585" s="0" t="n">
        <f aca="false">PostPro4FW!R591</f>
        <v>0</v>
      </c>
    </row>
    <row r="586" customFormat="false" ht="14.35" hidden="false" customHeight="false" outlineLevel="0" collapsed="false">
      <c r="A586" s="4" t="n">
        <v>25749</v>
      </c>
      <c r="B586" s="5" t="n">
        <f aca="false">PostPro4FW!H592</f>
        <v>1895.48884746093</v>
      </c>
      <c r="C586" s="5" t="n">
        <f aca="false">PostPro4FW!M592</f>
        <v>700</v>
      </c>
      <c r="D586" s="5" t="n">
        <f aca="false">PostPro4FW!H592+PostPro4FW!I592</f>
        <v>1895.48884746093</v>
      </c>
      <c r="E586" s="5" t="n">
        <f aca="false">PostPro4FW!S592</f>
        <v>700</v>
      </c>
      <c r="F586" s="5" t="n">
        <f aca="false">PostPro4FW!Q592</f>
        <v>0</v>
      </c>
      <c r="G586" s="0" t="n">
        <f aca="false">PostPro4FW!R592</f>
        <v>0</v>
      </c>
    </row>
    <row r="587" customFormat="false" ht="14.35" hidden="false" customHeight="false" outlineLevel="0" collapsed="false">
      <c r="A587" s="4" t="n">
        <v>25780</v>
      </c>
      <c r="B587" s="5" t="n">
        <f aca="false">PostPro4FW!H593</f>
        <v>8816.19825514669</v>
      </c>
      <c r="C587" s="5" t="n">
        <f aca="false">PostPro4FW!M593</f>
        <v>700</v>
      </c>
      <c r="D587" s="5" t="n">
        <f aca="false">PostPro4FW!H593+PostPro4FW!I593</f>
        <v>8816.19825514669</v>
      </c>
      <c r="E587" s="5" t="n">
        <f aca="false">PostPro4FW!S593</f>
        <v>700</v>
      </c>
      <c r="F587" s="5" t="n">
        <f aca="false">PostPro4FW!Q593</f>
        <v>0</v>
      </c>
      <c r="G587" s="0" t="n">
        <f aca="false">PostPro4FW!R593</f>
        <v>0</v>
      </c>
    </row>
    <row r="588" customFormat="false" ht="14.35" hidden="false" customHeight="false" outlineLevel="0" collapsed="false">
      <c r="A588" s="4" t="n">
        <v>25811</v>
      </c>
      <c r="B588" s="5" t="n">
        <f aca="false">PostPro4FW!H594</f>
        <v>8039.35837960642</v>
      </c>
      <c r="C588" s="5" t="n">
        <f aca="false">PostPro4FW!M594</f>
        <v>700</v>
      </c>
      <c r="D588" s="5" t="n">
        <f aca="false">PostPro4FW!H594+PostPro4FW!I594</f>
        <v>8039.35837960642</v>
      </c>
      <c r="E588" s="5" t="n">
        <f aca="false">PostPro4FW!S594</f>
        <v>700</v>
      </c>
      <c r="F588" s="5" t="n">
        <f aca="false">PostPro4FW!Q594</f>
        <v>0</v>
      </c>
      <c r="G588" s="0" t="n">
        <f aca="false">PostPro4FW!R594</f>
        <v>0</v>
      </c>
    </row>
    <row r="589" customFormat="false" ht="14.35" hidden="false" customHeight="false" outlineLevel="0" collapsed="false">
      <c r="A589" s="4" t="n">
        <v>25841</v>
      </c>
      <c r="B589" s="5" t="n">
        <f aca="false">PostPro4FW!H595</f>
        <v>9498.50025213506</v>
      </c>
      <c r="C589" s="5" t="n">
        <f aca="false">PostPro4FW!M595</f>
        <v>773.3333333</v>
      </c>
      <c r="D589" s="5" t="n">
        <f aca="false">PostPro4FW!H595+PostPro4FW!I595</f>
        <v>9498.50025213506</v>
      </c>
      <c r="E589" s="5" t="n">
        <f aca="false">PostPro4FW!S595</f>
        <v>773.3333333</v>
      </c>
      <c r="F589" s="5" t="n">
        <f aca="false">PostPro4FW!Q595</f>
        <v>0</v>
      </c>
      <c r="G589" s="0" t="n">
        <f aca="false">PostPro4FW!R595</f>
        <v>0</v>
      </c>
    </row>
    <row r="590" customFormat="false" ht="14.35" hidden="false" customHeight="false" outlineLevel="0" collapsed="false">
      <c r="A590" s="4" t="n">
        <v>25872</v>
      </c>
      <c r="B590" s="5" t="n">
        <f aca="false">PostPro4FW!H596</f>
        <v>1700</v>
      </c>
      <c r="C590" s="5" t="n">
        <f aca="false">PostPro4FW!M596</f>
        <v>800</v>
      </c>
      <c r="D590" s="5" t="n">
        <f aca="false">PostPro4FW!H596+PostPro4FW!I596</f>
        <v>1700</v>
      </c>
      <c r="E590" s="5" t="n">
        <f aca="false">PostPro4FW!S596</f>
        <v>800</v>
      </c>
      <c r="F590" s="5" t="n">
        <f aca="false">PostPro4FW!Q596</f>
        <v>0</v>
      </c>
      <c r="G590" s="0" t="n">
        <f aca="false">PostPro4FW!R596</f>
        <v>0</v>
      </c>
    </row>
    <row r="591" customFormat="false" ht="14.35" hidden="false" customHeight="false" outlineLevel="0" collapsed="false">
      <c r="A591" s="4" t="n">
        <v>25902</v>
      </c>
      <c r="B591" s="5" t="n">
        <f aca="false">PostPro4FW!H597</f>
        <v>2641.20756484221</v>
      </c>
      <c r="C591" s="5" t="n">
        <f aca="false">PostPro4FW!M597</f>
        <v>800</v>
      </c>
      <c r="D591" s="5" t="n">
        <f aca="false">PostPro4FW!H597+PostPro4FW!I597</f>
        <v>2641.20756484221</v>
      </c>
      <c r="E591" s="5" t="n">
        <f aca="false">PostPro4FW!S597</f>
        <v>800</v>
      </c>
      <c r="F591" s="5" t="n">
        <f aca="false">PostPro4FW!Q597</f>
        <v>0</v>
      </c>
      <c r="G591" s="0" t="n">
        <f aca="false">PostPro4FW!R597</f>
        <v>0</v>
      </c>
    </row>
    <row r="592" customFormat="false" ht="14.35" hidden="false" customHeight="false" outlineLevel="0" collapsed="false">
      <c r="A592" s="4" t="n">
        <v>25933</v>
      </c>
      <c r="B592" s="5" t="n">
        <f aca="false">PostPro4FW!H598</f>
        <v>2141.20756484221</v>
      </c>
      <c r="C592" s="5" t="n">
        <f aca="false">PostPro4FW!M598</f>
        <v>800</v>
      </c>
      <c r="D592" s="5" t="n">
        <f aca="false">PostPro4FW!H598+PostPro4FW!I598</f>
        <v>2141.20756484221</v>
      </c>
      <c r="E592" s="5" t="n">
        <f aca="false">PostPro4FW!S598</f>
        <v>800</v>
      </c>
      <c r="F592" s="5" t="n">
        <f aca="false">PostPro4FW!Q598</f>
        <v>0</v>
      </c>
      <c r="G592" s="0" t="n">
        <f aca="false">PostPro4FW!R598</f>
        <v>0</v>
      </c>
    </row>
    <row r="593" customFormat="false" ht="14.35" hidden="false" customHeight="false" outlineLevel="0" collapsed="false">
      <c r="A593" s="4" t="n">
        <v>25964</v>
      </c>
      <c r="B593" s="5" t="n">
        <f aca="false">PostPro4FW!H599</f>
        <v>2141.20756484221</v>
      </c>
      <c r="C593" s="5" t="n">
        <f aca="false">PostPro4FW!M599</f>
        <v>800</v>
      </c>
      <c r="D593" s="5" t="n">
        <f aca="false">PostPro4FW!H599+PostPro4FW!I599</f>
        <v>2141.20756484221</v>
      </c>
      <c r="E593" s="5" t="n">
        <f aca="false">PostPro4FW!S599</f>
        <v>800</v>
      </c>
      <c r="F593" s="5" t="n">
        <f aca="false">PostPro4FW!Q599</f>
        <v>0</v>
      </c>
      <c r="G593" s="0" t="n">
        <f aca="false">PostPro4FW!R599</f>
        <v>0</v>
      </c>
    </row>
    <row r="594" customFormat="false" ht="14.35" hidden="false" customHeight="false" outlineLevel="0" collapsed="false">
      <c r="A594" s="4" t="n">
        <v>25992</v>
      </c>
      <c r="B594" s="5" t="n">
        <f aca="false">PostPro4FW!H600</f>
        <v>2141.20756484221</v>
      </c>
      <c r="C594" s="5" t="n">
        <f aca="false">PostPro4FW!M600</f>
        <v>800</v>
      </c>
      <c r="D594" s="5" t="n">
        <f aca="false">PostPro4FW!H600+PostPro4FW!I600</f>
        <v>2141.20756484221</v>
      </c>
      <c r="E594" s="5" t="n">
        <f aca="false">PostPro4FW!S600</f>
        <v>800</v>
      </c>
      <c r="F594" s="5" t="n">
        <f aca="false">PostPro4FW!Q600</f>
        <v>0</v>
      </c>
      <c r="G594" s="0" t="n">
        <f aca="false">PostPro4FW!R600</f>
        <v>0</v>
      </c>
    </row>
    <row r="595" customFormat="false" ht="14.35" hidden="false" customHeight="false" outlineLevel="0" collapsed="false">
      <c r="A595" s="4" t="n">
        <v>26023</v>
      </c>
      <c r="B595" s="5" t="n">
        <f aca="false">PostPro4FW!H601</f>
        <v>3185.64238460659</v>
      </c>
      <c r="C595" s="5" t="n">
        <f aca="false">PostPro4FW!M601</f>
        <v>800</v>
      </c>
      <c r="D595" s="5" t="n">
        <f aca="false">PostPro4FW!H601+PostPro4FW!I601</f>
        <v>3185.64238460659</v>
      </c>
      <c r="E595" s="5" t="n">
        <f aca="false">PostPro4FW!S601</f>
        <v>800</v>
      </c>
      <c r="F595" s="5" t="n">
        <f aca="false">PostPro4FW!Q601</f>
        <v>0</v>
      </c>
      <c r="G595" s="0" t="n">
        <f aca="false">PostPro4FW!R601</f>
        <v>0</v>
      </c>
    </row>
    <row r="596" customFormat="false" ht="14.35" hidden="false" customHeight="false" outlineLevel="0" collapsed="false">
      <c r="A596" s="4" t="n">
        <v>26053</v>
      </c>
      <c r="B596" s="5" t="n">
        <f aca="false">PostPro4FW!H602</f>
        <v>3841.87977465721</v>
      </c>
      <c r="C596" s="5" t="n">
        <f aca="false">PostPro4FW!M602</f>
        <v>700</v>
      </c>
      <c r="D596" s="5" t="n">
        <f aca="false">PostPro4FW!H602+PostPro4FW!I602</f>
        <v>3841.87977465721</v>
      </c>
      <c r="E596" s="5" t="n">
        <f aca="false">PostPro4FW!S602</f>
        <v>700</v>
      </c>
      <c r="F596" s="5" t="n">
        <f aca="false">PostPro4FW!Q602</f>
        <v>0</v>
      </c>
      <c r="G596" s="0" t="n">
        <f aca="false">PostPro4FW!R602</f>
        <v>0</v>
      </c>
    </row>
    <row r="597" customFormat="false" ht="14.35" hidden="false" customHeight="false" outlineLevel="0" collapsed="false">
      <c r="A597" s="4" t="n">
        <v>26084</v>
      </c>
      <c r="B597" s="5" t="n">
        <f aca="false">PostPro4FW!H603</f>
        <v>8569.25095727019</v>
      </c>
      <c r="C597" s="5" t="n">
        <f aca="false">PostPro4FW!M603</f>
        <v>700</v>
      </c>
      <c r="D597" s="5" t="n">
        <f aca="false">PostPro4FW!H603+PostPro4FW!I603</f>
        <v>8569.25095727019</v>
      </c>
      <c r="E597" s="5" t="n">
        <f aca="false">PostPro4FW!S603</f>
        <v>700</v>
      </c>
      <c r="F597" s="5" t="n">
        <f aca="false">PostPro4FW!Q603</f>
        <v>0</v>
      </c>
      <c r="G597" s="0" t="n">
        <f aca="false">PostPro4FW!R603</f>
        <v>0</v>
      </c>
    </row>
    <row r="598" customFormat="false" ht="14.35" hidden="false" customHeight="false" outlineLevel="0" collapsed="false">
      <c r="A598" s="4" t="n">
        <v>26114</v>
      </c>
      <c r="B598" s="5" t="n">
        <f aca="false">PostPro4FW!H604</f>
        <v>5604.59232402613</v>
      </c>
      <c r="C598" s="5" t="n">
        <f aca="false">PostPro4FW!M604</f>
        <v>700</v>
      </c>
      <c r="D598" s="5" t="n">
        <f aca="false">PostPro4FW!H604+PostPro4FW!I604</f>
        <v>5604.59232402613</v>
      </c>
      <c r="E598" s="5" t="n">
        <f aca="false">PostPro4FW!S604</f>
        <v>700</v>
      </c>
      <c r="F598" s="5" t="n">
        <f aca="false">PostPro4FW!Q604</f>
        <v>0</v>
      </c>
      <c r="G598" s="0" t="n">
        <f aca="false">PostPro4FW!R604</f>
        <v>0</v>
      </c>
    </row>
    <row r="599" customFormat="false" ht="14.35" hidden="false" customHeight="false" outlineLevel="0" collapsed="false">
      <c r="A599" s="4" t="n">
        <v>26145</v>
      </c>
      <c r="B599" s="5" t="n">
        <f aca="false">PostPro4FW!H605</f>
        <v>9002.67779164201</v>
      </c>
      <c r="C599" s="5" t="n">
        <f aca="false">PostPro4FW!M605</f>
        <v>700</v>
      </c>
      <c r="D599" s="5" t="n">
        <f aca="false">PostPro4FW!H605+PostPro4FW!I605</f>
        <v>9002.67779164201</v>
      </c>
      <c r="E599" s="5" t="n">
        <f aca="false">PostPro4FW!S605</f>
        <v>700</v>
      </c>
      <c r="F599" s="5" t="n">
        <f aca="false">PostPro4FW!Q605</f>
        <v>0</v>
      </c>
      <c r="G599" s="0" t="n">
        <f aca="false">PostPro4FW!R605</f>
        <v>0</v>
      </c>
    </row>
    <row r="600" customFormat="false" ht="14.35" hidden="false" customHeight="false" outlineLevel="0" collapsed="false">
      <c r="A600" s="4" t="n">
        <v>26176</v>
      </c>
      <c r="B600" s="5" t="n">
        <f aca="false">PostPro4FW!H606</f>
        <v>7153.20082194195</v>
      </c>
      <c r="C600" s="5" t="n">
        <f aca="false">PostPro4FW!M606</f>
        <v>700</v>
      </c>
      <c r="D600" s="5" t="n">
        <f aca="false">PostPro4FW!H606+PostPro4FW!I606</f>
        <v>7153.20082194195</v>
      </c>
      <c r="E600" s="5" t="n">
        <f aca="false">PostPro4FW!S606</f>
        <v>700</v>
      </c>
      <c r="F600" s="5" t="n">
        <f aca="false">PostPro4FW!Q606</f>
        <v>0</v>
      </c>
      <c r="G600" s="0" t="n">
        <f aca="false">PostPro4FW!R606</f>
        <v>0</v>
      </c>
    </row>
    <row r="601" customFormat="false" ht="14.35" hidden="false" customHeight="false" outlineLevel="0" collapsed="false">
      <c r="A601" s="4" t="n">
        <v>26206</v>
      </c>
      <c r="B601" s="5" t="n">
        <f aca="false">PostPro4FW!H607</f>
        <v>9526.54671815181</v>
      </c>
      <c r="C601" s="5" t="n">
        <f aca="false">PostPro4FW!M607</f>
        <v>773.3333333</v>
      </c>
      <c r="D601" s="5" t="n">
        <f aca="false">PostPro4FW!H607+PostPro4FW!I607</f>
        <v>9526.54671815181</v>
      </c>
      <c r="E601" s="5" t="n">
        <f aca="false">PostPro4FW!S607</f>
        <v>773.3333333</v>
      </c>
      <c r="F601" s="5" t="n">
        <f aca="false">PostPro4FW!Q607</f>
        <v>0</v>
      </c>
      <c r="G601" s="0" t="n">
        <f aca="false">PostPro4FW!R607</f>
        <v>0</v>
      </c>
    </row>
    <row r="602" customFormat="false" ht="14.35" hidden="false" customHeight="false" outlineLevel="0" collapsed="false">
      <c r="A602" s="4" t="n">
        <v>26237</v>
      </c>
      <c r="B602" s="5" t="n">
        <f aca="false">PostPro4FW!H608</f>
        <v>4000</v>
      </c>
      <c r="C602" s="5" t="n">
        <f aca="false">PostPro4FW!M608</f>
        <v>800</v>
      </c>
      <c r="D602" s="5" t="n">
        <f aca="false">PostPro4FW!H608+PostPro4FW!I608</f>
        <v>4000</v>
      </c>
      <c r="E602" s="5" t="n">
        <f aca="false">PostPro4FW!S608</f>
        <v>800</v>
      </c>
      <c r="F602" s="5" t="n">
        <f aca="false">PostPro4FW!Q608</f>
        <v>0</v>
      </c>
      <c r="G602" s="0" t="n">
        <f aca="false">PostPro4FW!R608</f>
        <v>0</v>
      </c>
    </row>
    <row r="603" customFormat="false" ht="14.35" hidden="false" customHeight="false" outlineLevel="0" collapsed="false">
      <c r="A603" s="4" t="n">
        <v>26267</v>
      </c>
      <c r="B603" s="5" t="n">
        <f aca="false">PostPro4FW!H609</f>
        <v>2500</v>
      </c>
      <c r="C603" s="5" t="n">
        <f aca="false">PostPro4FW!M609</f>
        <v>800</v>
      </c>
      <c r="D603" s="5" t="n">
        <f aca="false">PostPro4FW!H609+PostPro4FW!I609</f>
        <v>2500</v>
      </c>
      <c r="E603" s="5" t="n">
        <f aca="false">PostPro4FW!S609</f>
        <v>800</v>
      </c>
      <c r="F603" s="5" t="n">
        <f aca="false">PostPro4FW!Q609</f>
        <v>0</v>
      </c>
      <c r="G603" s="0" t="n">
        <f aca="false">PostPro4FW!R609</f>
        <v>0</v>
      </c>
    </row>
    <row r="604" customFormat="false" ht="14.35" hidden="false" customHeight="false" outlineLevel="0" collapsed="false">
      <c r="A604" s="4" t="n">
        <v>26298</v>
      </c>
      <c r="B604" s="5" t="n">
        <f aca="false">PostPro4FW!H610</f>
        <v>1700</v>
      </c>
      <c r="C604" s="5" t="n">
        <f aca="false">PostPro4FW!M610</f>
        <v>800</v>
      </c>
      <c r="D604" s="5" t="n">
        <f aca="false">PostPro4FW!H610+PostPro4FW!I610</f>
        <v>1700</v>
      </c>
      <c r="E604" s="5" t="n">
        <f aca="false">PostPro4FW!S610</f>
        <v>800</v>
      </c>
      <c r="F604" s="5" t="n">
        <f aca="false">PostPro4FW!Q610</f>
        <v>0</v>
      </c>
      <c r="G604" s="0" t="n">
        <f aca="false">PostPro4FW!R610</f>
        <v>0</v>
      </c>
    </row>
    <row r="605" customFormat="false" ht="14.35" hidden="false" customHeight="false" outlineLevel="0" collapsed="false">
      <c r="A605" s="4" t="n">
        <v>26329</v>
      </c>
      <c r="B605" s="5" t="n">
        <f aca="false">PostPro4FW!H611</f>
        <v>1700</v>
      </c>
      <c r="C605" s="5" t="n">
        <f aca="false">PostPro4FW!M611</f>
        <v>800</v>
      </c>
      <c r="D605" s="5" t="n">
        <f aca="false">PostPro4FW!H611+PostPro4FW!I611</f>
        <v>1700</v>
      </c>
      <c r="E605" s="5" t="n">
        <f aca="false">PostPro4FW!S611</f>
        <v>800</v>
      </c>
      <c r="F605" s="5" t="n">
        <f aca="false">PostPro4FW!Q611</f>
        <v>0</v>
      </c>
      <c r="G605" s="0" t="n">
        <f aca="false">PostPro4FW!R611</f>
        <v>0</v>
      </c>
    </row>
    <row r="606" customFormat="false" ht="14.35" hidden="false" customHeight="false" outlineLevel="0" collapsed="false">
      <c r="A606" s="4" t="n">
        <v>26358</v>
      </c>
      <c r="B606" s="5" t="n">
        <f aca="false">PostPro4FW!H612</f>
        <v>1700</v>
      </c>
      <c r="C606" s="5" t="n">
        <f aca="false">PostPro4FW!M612</f>
        <v>800</v>
      </c>
      <c r="D606" s="5" t="n">
        <f aca="false">PostPro4FW!H612+PostPro4FW!I612</f>
        <v>1700</v>
      </c>
      <c r="E606" s="5" t="n">
        <f aca="false">PostPro4FW!S612</f>
        <v>1544.8275862069</v>
      </c>
      <c r="F606" s="5" t="n">
        <f aca="false">PostPro4FW!Q612</f>
        <v>1700</v>
      </c>
      <c r="G606" s="0" t="n">
        <f aca="false">PostPro4FW!R612</f>
        <v>24</v>
      </c>
    </row>
    <row r="607" customFormat="false" ht="14.35" hidden="false" customHeight="false" outlineLevel="0" collapsed="false">
      <c r="A607" s="4" t="n">
        <v>26389</v>
      </c>
      <c r="B607" s="5" t="n">
        <f aca="false">PostPro4FW!H613</f>
        <v>1700</v>
      </c>
      <c r="C607" s="5" t="n">
        <f aca="false">PostPro4FW!M613</f>
        <v>800</v>
      </c>
      <c r="D607" s="5" t="n">
        <f aca="false">PostPro4FW!H613+PostPro4FW!I613</f>
        <v>1700</v>
      </c>
      <c r="E607" s="5" t="n">
        <f aca="false">PostPro4FW!S613</f>
        <v>800</v>
      </c>
      <c r="F607" s="5" t="n">
        <f aca="false">PostPro4FW!Q613</f>
        <v>0</v>
      </c>
      <c r="G607" s="0" t="n">
        <f aca="false">PostPro4FW!R613</f>
        <v>0</v>
      </c>
    </row>
    <row r="608" customFormat="false" ht="14.35" hidden="false" customHeight="false" outlineLevel="0" collapsed="false">
      <c r="A608" s="4" t="n">
        <v>26419</v>
      </c>
      <c r="B608" s="5" t="n">
        <f aca="false">PostPro4FW!H614</f>
        <v>1000</v>
      </c>
      <c r="C608" s="5" t="n">
        <f aca="false">PostPro4FW!M614</f>
        <v>700</v>
      </c>
      <c r="D608" s="5" t="n">
        <f aca="false">PostPro4FW!H614+PostPro4FW!I614</f>
        <v>1420.13888888889</v>
      </c>
      <c r="E608" s="5" t="n">
        <f aca="false">PostPro4FW!S614</f>
        <v>700</v>
      </c>
      <c r="F608" s="5" t="n">
        <f aca="false">PostPro4FW!Q614</f>
        <v>0</v>
      </c>
      <c r="G608" s="0" t="n">
        <f aca="false">PostPro4FW!R614</f>
        <v>0</v>
      </c>
    </row>
    <row r="609" customFormat="false" ht="14.35" hidden="false" customHeight="false" outlineLevel="0" collapsed="false">
      <c r="A609" s="4" t="n">
        <v>26450</v>
      </c>
      <c r="B609" s="5" t="n">
        <f aca="false">PostPro4FW!H615</f>
        <v>1000</v>
      </c>
      <c r="C609" s="5" t="n">
        <f aca="false">PostPro4FW!M615</f>
        <v>700</v>
      </c>
      <c r="D609" s="5" t="n">
        <f aca="false">PostPro4FW!H615+PostPro4FW!I615</f>
        <v>1406.58602150538</v>
      </c>
      <c r="E609" s="5" t="n">
        <f aca="false">PostPro4FW!S615</f>
        <v>700</v>
      </c>
      <c r="F609" s="5" t="n">
        <f aca="false">PostPro4FW!Q615</f>
        <v>0</v>
      </c>
      <c r="G609" s="0" t="n">
        <f aca="false">PostPro4FW!R615</f>
        <v>0</v>
      </c>
    </row>
    <row r="610" customFormat="false" ht="14.35" hidden="false" customHeight="false" outlineLevel="0" collapsed="false">
      <c r="A610" s="4" t="n">
        <v>26480</v>
      </c>
      <c r="B610" s="5" t="n">
        <f aca="false">PostPro4FW!H616</f>
        <v>2134.33587346783</v>
      </c>
      <c r="C610" s="5" t="n">
        <f aca="false">PostPro4FW!M616</f>
        <v>700</v>
      </c>
      <c r="D610" s="5" t="n">
        <f aca="false">PostPro4FW!H616+PostPro4FW!I616</f>
        <v>2134.33587346783</v>
      </c>
      <c r="E610" s="5" t="n">
        <f aca="false">PostPro4FW!S616</f>
        <v>700</v>
      </c>
      <c r="F610" s="5" t="n">
        <f aca="false">PostPro4FW!Q616</f>
        <v>0</v>
      </c>
      <c r="G610" s="0" t="n">
        <f aca="false">PostPro4FW!R616</f>
        <v>0</v>
      </c>
    </row>
    <row r="611" customFormat="false" ht="14.35" hidden="false" customHeight="false" outlineLevel="0" collapsed="false">
      <c r="A611" s="4" t="n">
        <v>26511</v>
      </c>
      <c r="B611" s="5" t="n">
        <f aca="false">PostPro4FW!H617</f>
        <v>9097.56445089087</v>
      </c>
      <c r="C611" s="5" t="n">
        <f aca="false">PostPro4FW!M617</f>
        <v>700</v>
      </c>
      <c r="D611" s="5" t="n">
        <f aca="false">PostPro4FW!H617+PostPro4FW!I617</f>
        <v>9097.56445089087</v>
      </c>
      <c r="E611" s="5" t="n">
        <f aca="false">PostPro4FW!S617</f>
        <v>700</v>
      </c>
      <c r="F611" s="5" t="n">
        <f aca="false">PostPro4FW!Q617</f>
        <v>0</v>
      </c>
      <c r="G611" s="0" t="n">
        <f aca="false">PostPro4FW!R617</f>
        <v>0</v>
      </c>
    </row>
    <row r="612" customFormat="false" ht="14.35" hidden="false" customHeight="false" outlineLevel="0" collapsed="false">
      <c r="A612" s="4" t="n">
        <v>26542</v>
      </c>
      <c r="B612" s="5" t="n">
        <f aca="false">PostPro4FW!H618</f>
        <v>7286.25318413119</v>
      </c>
      <c r="C612" s="5" t="n">
        <f aca="false">PostPro4FW!M618</f>
        <v>700</v>
      </c>
      <c r="D612" s="5" t="n">
        <f aca="false">PostPro4FW!H618+PostPro4FW!I618</f>
        <v>7286.25318413119</v>
      </c>
      <c r="E612" s="5" t="n">
        <f aca="false">PostPro4FW!S618</f>
        <v>700</v>
      </c>
      <c r="F612" s="5" t="n">
        <f aca="false">PostPro4FW!Q618</f>
        <v>0</v>
      </c>
      <c r="G612" s="0" t="n">
        <f aca="false">PostPro4FW!R618</f>
        <v>0</v>
      </c>
    </row>
    <row r="613" customFormat="false" ht="14.35" hidden="false" customHeight="false" outlineLevel="0" collapsed="false">
      <c r="A613" s="4" t="n">
        <v>26572</v>
      </c>
      <c r="B613" s="5" t="n">
        <f aca="false">PostPro4FW!H619</f>
        <v>1910.26171942744</v>
      </c>
      <c r="C613" s="5" t="n">
        <f aca="false">PostPro4FW!M619</f>
        <v>773.3333333</v>
      </c>
      <c r="D613" s="5" t="n">
        <f aca="false">PostPro4FW!H619+PostPro4FW!I619</f>
        <v>1910.26171942744</v>
      </c>
      <c r="E613" s="5" t="n">
        <f aca="false">PostPro4FW!S619</f>
        <v>773.3333333</v>
      </c>
      <c r="F613" s="5" t="n">
        <f aca="false">PostPro4FW!Q619</f>
        <v>0</v>
      </c>
      <c r="G613" s="0" t="n">
        <f aca="false">PostPro4FW!R619</f>
        <v>0</v>
      </c>
    </row>
    <row r="614" customFormat="false" ht="14.35" hidden="false" customHeight="false" outlineLevel="0" collapsed="false">
      <c r="A614" s="4" t="n">
        <v>26603</v>
      </c>
      <c r="B614" s="5" t="n">
        <f aca="false">PostPro4FW!H620</f>
        <v>1700</v>
      </c>
      <c r="C614" s="5" t="n">
        <f aca="false">PostPro4FW!M620</f>
        <v>800</v>
      </c>
      <c r="D614" s="5" t="n">
        <f aca="false">PostPro4FW!H620+PostPro4FW!I620</f>
        <v>1700</v>
      </c>
      <c r="E614" s="5" t="n">
        <f aca="false">PostPro4FW!S620</f>
        <v>800</v>
      </c>
      <c r="F614" s="5" t="n">
        <f aca="false">PostPro4FW!Q620</f>
        <v>0</v>
      </c>
      <c r="G614" s="0" t="n">
        <f aca="false">PostPro4FW!R620</f>
        <v>0</v>
      </c>
    </row>
    <row r="615" customFormat="false" ht="14.35" hidden="false" customHeight="false" outlineLevel="0" collapsed="false">
      <c r="A615" s="4" t="n">
        <v>26633</v>
      </c>
      <c r="B615" s="5" t="n">
        <f aca="false">PostPro4FW!H621</f>
        <v>1700</v>
      </c>
      <c r="C615" s="5" t="n">
        <f aca="false">PostPro4FW!M621</f>
        <v>800</v>
      </c>
      <c r="D615" s="5" t="n">
        <f aca="false">PostPro4FW!H621+PostPro4FW!I621</f>
        <v>1700</v>
      </c>
      <c r="E615" s="5" t="n">
        <f aca="false">PostPro4FW!S621</f>
        <v>800</v>
      </c>
      <c r="F615" s="5" t="n">
        <f aca="false">PostPro4FW!Q621</f>
        <v>0</v>
      </c>
      <c r="G615" s="0" t="n">
        <f aca="false">PostPro4FW!R621</f>
        <v>0</v>
      </c>
    </row>
    <row r="616" customFormat="false" ht="14.35" hidden="false" customHeight="false" outlineLevel="0" collapsed="false">
      <c r="A616" s="4" t="n">
        <v>26664</v>
      </c>
      <c r="B616" s="5" t="n">
        <f aca="false">PostPro4FW!H622</f>
        <v>1700</v>
      </c>
      <c r="C616" s="5" t="n">
        <f aca="false">PostPro4FW!M622</f>
        <v>800</v>
      </c>
      <c r="D616" s="5" t="n">
        <f aca="false">PostPro4FW!H622+PostPro4FW!I622</f>
        <v>1700</v>
      </c>
      <c r="E616" s="5" t="n">
        <f aca="false">PostPro4FW!S622</f>
        <v>800</v>
      </c>
      <c r="F616" s="5" t="n">
        <f aca="false">PostPro4FW!Q622</f>
        <v>0</v>
      </c>
      <c r="G616" s="0" t="n">
        <f aca="false">PostPro4FW!R622</f>
        <v>0</v>
      </c>
    </row>
    <row r="617" customFormat="false" ht="14.35" hidden="false" customHeight="false" outlineLevel="0" collapsed="false">
      <c r="A617" s="4" t="n">
        <v>26695</v>
      </c>
      <c r="B617" s="5" t="n">
        <f aca="false">PostPro4FW!H623</f>
        <v>1700.00000000001</v>
      </c>
      <c r="C617" s="5" t="n">
        <f aca="false">PostPro4FW!M623</f>
        <v>800</v>
      </c>
      <c r="D617" s="5" t="n">
        <f aca="false">PostPro4FW!H623+PostPro4FW!I623</f>
        <v>1700.00000000001</v>
      </c>
      <c r="E617" s="5" t="n">
        <f aca="false">PostPro4FW!S623</f>
        <v>800</v>
      </c>
      <c r="F617" s="5" t="n">
        <f aca="false">PostPro4FW!Q623</f>
        <v>0</v>
      </c>
      <c r="G617" s="0" t="n">
        <f aca="false">PostPro4FW!R623</f>
        <v>0</v>
      </c>
    </row>
    <row r="618" customFormat="false" ht="14.35" hidden="false" customHeight="false" outlineLevel="0" collapsed="false">
      <c r="A618" s="4" t="n">
        <v>26723</v>
      </c>
      <c r="B618" s="5" t="n">
        <f aca="false">PostPro4FW!H624</f>
        <v>3313.60147480953</v>
      </c>
      <c r="C618" s="5" t="n">
        <f aca="false">PostPro4FW!M624</f>
        <v>800</v>
      </c>
      <c r="D618" s="5" t="n">
        <f aca="false">PostPro4FW!H624+PostPro4FW!I624</f>
        <v>3313.60147480953</v>
      </c>
      <c r="E618" s="5" t="n">
        <f aca="false">PostPro4FW!S624</f>
        <v>1571.42857142857</v>
      </c>
      <c r="F618" s="5" t="n">
        <f aca="false">PostPro4FW!Q624</f>
        <v>2000</v>
      </c>
      <c r="G618" s="0" t="n">
        <f aca="false">PostPro4FW!R624</f>
        <v>18</v>
      </c>
    </row>
    <row r="619" customFormat="false" ht="14.35" hidden="false" customHeight="false" outlineLevel="0" collapsed="false">
      <c r="A619" s="4" t="n">
        <v>26754</v>
      </c>
      <c r="B619" s="5" t="n">
        <f aca="false">PostPro4FW!H625</f>
        <v>6099.78910277783</v>
      </c>
      <c r="C619" s="5" t="n">
        <f aca="false">PostPro4FW!M625</f>
        <v>800</v>
      </c>
      <c r="D619" s="5" t="n">
        <f aca="false">PostPro4FW!H625+PostPro4FW!I625</f>
        <v>6099.78910277783</v>
      </c>
      <c r="E619" s="5" t="n">
        <f aca="false">PostPro4FW!S625</f>
        <v>800</v>
      </c>
      <c r="F619" s="5" t="n">
        <f aca="false">PostPro4FW!Q625</f>
        <v>0</v>
      </c>
      <c r="G619" s="0" t="n">
        <f aca="false">PostPro4FW!R625</f>
        <v>0</v>
      </c>
    </row>
    <row r="620" customFormat="false" ht="14.35" hidden="false" customHeight="false" outlineLevel="0" collapsed="false">
      <c r="A620" s="4" t="n">
        <v>26784</v>
      </c>
      <c r="B620" s="5" t="n">
        <f aca="false">PostPro4FW!H626</f>
        <v>1000</v>
      </c>
      <c r="C620" s="5" t="n">
        <f aca="false">PostPro4FW!M626</f>
        <v>700</v>
      </c>
      <c r="D620" s="5" t="n">
        <f aca="false">PostPro4FW!H626+PostPro4FW!I626</f>
        <v>1420.13888888889</v>
      </c>
      <c r="E620" s="5" t="n">
        <f aca="false">PostPro4FW!S626</f>
        <v>700</v>
      </c>
      <c r="F620" s="5" t="n">
        <f aca="false">PostPro4FW!Q626</f>
        <v>0</v>
      </c>
      <c r="G620" s="0" t="n">
        <f aca="false">PostPro4FW!R626</f>
        <v>0</v>
      </c>
    </row>
    <row r="621" customFormat="false" ht="14.35" hidden="false" customHeight="false" outlineLevel="0" collapsed="false">
      <c r="A621" s="4" t="n">
        <v>26815</v>
      </c>
      <c r="B621" s="5" t="n">
        <f aca="false">PostPro4FW!H627</f>
        <v>2591.87697597025</v>
      </c>
      <c r="C621" s="5" t="n">
        <f aca="false">PostPro4FW!M627</f>
        <v>700</v>
      </c>
      <c r="D621" s="5" t="n">
        <f aca="false">PostPro4FW!H627+PostPro4FW!I627</f>
        <v>2998.46299747563</v>
      </c>
      <c r="E621" s="5" t="n">
        <f aca="false">PostPro4FW!S627</f>
        <v>700</v>
      </c>
      <c r="F621" s="5" t="n">
        <f aca="false">PostPro4FW!Q627</f>
        <v>0</v>
      </c>
      <c r="G621" s="0" t="n">
        <f aca="false">PostPro4FW!R627</f>
        <v>0</v>
      </c>
    </row>
    <row r="622" customFormat="false" ht="14.35" hidden="false" customHeight="false" outlineLevel="0" collapsed="false">
      <c r="A622" s="4" t="n">
        <v>26845</v>
      </c>
      <c r="B622" s="5" t="n">
        <f aca="false">PostPro4FW!H628</f>
        <v>2666.04123716273</v>
      </c>
      <c r="C622" s="5" t="n">
        <f aca="false">PostPro4FW!M628</f>
        <v>700</v>
      </c>
      <c r="D622" s="5" t="n">
        <f aca="false">PostPro4FW!H628+PostPro4FW!I628</f>
        <v>2666.04123716273</v>
      </c>
      <c r="E622" s="5" t="n">
        <f aca="false">PostPro4FW!S628</f>
        <v>700</v>
      </c>
      <c r="F622" s="5" t="n">
        <f aca="false">PostPro4FW!Q628</f>
        <v>0</v>
      </c>
      <c r="G622" s="0" t="n">
        <f aca="false">PostPro4FW!R628</f>
        <v>0</v>
      </c>
    </row>
    <row r="623" customFormat="false" ht="14.35" hidden="false" customHeight="false" outlineLevel="0" collapsed="false">
      <c r="A623" s="4" t="n">
        <v>26876</v>
      </c>
      <c r="B623" s="5" t="n">
        <f aca="false">PostPro4FW!H629</f>
        <v>8082.10534752659</v>
      </c>
      <c r="C623" s="5" t="n">
        <f aca="false">PostPro4FW!M629</f>
        <v>700</v>
      </c>
      <c r="D623" s="5" t="n">
        <f aca="false">PostPro4FW!H629+PostPro4FW!I629</f>
        <v>8082.10534752659</v>
      </c>
      <c r="E623" s="5" t="n">
        <f aca="false">PostPro4FW!S629</f>
        <v>700</v>
      </c>
      <c r="F623" s="5" t="n">
        <f aca="false">PostPro4FW!Q629</f>
        <v>0</v>
      </c>
      <c r="G623" s="0" t="n">
        <f aca="false">PostPro4FW!R629</f>
        <v>0</v>
      </c>
    </row>
    <row r="624" customFormat="false" ht="14.35" hidden="false" customHeight="false" outlineLevel="0" collapsed="false">
      <c r="A624" s="4" t="n">
        <v>26907</v>
      </c>
      <c r="B624" s="5" t="n">
        <f aca="false">PostPro4FW!H630</f>
        <v>6364.47113199876</v>
      </c>
      <c r="C624" s="5" t="n">
        <f aca="false">PostPro4FW!M630</f>
        <v>700</v>
      </c>
      <c r="D624" s="5" t="n">
        <f aca="false">PostPro4FW!H630+PostPro4FW!I630</f>
        <v>6364.47113199876</v>
      </c>
      <c r="E624" s="5" t="n">
        <f aca="false">PostPro4FW!S630</f>
        <v>700</v>
      </c>
      <c r="F624" s="5" t="n">
        <f aca="false">PostPro4FW!Q630</f>
        <v>0</v>
      </c>
      <c r="G624" s="0" t="n">
        <f aca="false">PostPro4FW!R630</f>
        <v>0</v>
      </c>
    </row>
    <row r="625" customFormat="false" ht="14.35" hidden="false" customHeight="false" outlineLevel="0" collapsed="false">
      <c r="A625" s="4" t="n">
        <v>26937</v>
      </c>
      <c r="B625" s="5" t="n">
        <f aca="false">PostPro4FW!H631</f>
        <v>7056.59533755135</v>
      </c>
      <c r="C625" s="5" t="n">
        <f aca="false">PostPro4FW!M631</f>
        <v>773.3333333</v>
      </c>
      <c r="D625" s="5" t="n">
        <f aca="false">PostPro4FW!H631+PostPro4FW!I631</f>
        <v>7056.59533755135</v>
      </c>
      <c r="E625" s="5" t="n">
        <f aca="false">PostPro4FW!S631</f>
        <v>773.3333333</v>
      </c>
      <c r="F625" s="5" t="n">
        <f aca="false">PostPro4FW!Q631</f>
        <v>0</v>
      </c>
      <c r="G625" s="0" t="n">
        <f aca="false">PostPro4FW!R631</f>
        <v>0</v>
      </c>
    </row>
    <row r="626" customFormat="false" ht="14.35" hidden="false" customHeight="false" outlineLevel="0" collapsed="false">
      <c r="A626" s="4" t="n">
        <v>26968</v>
      </c>
      <c r="B626" s="5" t="n">
        <f aca="false">PostPro4FW!H632</f>
        <v>3517.38544346735</v>
      </c>
      <c r="C626" s="5" t="n">
        <f aca="false">PostPro4FW!M632</f>
        <v>800</v>
      </c>
      <c r="D626" s="5" t="n">
        <f aca="false">PostPro4FW!H632+PostPro4FW!I632</f>
        <v>3517.38544346735</v>
      </c>
      <c r="E626" s="5" t="n">
        <f aca="false">PostPro4FW!S632</f>
        <v>800</v>
      </c>
      <c r="F626" s="5" t="n">
        <f aca="false">PostPro4FW!Q632</f>
        <v>0</v>
      </c>
      <c r="G626" s="0" t="n">
        <f aca="false">PostPro4FW!R632</f>
        <v>0</v>
      </c>
    </row>
    <row r="627" customFormat="false" ht="14.35" hidden="false" customHeight="false" outlineLevel="0" collapsed="false">
      <c r="A627" s="4" t="n">
        <v>26998</v>
      </c>
      <c r="B627" s="5" t="n">
        <f aca="false">PostPro4FW!H633</f>
        <v>1700</v>
      </c>
      <c r="C627" s="5" t="n">
        <f aca="false">PostPro4FW!M633</f>
        <v>800</v>
      </c>
      <c r="D627" s="5" t="n">
        <f aca="false">PostPro4FW!H633+PostPro4FW!I633</f>
        <v>1700</v>
      </c>
      <c r="E627" s="5" t="n">
        <f aca="false">PostPro4FW!S633</f>
        <v>800</v>
      </c>
      <c r="F627" s="5" t="n">
        <f aca="false">PostPro4FW!Q633</f>
        <v>0</v>
      </c>
      <c r="G627" s="0" t="n">
        <f aca="false">PostPro4FW!R633</f>
        <v>0</v>
      </c>
    </row>
    <row r="628" customFormat="false" ht="14.35" hidden="false" customHeight="false" outlineLevel="0" collapsed="false">
      <c r="A628" s="4" t="n">
        <v>27029</v>
      </c>
      <c r="B628" s="5" t="n">
        <f aca="false">PostPro4FW!H634</f>
        <v>3288.59641578649</v>
      </c>
      <c r="C628" s="5" t="n">
        <f aca="false">PostPro4FW!M634</f>
        <v>800</v>
      </c>
      <c r="D628" s="5" t="n">
        <f aca="false">PostPro4FW!H634+PostPro4FW!I634</f>
        <v>3288.59641578649</v>
      </c>
      <c r="E628" s="5" t="n">
        <f aca="false">PostPro4FW!S634</f>
        <v>800</v>
      </c>
      <c r="F628" s="5" t="n">
        <f aca="false">PostPro4FW!Q634</f>
        <v>0</v>
      </c>
      <c r="G628" s="0" t="n">
        <f aca="false">PostPro4FW!R634</f>
        <v>0</v>
      </c>
    </row>
    <row r="629" customFormat="false" ht="14.35" hidden="false" customHeight="false" outlineLevel="0" collapsed="false">
      <c r="A629" s="4" t="n">
        <v>27060</v>
      </c>
      <c r="B629" s="5" t="n">
        <f aca="false">PostPro4FW!H635</f>
        <v>20186.784519593</v>
      </c>
      <c r="C629" s="5" t="n">
        <f aca="false">PostPro4FW!M635</f>
        <v>800</v>
      </c>
      <c r="D629" s="5" t="n">
        <f aca="false">PostPro4FW!H635+PostPro4FW!I635</f>
        <v>20186.784519593</v>
      </c>
      <c r="E629" s="5" t="n">
        <f aca="false">PostPro4FW!S635</f>
        <v>800</v>
      </c>
      <c r="F629" s="5" t="n">
        <f aca="false">PostPro4FW!Q635</f>
        <v>0</v>
      </c>
      <c r="G629" s="0" t="n">
        <f aca="false">PostPro4FW!R635</f>
        <v>0</v>
      </c>
    </row>
    <row r="630" customFormat="false" ht="14.35" hidden="false" customHeight="false" outlineLevel="0" collapsed="false">
      <c r="A630" s="4" t="n">
        <v>27088</v>
      </c>
      <c r="B630" s="5" t="n">
        <f aca="false">PostPro4FW!H636</f>
        <v>5792.21434317689</v>
      </c>
      <c r="C630" s="5" t="n">
        <f aca="false">PostPro4FW!M636</f>
        <v>800</v>
      </c>
      <c r="D630" s="5" t="n">
        <f aca="false">PostPro4FW!H636+PostPro4FW!I636</f>
        <v>5792.21434317689</v>
      </c>
      <c r="E630" s="5" t="n">
        <f aca="false">PostPro4FW!S636</f>
        <v>800</v>
      </c>
      <c r="F630" s="5" t="n">
        <f aca="false">PostPro4FW!Q636</f>
        <v>0</v>
      </c>
      <c r="G630" s="0" t="n">
        <f aca="false">PostPro4FW!R636</f>
        <v>0</v>
      </c>
    </row>
    <row r="631" customFormat="false" ht="14.35" hidden="false" customHeight="false" outlineLevel="0" collapsed="false">
      <c r="A631" s="4" t="n">
        <v>27119</v>
      </c>
      <c r="B631" s="5" t="n">
        <f aca="false">PostPro4FW!H637</f>
        <v>26259.0075737387</v>
      </c>
      <c r="C631" s="5" t="n">
        <f aca="false">PostPro4FW!M637</f>
        <v>800</v>
      </c>
      <c r="D631" s="5" t="n">
        <f aca="false">PostPro4FW!H637+PostPro4FW!I637</f>
        <v>26259.0075737387</v>
      </c>
      <c r="E631" s="5" t="n">
        <f aca="false">PostPro4FW!S637</f>
        <v>800</v>
      </c>
      <c r="F631" s="5" t="n">
        <f aca="false">PostPro4FW!Q637</f>
        <v>0</v>
      </c>
      <c r="G631" s="0" t="n">
        <f aca="false">PostPro4FW!R637</f>
        <v>0</v>
      </c>
    </row>
    <row r="632" customFormat="false" ht="14.35" hidden="false" customHeight="false" outlineLevel="0" collapsed="false">
      <c r="A632" s="4" t="n">
        <v>27149</v>
      </c>
      <c r="B632" s="5" t="n">
        <f aca="false">PostPro4FW!H638</f>
        <v>8450.17985282622</v>
      </c>
      <c r="C632" s="5" t="n">
        <f aca="false">PostPro4FW!M638</f>
        <v>700</v>
      </c>
      <c r="D632" s="5" t="n">
        <f aca="false">PostPro4FW!H638+PostPro4FW!I638</f>
        <v>8450.17985282622</v>
      </c>
      <c r="E632" s="5" t="n">
        <f aca="false">PostPro4FW!S638</f>
        <v>700</v>
      </c>
      <c r="F632" s="5" t="n">
        <f aca="false">PostPro4FW!Q638</f>
        <v>0</v>
      </c>
      <c r="G632" s="0" t="n">
        <f aca="false">PostPro4FW!R638</f>
        <v>0</v>
      </c>
    </row>
    <row r="633" customFormat="false" ht="14.35" hidden="false" customHeight="false" outlineLevel="0" collapsed="false">
      <c r="A633" s="4" t="n">
        <v>27180</v>
      </c>
      <c r="B633" s="5" t="n">
        <f aca="false">PostPro4FW!H639</f>
        <v>5777.79430618486</v>
      </c>
      <c r="C633" s="5" t="n">
        <f aca="false">PostPro4FW!M639</f>
        <v>700</v>
      </c>
      <c r="D633" s="5" t="n">
        <f aca="false">PostPro4FW!H639+PostPro4FW!I639</f>
        <v>5777.79430618486</v>
      </c>
      <c r="E633" s="5" t="n">
        <f aca="false">PostPro4FW!S639</f>
        <v>700</v>
      </c>
      <c r="F633" s="5" t="n">
        <f aca="false">PostPro4FW!Q639</f>
        <v>0</v>
      </c>
      <c r="G633" s="0" t="n">
        <f aca="false">PostPro4FW!R639</f>
        <v>0</v>
      </c>
    </row>
    <row r="634" customFormat="false" ht="14.35" hidden="false" customHeight="false" outlineLevel="0" collapsed="false">
      <c r="A634" s="4" t="n">
        <v>27210</v>
      </c>
      <c r="B634" s="5" t="n">
        <f aca="false">PostPro4FW!H640</f>
        <v>4360.85836182679</v>
      </c>
      <c r="C634" s="5" t="n">
        <f aca="false">PostPro4FW!M640</f>
        <v>700</v>
      </c>
      <c r="D634" s="5" t="n">
        <f aca="false">PostPro4FW!H640+PostPro4FW!I640</f>
        <v>4360.85836182679</v>
      </c>
      <c r="E634" s="5" t="n">
        <f aca="false">PostPro4FW!S640</f>
        <v>700</v>
      </c>
      <c r="F634" s="5" t="n">
        <f aca="false">PostPro4FW!Q640</f>
        <v>0</v>
      </c>
      <c r="G634" s="0" t="n">
        <f aca="false">PostPro4FW!R640</f>
        <v>0</v>
      </c>
    </row>
    <row r="635" customFormat="false" ht="14.35" hidden="false" customHeight="false" outlineLevel="0" collapsed="false">
      <c r="A635" s="4" t="n">
        <v>27241</v>
      </c>
      <c r="B635" s="5" t="n">
        <f aca="false">PostPro4FW!H641</f>
        <v>5319.33346915517</v>
      </c>
      <c r="C635" s="5" t="n">
        <f aca="false">PostPro4FW!M641</f>
        <v>700</v>
      </c>
      <c r="D635" s="5" t="n">
        <f aca="false">PostPro4FW!H641+PostPro4FW!I641</f>
        <v>5319.33346915517</v>
      </c>
      <c r="E635" s="5" t="n">
        <f aca="false">PostPro4FW!S641</f>
        <v>700</v>
      </c>
      <c r="F635" s="5" t="n">
        <f aca="false">PostPro4FW!Q641</f>
        <v>0</v>
      </c>
      <c r="G635" s="0" t="n">
        <f aca="false">PostPro4FW!R641</f>
        <v>0</v>
      </c>
    </row>
    <row r="636" customFormat="false" ht="14.35" hidden="false" customHeight="false" outlineLevel="0" collapsed="false">
      <c r="A636" s="4" t="n">
        <v>27272</v>
      </c>
      <c r="B636" s="5" t="n">
        <f aca="false">PostPro4FW!H642</f>
        <v>1000</v>
      </c>
      <c r="C636" s="5" t="n">
        <f aca="false">PostPro4FW!M642</f>
        <v>700</v>
      </c>
      <c r="D636" s="5" t="n">
        <f aca="false">PostPro4FW!H642+PostPro4FW!I642</f>
        <v>1000</v>
      </c>
      <c r="E636" s="5" t="n">
        <f aca="false">PostPro4FW!S642</f>
        <v>700</v>
      </c>
      <c r="F636" s="5" t="n">
        <f aca="false">PostPro4FW!Q642</f>
        <v>0</v>
      </c>
      <c r="G636" s="0" t="n">
        <f aca="false">PostPro4FW!R642</f>
        <v>0</v>
      </c>
    </row>
    <row r="637" customFormat="false" ht="14.35" hidden="false" customHeight="false" outlineLevel="0" collapsed="false">
      <c r="A637" s="4" t="n">
        <v>27302</v>
      </c>
      <c r="B637" s="5" t="n">
        <f aca="false">PostPro4FW!H643</f>
        <v>8991.57881212228</v>
      </c>
      <c r="C637" s="5" t="n">
        <f aca="false">PostPro4FW!M643</f>
        <v>773.3333333</v>
      </c>
      <c r="D637" s="5" t="n">
        <f aca="false">PostPro4FW!H643+PostPro4FW!I643</f>
        <v>8991.57881212228</v>
      </c>
      <c r="E637" s="5" t="n">
        <f aca="false">PostPro4FW!S643</f>
        <v>773.3333333</v>
      </c>
      <c r="F637" s="5" t="n">
        <f aca="false">PostPro4FW!Q643</f>
        <v>0</v>
      </c>
      <c r="G637" s="0" t="n">
        <f aca="false">PostPro4FW!R643</f>
        <v>0</v>
      </c>
    </row>
    <row r="638" customFormat="false" ht="14.35" hidden="false" customHeight="false" outlineLevel="0" collapsed="false">
      <c r="A638" s="4" t="n">
        <v>27333</v>
      </c>
      <c r="B638" s="5" t="n">
        <f aca="false">PostPro4FW!H644</f>
        <v>4000</v>
      </c>
      <c r="C638" s="5" t="n">
        <f aca="false">PostPro4FW!M644</f>
        <v>800</v>
      </c>
      <c r="D638" s="5" t="n">
        <f aca="false">PostPro4FW!H644+PostPro4FW!I644</f>
        <v>4000</v>
      </c>
      <c r="E638" s="5" t="n">
        <f aca="false">PostPro4FW!S644</f>
        <v>800</v>
      </c>
      <c r="F638" s="5" t="n">
        <f aca="false">PostPro4FW!Q644</f>
        <v>0</v>
      </c>
      <c r="G638" s="0" t="n">
        <f aca="false">PostPro4FW!R644</f>
        <v>0</v>
      </c>
    </row>
    <row r="639" customFormat="false" ht="14.35" hidden="false" customHeight="false" outlineLevel="0" collapsed="false">
      <c r="A639" s="4" t="n">
        <v>27363</v>
      </c>
      <c r="B639" s="5" t="n">
        <f aca="false">PostPro4FW!H645</f>
        <v>2500</v>
      </c>
      <c r="C639" s="5" t="n">
        <f aca="false">PostPro4FW!M645</f>
        <v>800</v>
      </c>
      <c r="D639" s="5" t="n">
        <f aca="false">PostPro4FW!H645+PostPro4FW!I645</f>
        <v>2500</v>
      </c>
      <c r="E639" s="5" t="n">
        <f aca="false">PostPro4FW!S645</f>
        <v>800</v>
      </c>
      <c r="F639" s="5" t="n">
        <f aca="false">PostPro4FW!Q645</f>
        <v>0</v>
      </c>
      <c r="G639" s="0" t="n">
        <f aca="false">PostPro4FW!R645</f>
        <v>0</v>
      </c>
    </row>
    <row r="640" customFormat="false" ht="14.35" hidden="false" customHeight="false" outlineLevel="0" collapsed="false">
      <c r="A640" s="4" t="n">
        <v>27394</v>
      </c>
      <c r="B640" s="5" t="n">
        <f aca="false">PostPro4FW!H646</f>
        <v>2121.80406717363</v>
      </c>
      <c r="C640" s="5" t="n">
        <f aca="false">PostPro4FW!M646</f>
        <v>800</v>
      </c>
      <c r="D640" s="5" t="n">
        <f aca="false">PostPro4FW!H646+PostPro4FW!I646</f>
        <v>2121.80406717363</v>
      </c>
      <c r="E640" s="5" t="n">
        <f aca="false">PostPro4FW!S646</f>
        <v>800</v>
      </c>
      <c r="F640" s="5" t="n">
        <f aca="false">PostPro4FW!Q646</f>
        <v>0</v>
      </c>
      <c r="G640" s="0" t="n">
        <f aca="false">PostPro4FW!R646</f>
        <v>0</v>
      </c>
    </row>
    <row r="641" customFormat="false" ht="14.35" hidden="false" customHeight="false" outlineLevel="0" collapsed="false">
      <c r="A641" s="4" t="n">
        <v>27425</v>
      </c>
      <c r="B641" s="5" t="n">
        <f aca="false">PostPro4FW!H647</f>
        <v>1700</v>
      </c>
      <c r="C641" s="5" t="n">
        <f aca="false">PostPro4FW!M647</f>
        <v>800</v>
      </c>
      <c r="D641" s="5" t="n">
        <f aca="false">PostPro4FW!H647+PostPro4FW!I647</f>
        <v>1700</v>
      </c>
      <c r="E641" s="5" t="n">
        <f aca="false">PostPro4FW!S647</f>
        <v>800</v>
      </c>
      <c r="F641" s="5" t="n">
        <f aca="false">PostPro4FW!Q647</f>
        <v>0</v>
      </c>
      <c r="G641" s="0" t="n">
        <f aca="false">PostPro4FW!R647</f>
        <v>0</v>
      </c>
    </row>
    <row r="642" customFormat="false" ht="14.35" hidden="false" customHeight="false" outlineLevel="0" collapsed="false">
      <c r="A642" s="4" t="n">
        <v>27453</v>
      </c>
      <c r="B642" s="5" t="n">
        <f aca="false">PostPro4FW!H648</f>
        <v>2571.50328474648</v>
      </c>
      <c r="C642" s="5" t="n">
        <f aca="false">PostPro4FW!M648</f>
        <v>800</v>
      </c>
      <c r="D642" s="5" t="n">
        <f aca="false">PostPro4FW!H648+PostPro4FW!I648</f>
        <v>2571.50328474648</v>
      </c>
      <c r="E642" s="5" t="n">
        <f aca="false">PostPro4FW!S648</f>
        <v>800</v>
      </c>
      <c r="F642" s="5" t="n">
        <f aca="false">PostPro4FW!Q648</f>
        <v>0</v>
      </c>
      <c r="G642" s="0" t="n">
        <f aca="false">PostPro4FW!R648</f>
        <v>0</v>
      </c>
    </row>
    <row r="643" customFormat="false" ht="14.35" hidden="false" customHeight="false" outlineLevel="0" collapsed="false">
      <c r="A643" s="4" t="n">
        <v>27484</v>
      </c>
      <c r="B643" s="5" t="n">
        <f aca="false">PostPro4FW!H649</f>
        <v>12899.8744070002</v>
      </c>
      <c r="C643" s="5" t="n">
        <f aca="false">PostPro4FW!M649</f>
        <v>800</v>
      </c>
      <c r="D643" s="5" t="n">
        <f aca="false">PostPro4FW!H649+PostPro4FW!I649</f>
        <v>12899.8744070002</v>
      </c>
      <c r="E643" s="5" t="n">
        <f aca="false">PostPro4FW!S649</f>
        <v>800</v>
      </c>
      <c r="F643" s="5" t="n">
        <f aca="false">PostPro4FW!Q649</f>
        <v>0</v>
      </c>
      <c r="G643" s="0" t="n">
        <f aca="false">PostPro4FW!R649</f>
        <v>0</v>
      </c>
    </row>
    <row r="644" customFormat="false" ht="14.35" hidden="false" customHeight="false" outlineLevel="0" collapsed="false">
      <c r="A644" s="4" t="n">
        <v>27514</v>
      </c>
      <c r="B644" s="5" t="n">
        <f aca="false">PostPro4FW!H650</f>
        <v>1000</v>
      </c>
      <c r="C644" s="5" t="n">
        <f aca="false">PostPro4FW!M650</f>
        <v>700</v>
      </c>
      <c r="D644" s="5" t="n">
        <f aca="false">PostPro4FW!H650+PostPro4FW!I650</f>
        <v>1000</v>
      </c>
      <c r="E644" s="5" t="n">
        <f aca="false">PostPro4FW!S650</f>
        <v>700</v>
      </c>
      <c r="F644" s="5" t="n">
        <f aca="false">PostPro4FW!Q650</f>
        <v>0</v>
      </c>
      <c r="G644" s="0" t="n">
        <f aca="false">PostPro4FW!R650</f>
        <v>0</v>
      </c>
    </row>
    <row r="645" customFormat="false" ht="14.35" hidden="false" customHeight="false" outlineLevel="0" collapsed="false">
      <c r="A645" s="4" t="n">
        <v>27545</v>
      </c>
      <c r="B645" s="5" t="n">
        <f aca="false">PostPro4FW!H651</f>
        <v>8359.85906422439</v>
      </c>
      <c r="C645" s="5" t="n">
        <f aca="false">PostPro4FW!M651</f>
        <v>700</v>
      </c>
      <c r="D645" s="5" t="n">
        <f aca="false">PostPro4FW!H651+PostPro4FW!I651</f>
        <v>8359.85906422439</v>
      </c>
      <c r="E645" s="5" t="n">
        <f aca="false">PostPro4FW!S651</f>
        <v>700</v>
      </c>
      <c r="F645" s="5" t="n">
        <f aca="false">PostPro4FW!Q651</f>
        <v>0</v>
      </c>
      <c r="G645" s="0" t="n">
        <f aca="false">PostPro4FW!R651</f>
        <v>0</v>
      </c>
    </row>
    <row r="646" customFormat="false" ht="14.35" hidden="false" customHeight="false" outlineLevel="0" collapsed="false">
      <c r="A646" s="4" t="n">
        <v>27575</v>
      </c>
      <c r="B646" s="5" t="n">
        <f aca="false">PostPro4FW!H652</f>
        <v>6123.09433234009</v>
      </c>
      <c r="C646" s="5" t="n">
        <f aca="false">PostPro4FW!M652</f>
        <v>700</v>
      </c>
      <c r="D646" s="5" t="n">
        <f aca="false">PostPro4FW!H652+PostPro4FW!I652</f>
        <v>6123.09433234009</v>
      </c>
      <c r="E646" s="5" t="n">
        <f aca="false">PostPro4FW!S652</f>
        <v>700</v>
      </c>
      <c r="F646" s="5" t="n">
        <f aca="false">PostPro4FW!Q652</f>
        <v>0</v>
      </c>
      <c r="G646" s="0" t="n">
        <f aca="false">PostPro4FW!R652</f>
        <v>0</v>
      </c>
    </row>
    <row r="647" customFormat="false" ht="14.35" hidden="false" customHeight="false" outlineLevel="0" collapsed="false">
      <c r="A647" s="4" t="n">
        <v>27606</v>
      </c>
      <c r="B647" s="5" t="n">
        <f aca="false">PostPro4FW!H653</f>
        <v>8058.09036574584</v>
      </c>
      <c r="C647" s="5" t="n">
        <f aca="false">PostPro4FW!M653</f>
        <v>700</v>
      </c>
      <c r="D647" s="5" t="n">
        <f aca="false">PostPro4FW!H653+PostPro4FW!I653</f>
        <v>8058.09036574584</v>
      </c>
      <c r="E647" s="5" t="n">
        <f aca="false">PostPro4FW!S653</f>
        <v>700</v>
      </c>
      <c r="F647" s="5" t="n">
        <f aca="false">PostPro4FW!Q653</f>
        <v>0</v>
      </c>
      <c r="G647" s="0" t="n">
        <f aca="false">PostPro4FW!R653</f>
        <v>0</v>
      </c>
    </row>
    <row r="648" customFormat="false" ht="14.35" hidden="false" customHeight="false" outlineLevel="0" collapsed="false">
      <c r="A648" s="4" t="n">
        <v>27637</v>
      </c>
      <c r="B648" s="5" t="n">
        <f aca="false">PostPro4FW!H654</f>
        <v>1280.1081004556</v>
      </c>
      <c r="C648" s="5" t="n">
        <f aca="false">PostPro4FW!M654</f>
        <v>700</v>
      </c>
      <c r="D648" s="5" t="n">
        <f aca="false">PostPro4FW!H654+PostPro4FW!I654</f>
        <v>1280.1081004556</v>
      </c>
      <c r="E648" s="5" t="n">
        <f aca="false">PostPro4FW!S654</f>
        <v>700</v>
      </c>
      <c r="F648" s="5" t="n">
        <f aca="false">PostPro4FW!Q654</f>
        <v>0</v>
      </c>
      <c r="G648" s="0" t="n">
        <f aca="false">PostPro4FW!R654</f>
        <v>0</v>
      </c>
    </row>
    <row r="649" customFormat="false" ht="14.35" hidden="false" customHeight="false" outlineLevel="0" collapsed="false">
      <c r="A649" s="4" t="n">
        <v>27667</v>
      </c>
      <c r="B649" s="5" t="n">
        <f aca="false">PostPro4FW!H655</f>
        <v>9274.94834278578</v>
      </c>
      <c r="C649" s="5" t="n">
        <f aca="false">PostPro4FW!M655</f>
        <v>773.3333333</v>
      </c>
      <c r="D649" s="5" t="n">
        <f aca="false">PostPro4FW!H655+PostPro4FW!I655</f>
        <v>9274.94834278578</v>
      </c>
      <c r="E649" s="5" t="n">
        <f aca="false">PostPro4FW!S655</f>
        <v>773.3333333</v>
      </c>
      <c r="F649" s="5" t="n">
        <f aca="false">PostPro4FW!Q655</f>
        <v>0</v>
      </c>
      <c r="G649" s="0" t="n">
        <f aca="false">PostPro4FW!R655</f>
        <v>0</v>
      </c>
    </row>
    <row r="650" customFormat="false" ht="14.35" hidden="false" customHeight="false" outlineLevel="0" collapsed="false">
      <c r="A650" s="4" t="n">
        <v>27698</v>
      </c>
      <c r="B650" s="5" t="n">
        <f aca="false">PostPro4FW!H656</f>
        <v>3719.76774703478</v>
      </c>
      <c r="C650" s="5" t="n">
        <f aca="false">PostPro4FW!M656</f>
        <v>800</v>
      </c>
      <c r="D650" s="5" t="n">
        <f aca="false">PostPro4FW!H656+PostPro4FW!I656</f>
        <v>3719.76774703478</v>
      </c>
      <c r="E650" s="5" t="n">
        <f aca="false">PostPro4FW!S656</f>
        <v>800</v>
      </c>
      <c r="F650" s="5" t="n">
        <f aca="false">PostPro4FW!Q656</f>
        <v>0</v>
      </c>
      <c r="G650" s="0" t="n">
        <f aca="false">PostPro4FW!R656</f>
        <v>0</v>
      </c>
    </row>
    <row r="651" customFormat="false" ht="14.35" hidden="false" customHeight="false" outlineLevel="0" collapsed="false">
      <c r="A651" s="4" t="n">
        <v>27728</v>
      </c>
      <c r="B651" s="5" t="n">
        <f aca="false">PostPro4FW!H657</f>
        <v>3113.67230942005</v>
      </c>
      <c r="C651" s="5" t="n">
        <f aca="false">PostPro4FW!M657</f>
        <v>800</v>
      </c>
      <c r="D651" s="5" t="n">
        <f aca="false">PostPro4FW!H657+PostPro4FW!I657</f>
        <v>3113.67230942005</v>
      </c>
      <c r="E651" s="5" t="n">
        <f aca="false">PostPro4FW!S657</f>
        <v>800</v>
      </c>
      <c r="F651" s="5" t="n">
        <f aca="false">PostPro4FW!Q657</f>
        <v>0</v>
      </c>
      <c r="G651" s="0" t="n">
        <f aca="false">PostPro4FW!R657</f>
        <v>0</v>
      </c>
    </row>
    <row r="652" customFormat="false" ht="14.35" hidden="false" customHeight="false" outlineLevel="0" collapsed="false">
      <c r="A652" s="4" t="n">
        <v>27759</v>
      </c>
      <c r="B652" s="5" t="n">
        <f aca="false">PostPro4FW!H658</f>
        <v>4759.7622661647</v>
      </c>
      <c r="C652" s="5" t="n">
        <f aca="false">PostPro4FW!M658</f>
        <v>800</v>
      </c>
      <c r="D652" s="5" t="n">
        <f aca="false">PostPro4FW!H658+PostPro4FW!I658</f>
        <v>4759.7622661647</v>
      </c>
      <c r="E652" s="5" t="n">
        <f aca="false">PostPro4FW!S658</f>
        <v>800</v>
      </c>
      <c r="F652" s="5" t="n">
        <f aca="false">PostPro4FW!Q658</f>
        <v>0</v>
      </c>
      <c r="G652" s="0" t="n">
        <f aca="false">PostPro4FW!R658</f>
        <v>0</v>
      </c>
    </row>
    <row r="653" customFormat="false" ht="14.35" hidden="false" customHeight="false" outlineLevel="0" collapsed="false">
      <c r="A653" s="4" t="n">
        <v>27790</v>
      </c>
      <c r="B653" s="5" t="n">
        <f aca="false">PostPro4FW!H659</f>
        <v>1700</v>
      </c>
      <c r="C653" s="5" t="n">
        <f aca="false">PostPro4FW!M659</f>
        <v>800</v>
      </c>
      <c r="D653" s="5" t="n">
        <f aca="false">PostPro4FW!H659+PostPro4FW!I659</f>
        <v>1700</v>
      </c>
      <c r="E653" s="5" t="n">
        <f aca="false">PostPro4FW!S659</f>
        <v>800</v>
      </c>
      <c r="F653" s="5" t="n">
        <f aca="false">PostPro4FW!Q659</f>
        <v>0</v>
      </c>
      <c r="G653" s="0" t="n">
        <f aca="false">PostPro4FW!R659</f>
        <v>0</v>
      </c>
    </row>
    <row r="654" customFormat="false" ht="14.35" hidden="false" customHeight="false" outlineLevel="0" collapsed="false">
      <c r="A654" s="4" t="n">
        <v>27819</v>
      </c>
      <c r="B654" s="5" t="n">
        <f aca="false">PostPro4FW!H660</f>
        <v>1700</v>
      </c>
      <c r="C654" s="5" t="n">
        <f aca="false">PostPro4FW!M660</f>
        <v>800</v>
      </c>
      <c r="D654" s="5" t="n">
        <f aca="false">PostPro4FW!H660+PostPro4FW!I660</f>
        <v>1700</v>
      </c>
      <c r="E654" s="5" t="n">
        <f aca="false">PostPro4FW!S660</f>
        <v>800</v>
      </c>
      <c r="F654" s="5" t="n">
        <f aca="false">PostPro4FW!Q660</f>
        <v>0</v>
      </c>
      <c r="G654" s="0" t="n">
        <f aca="false">PostPro4FW!R660</f>
        <v>0</v>
      </c>
    </row>
    <row r="655" customFormat="false" ht="14.35" hidden="false" customHeight="false" outlineLevel="0" collapsed="false">
      <c r="A655" s="4" t="n">
        <v>27850</v>
      </c>
      <c r="B655" s="5" t="n">
        <f aca="false">PostPro4FW!H661</f>
        <v>1700</v>
      </c>
      <c r="C655" s="5" t="n">
        <f aca="false">PostPro4FW!M661</f>
        <v>800</v>
      </c>
      <c r="D655" s="5" t="n">
        <f aca="false">PostPro4FW!H661+PostPro4FW!I661</f>
        <v>1700</v>
      </c>
      <c r="E655" s="5" t="n">
        <f aca="false">PostPro4FW!S661</f>
        <v>800</v>
      </c>
      <c r="F655" s="5" t="n">
        <f aca="false">PostPro4FW!Q661</f>
        <v>0</v>
      </c>
      <c r="G655" s="0" t="n">
        <f aca="false">PostPro4FW!R661</f>
        <v>0</v>
      </c>
    </row>
    <row r="656" customFormat="false" ht="14.35" hidden="false" customHeight="false" outlineLevel="0" collapsed="false">
      <c r="A656" s="4" t="n">
        <v>27880</v>
      </c>
      <c r="B656" s="5" t="n">
        <f aca="false">PostPro4FW!H662</f>
        <v>1000</v>
      </c>
      <c r="C656" s="5" t="n">
        <f aca="false">PostPro4FW!M662</f>
        <v>700</v>
      </c>
      <c r="D656" s="5" t="n">
        <f aca="false">PostPro4FW!H662+PostPro4FW!I662</f>
        <v>1000</v>
      </c>
      <c r="E656" s="5" t="n">
        <f aca="false">PostPro4FW!S662</f>
        <v>700</v>
      </c>
      <c r="F656" s="5" t="n">
        <f aca="false">PostPro4FW!Q662</f>
        <v>0</v>
      </c>
      <c r="G656" s="0" t="n">
        <f aca="false">PostPro4FW!R662</f>
        <v>0</v>
      </c>
    </row>
    <row r="657" customFormat="false" ht="14.35" hidden="false" customHeight="false" outlineLevel="0" collapsed="false">
      <c r="A657" s="4" t="n">
        <v>27911</v>
      </c>
      <c r="B657" s="5" t="n">
        <f aca="false">PostPro4FW!H663</f>
        <v>1203.58321230203</v>
      </c>
      <c r="C657" s="5" t="n">
        <f aca="false">PostPro4FW!M663</f>
        <v>700</v>
      </c>
      <c r="D657" s="5" t="n">
        <f aca="false">PostPro4FW!H663+PostPro4FW!I663</f>
        <v>1203.58321230203</v>
      </c>
      <c r="E657" s="5" t="n">
        <f aca="false">PostPro4FW!S663</f>
        <v>700</v>
      </c>
      <c r="F657" s="5" t="n">
        <f aca="false">PostPro4FW!Q663</f>
        <v>0</v>
      </c>
      <c r="G657" s="0" t="n">
        <f aca="false">PostPro4FW!R663</f>
        <v>0</v>
      </c>
    </row>
    <row r="658" customFormat="false" ht="14.35" hidden="false" customHeight="false" outlineLevel="0" collapsed="false">
      <c r="A658" s="4" t="n">
        <v>27941</v>
      </c>
      <c r="B658" s="5" t="n">
        <f aca="false">PostPro4FW!H664</f>
        <v>3152.62233543182</v>
      </c>
      <c r="C658" s="5" t="n">
        <f aca="false">PostPro4FW!M664</f>
        <v>700</v>
      </c>
      <c r="D658" s="5" t="n">
        <f aca="false">PostPro4FW!H664+PostPro4FW!I664</f>
        <v>3152.62233543182</v>
      </c>
      <c r="E658" s="5" t="n">
        <f aca="false">PostPro4FW!S664</f>
        <v>700</v>
      </c>
      <c r="F658" s="5" t="n">
        <f aca="false">PostPro4FW!Q664</f>
        <v>0</v>
      </c>
      <c r="G658" s="0" t="n">
        <f aca="false">PostPro4FW!R664</f>
        <v>0</v>
      </c>
    </row>
    <row r="659" customFormat="false" ht="14.35" hidden="false" customHeight="false" outlineLevel="0" collapsed="false">
      <c r="A659" s="4" t="n">
        <v>27972</v>
      </c>
      <c r="B659" s="5" t="n">
        <f aca="false">PostPro4FW!H665</f>
        <v>5907.34424006031</v>
      </c>
      <c r="C659" s="5" t="n">
        <f aca="false">PostPro4FW!M665</f>
        <v>700</v>
      </c>
      <c r="D659" s="5" t="n">
        <f aca="false">PostPro4FW!H665+PostPro4FW!I665</f>
        <v>5907.34424006031</v>
      </c>
      <c r="E659" s="5" t="n">
        <f aca="false">PostPro4FW!S665</f>
        <v>700</v>
      </c>
      <c r="F659" s="5" t="n">
        <f aca="false">PostPro4FW!Q665</f>
        <v>0</v>
      </c>
      <c r="G659" s="0" t="n">
        <f aca="false">PostPro4FW!R665</f>
        <v>0</v>
      </c>
    </row>
    <row r="660" customFormat="false" ht="14.35" hidden="false" customHeight="false" outlineLevel="0" collapsed="false">
      <c r="A660" s="4" t="n">
        <v>28003</v>
      </c>
      <c r="B660" s="5" t="n">
        <f aca="false">PostPro4FW!H666</f>
        <v>999.999999999987</v>
      </c>
      <c r="C660" s="5" t="n">
        <f aca="false">PostPro4FW!M666</f>
        <v>700</v>
      </c>
      <c r="D660" s="5" t="n">
        <f aca="false">PostPro4FW!H666+PostPro4FW!I666</f>
        <v>999.999999999987</v>
      </c>
      <c r="E660" s="5" t="n">
        <f aca="false">PostPro4FW!S666</f>
        <v>700</v>
      </c>
      <c r="F660" s="5" t="n">
        <f aca="false">PostPro4FW!Q666</f>
        <v>0</v>
      </c>
      <c r="G660" s="0" t="n">
        <f aca="false">PostPro4FW!R666</f>
        <v>0</v>
      </c>
    </row>
    <row r="661" customFormat="false" ht="14.35" hidden="false" customHeight="false" outlineLevel="0" collapsed="false">
      <c r="A661" s="4" t="n">
        <v>28033</v>
      </c>
      <c r="B661" s="5" t="n">
        <f aca="false">PostPro4FW!H667</f>
        <v>999.999999999989</v>
      </c>
      <c r="C661" s="5" t="n">
        <f aca="false">PostPro4FW!M667</f>
        <v>773.3333333</v>
      </c>
      <c r="D661" s="5" t="n">
        <f aca="false">PostPro4FW!H667+PostPro4FW!I667</f>
        <v>999.999999999989</v>
      </c>
      <c r="E661" s="5" t="n">
        <f aca="false">PostPro4FW!S667</f>
        <v>773.3333333</v>
      </c>
      <c r="F661" s="5" t="n">
        <f aca="false">PostPro4FW!Q667</f>
        <v>0</v>
      </c>
      <c r="G661" s="0" t="n">
        <f aca="false">PostPro4FW!R667</f>
        <v>0</v>
      </c>
    </row>
    <row r="662" customFormat="false" ht="14.35" hidden="false" customHeight="false" outlineLevel="0" collapsed="false">
      <c r="A662" s="4" t="n">
        <v>28064</v>
      </c>
      <c r="B662" s="5" t="n">
        <f aca="false">PostPro4FW!H668</f>
        <v>1367.92594896324</v>
      </c>
      <c r="C662" s="5" t="n">
        <f aca="false">PostPro4FW!M668</f>
        <v>800</v>
      </c>
      <c r="D662" s="5" t="n">
        <f aca="false">PostPro4FW!H668+PostPro4FW!I668</f>
        <v>1367.92594896324</v>
      </c>
      <c r="E662" s="5" t="n">
        <f aca="false">PostPro4FW!S668</f>
        <v>800</v>
      </c>
      <c r="F662" s="5" t="n">
        <f aca="false">PostPro4FW!Q668</f>
        <v>0</v>
      </c>
      <c r="G662" s="0" t="n">
        <f aca="false">PostPro4FW!R668</f>
        <v>0</v>
      </c>
    </row>
    <row r="663" customFormat="false" ht="14.35" hidden="false" customHeight="false" outlineLevel="0" collapsed="false">
      <c r="A663" s="4" t="n">
        <v>28094</v>
      </c>
      <c r="B663" s="5" t="n">
        <f aca="false">PostPro4FW!H669</f>
        <v>1249.84070472306</v>
      </c>
      <c r="C663" s="5" t="n">
        <f aca="false">PostPro4FW!M669</f>
        <v>800</v>
      </c>
      <c r="D663" s="5" t="n">
        <f aca="false">PostPro4FW!H669+PostPro4FW!I669</f>
        <v>1249.84070472306</v>
      </c>
      <c r="E663" s="5" t="n">
        <f aca="false">PostPro4FW!S669</f>
        <v>800</v>
      </c>
      <c r="F663" s="5" t="n">
        <f aca="false">PostPro4FW!Q669</f>
        <v>0</v>
      </c>
      <c r="G663" s="0" t="n">
        <f aca="false">PostPro4FW!R669</f>
        <v>0</v>
      </c>
    </row>
    <row r="664" customFormat="false" ht="14.35" hidden="false" customHeight="false" outlineLevel="0" collapsed="false">
      <c r="A664" s="4" t="n">
        <v>28125</v>
      </c>
      <c r="B664" s="5" t="n">
        <f aca="false">PostPro4FW!H670</f>
        <v>1200</v>
      </c>
      <c r="C664" s="5" t="n">
        <f aca="false">PostPro4FW!M670</f>
        <v>800</v>
      </c>
      <c r="D664" s="5" t="n">
        <f aca="false">PostPro4FW!H670+PostPro4FW!I670</f>
        <v>1200</v>
      </c>
      <c r="E664" s="5" t="n">
        <f aca="false">PostPro4FW!S670</f>
        <v>800</v>
      </c>
      <c r="F664" s="5" t="n">
        <f aca="false">PostPro4FW!Q670</f>
        <v>0</v>
      </c>
      <c r="G664" s="0" t="n">
        <f aca="false">PostPro4FW!R670</f>
        <v>0</v>
      </c>
    </row>
    <row r="665" customFormat="false" ht="14.35" hidden="false" customHeight="false" outlineLevel="0" collapsed="false">
      <c r="A665" s="4" t="n">
        <v>28156</v>
      </c>
      <c r="B665" s="5" t="n">
        <f aca="false">PostPro4FW!H671</f>
        <v>1291.99925485868</v>
      </c>
      <c r="C665" s="5" t="n">
        <f aca="false">PostPro4FW!M671</f>
        <v>800</v>
      </c>
      <c r="D665" s="5" t="n">
        <f aca="false">PostPro4FW!H671+PostPro4FW!I671</f>
        <v>1291.99925485868</v>
      </c>
      <c r="E665" s="5" t="n">
        <f aca="false">PostPro4FW!S671</f>
        <v>800</v>
      </c>
      <c r="F665" s="5" t="n">
        <f aca="false">PostPro4FW!Q671</f>
        <v>0</v>
      </c>
      <c r="G665" s="0" t="n">
        <f aca="false">PostPro4FW!R671</f>
        <v>0</v>
      </c>
    </row>
    <row r="666" customFormat="false" ht="14.35" hidden="false" customHeight="false" outlineLevel="0" collapsed="false">
      <c r="A666" s="4" t="n">
        <v>28184</v>
      </c>
      <c r="B666" s="5" t="n">
        <f aca="false">PostPro4FW!H672</f>
        <v>1200</v>
      </c>
      <c r="C666" s="5" t="n">
        <f aca="false">PostPro4FW!M672</f>
        <v>800</v>
      </c>
      <c r="D666" s="5" t="n">
        <f aca="false">PostPro4FW!H672+PostPro4FW!I672</f>
        <v>1200</v>
      </c>
      <c r="E666" s="5" t="n">
        <f aca="false">PostPro4FW!S672</f>
        <v>800</v>
      </c>
      <c r="F666" s="5" t="n">
        <f aca="false">PostPro4FW!Q672</f>
        <v>0</v>
      </c>
      <c r="G666" s="0" t="n">
        <f aca="false">PostPro4FW!R672</f>
        <v>0</v>
      </c>
    </row>
    <row r="667" customFormat="false" ht="14.35" hidden="false" customHeight="false" outlineLevel="0" collapsed="false">
      <c r="A667" s="4" t="n">
        <v>28215</v>
      </c>
      <c r="B667" s="5" t="n">
        <f aca="false">PostPro4FW!H673</f>
        <v>1000</v>
      </c>
      <c r="C667" s="5" t="n">
        <f aca="false">PostPro4FW!M673</f>
        <v>800</v>
      </c>
      <c r="D667" s="5" t="n">
        <f aca="false">PostPro4FW!H673+PostPro4FW!I673</f>
        <v>1000</v>
      </c>
      <c r="E667" s="5" t="n">
        <f aca="false">PostPro4FW!S673</f>
        <v>800</v>
      </c>
      <c r="F667" s="5" t="n">
        <f aca="false">PostPro4FW!Q673</f>
        <v>0</v>
      </c>
      <c r="G667" s="0" t="n">
        <f aca="false">PostPro4FW!R673</f>
        <v>0</v>
      </c>
    </row>
    <row r="668" customFormat="false" ht="14.35" hidden="false" customHeight="false" outlineLevel="0" collapsed="false">
      <c r="A668" s="4" t="n">
        <v>28245</v>
      </c>
      <c r="B668" s="5" t="n">
        <f aca="false">PostPro4FW!H674</f>
        <v>1238.07628238668</v>
      </c>
      <c r="C668" s="5" t="n">
        <f aca="false">PostPro4FW!M674</f>
        <v>700</v>
      </c>
      <c r="D668" s="5" t="n">
        <f aca="false">PostPro4FW!H674+PostPro4FW!I674</f>
        <v>1238.07628238668</v>
      </c>
      <c r="E668" s="5" t="n">
        <f aca="false">PostPro4FW!S674</f>
        <v>700</v>
      </c>
      <c r="F668" s="5" t="n">
        <f aca="false">PostPro4FW!Q674</f>
        <v>0</v>
      </c>
      <c r="G668" s="0" t="n">
        <f aca="false">PostPro4FW!R674</f>
        <v>0</v>
      </c>
    </row>
    <row r="669" customFormat="false" ht="14.35" hidden="false" customHeight="false" outlineLevel="0" collapsed="false">
      <c r="A669" s="4" t="n">
        <v>28276</v>
      </c>
      <c r="B669" s="5" t="n">
        <f aca="false">PostPro4FW!H675</f>
        <v>776.030854088971</v>
      </c>
      <c r="C669" s="5" t="n">
        <f aca="false">PostPro4FW!M675</f>
        <v>700</v>
      </c>
      <c r="D669" s="5" t="n">
        <f aca="false">PostPro4FW!H675+PostPro4FW!I675</f>
        <v>776.030854088971</v>
      </c>
      <c r="E669" s="5" t="n">
        <f aca="false">PostPro4FW!S675</f>
        <v>700</v>
      </c>
      <c r="F669" s="5" t="n">
        <f aca="false">PostPro4FW!Q675</f>
        <v>0</v>
      </c>
      <c r="G669" s="0" t="n">
        <f aca="false">PostPro4FW!R675</f>
        <v>0</v>
      </c>
    </row>
    <row r="670" customFormat="false" ht="14.35" hidden="false" customHeight="false" outlineLevel="0" collapsed="false">
      <c r="A670" s="4" t="n">
        <v>28306</v>
      </c>
      <c r="B670" s="5" t="n">
        <f aca="false">PostPro4FW!H676</f>
        <v>2204.45501119461</v>
      </c>
      <c r="C670" s="5" t="n">
        <f aca="false">PostPro4FW!M676</f>
        <v>700</v>
      </c>
      <c r="D670" s="5" t="n">
        <f aca="false">PostPro4FW!H676+PostPro4FW!I676</f>
        <v>2204.45501119461</v>
      </c>
      <c r="E670" s="5" t="n">
        <f aca="false">PostPro4FW!S676</f>
        <v>700</v>
      </c>
      <c r="F670" s="5" t="n">
        <f aca="false">PostPro4FW!Q676</f>
        <v>0</v>
      </c>
      <c r="G670" s="0" t="n">
        <f aca="false">PostPro4FW!R676</f>
        <v>0</v>
      </c>
    </row>
    <row r="671" customFormat="false" ht="14.35" hidden="false" customHeight="false" outlineLevel="0" collapsed="false">
      <c r="A671" s="4" t="n">
        <v>28337</v>
      </c>
      <c r="B671" s="5" t="n">
        <f aca="false">PostPro4FW!H677</f>
        <v>2263.03767867637</v>
      </c>
      <c r="C671" s="5" t="n">
        <f aca="false">PostPro4FW!M677</f>
        <v>700</v>
      </c>
      <c r="D671" s="5" t="n">
        <f aca="false">PostPro4FW!H677+PostPro4FW!I677</f>
        <v>2263.03767867637</v>
      </c>
      <c r="E671" s="5" t="n">
        <f aca="false">PostPro4FW!S677</f>
        <v>700</v>
      </c>
      <c r="F671" s="5" t="n">
        <f aca="false">PostPro4FW!Q677</f>
        <v>0</v>
      </c>
      <c r="G671" s="0" t="n">
        <f aca="false">PostPro4FW!R677</f>
        <v>0</v>
      </c>
    </row>
    <row r="672" customFormat="false" ht="14.35" hidden="false" customHeight="false" outlineLevel="0" collapsed="false">
      <c r="A672" s="4" t="n">
        <v>28368</v>
      </c>
      <c r="B672" s="5" t="n">
        <f aca="false">PostPro4FW!H678</f>
        <v>2664.65116612333</v>
      </c>
      <c r="C672" s="5" t="n">
        <f aca="false">PostPro4FW!M678</f>
        <v>700</v>
      </c>
      <c r="D672" s="5" t="n">
        <f aca="false">PostPro4FW!H678+PostPro4FW!I678</f>
        <v>2664.65116612333</v>
      </c>
      <c r="E672" s="5" t="n">
        <f aca="false">PostPro4FW!S678</f>
        <v>700</v>
      </c>
      <c r="F672" s="5" t="n">
        <f aca="false">PostPro4FW!Q678</f>
        <v>0</v>
      </c>
      <c r="G672" s="0" t="n">
        <f aca="false">PostPro4FW!R678</f>
        <v>0</v>
      </c>
    </row>
    <row r="673" customFormat="false" ht="14.35" hidden="false" customHeight="false" outlineLevel="0" collapsed="false">
      <c r="A673" s="4" t="n">
        <v>28398</v>
      </c>
      <c r="B673" s="5" t="n">
        <f aca="false">PostPro4FW!H679</f>
        <v>1655.12469310436</v>
      </c>
      <c r="C673" s="5" t="n">
        <f aca="false">PostPro4FW!M679</f>
        <v>773.3333333</v>
      </c>
      <c r="D673" s="5" t="n">
        <f aca="false">PostPro4FW!H679+PostPro4FW!I679</f>
        <v>1655.12469310436</v>
      </c>
      <c r="E673" s="5" t="n">
        <f aca="false">PostPro4FW!S679</f>
        <v>773.3333333</v>
      </c>
      <c r="F673" s="5" t="n">
        <f aca="false">PostPro4FW!Q679</f>
        <v>0</v>
      </c>
      <c r="G673" s="0" t="n">
        <f aca="false">PostPro4FW!R679</f>
        <v>0</v>
      </c>
    </row>
    <row r="674" customFormat="false" ht="14.35" hidden="false" customHeight="false" outlineLevel="0" collapsed="false">
      <c r="A674" s="4" t="n">
        <v>28429</v>
      </c>
      <c r="B674" s="5" t="n">
        <f aca="false">PostPro4FW!H680</f>
        <v>2058.12596611901</v>
      </c>
      <c r="C674" s="5" t="n">
        <f aca="false">PostPro4FW!M680</f>
        <v>800</v>
      </c>
      <c r="D674" s="5" t="n">
        <f aca="false">PostPro4FW!H680+PostPro4FW!I680</f>
        <v>2058.12596611901</v>
      </c>
      <c r="E674" s="5" t="n">
        <f aca="false">PostPro4FW!S680</f>
        <v>800</v>
      </c>
      <c r="F674" s="5" t="n">
        <f aca="false">PostPro4FW!Q680</f>
        <v>0</v>
      </c>
      <c r="G674" s="0" t="n">
        <f aca="false">PostPro4FW!R680</f>
        <v>0</v>
      </c>
    </row>
    <row r="675" customFormat="false" ht="14.35" hidden="false" customHeight="false" outlineLevel="0" collapsed="false">
      <c r="A675" s="4" t="n">
        <v>28459</v>
      </c>
      <c r="B675" s="5" t="n">
        <f aca="false">PostPro4FW!H681</f>
        <v>900</v>
      </c>
      <c r="C675" s="5" t="n">
        <f aca="false">PostPro4FW!M681</f>
        <v>800</v>
      </c>
      <c r="D675" s="5" t="n">
        <f aca="false">PostPro4FW!H681+PostPro4FW!I681</f>
        <v>900</v>
      </c>
      <c r="E675" s="5" t="n">
        <f aca="false">PostPro4FW!S681</f>
        <v>800</v>
      </c>
      <c r="F675" s="5" t="n">
        <f aca="false">PostPro4FW!Q681</f>
        <v>0</v>
      </c>
      <c r="G675" s="0" t="n">
        <f aca="false">PostPro4FW!R681</f>
        <v>0</v>
      </c>
    </row>
    <row r="676" customFormat="false" ht="14.35" hidden="false" customHeight="false" outlineLevel="0" collapsed="false">
      <c r="A676" s="4" t="n">
        <v>28490</v>
      </c>
      <c r="B676" s="5" t="n">
        <f aca="false">PostPro4FW!H682</f>
        <v>900</v>
      </c>
      <c r="C676" s="5" t="n">
        <f aca="false">PostPro4FW!M682</f>
        <v>800</v>
      </c>
      <c r="D676" s="5" t="n">
        <f aca="false">PostPro4FW!H682+PostPro4FW!I682</f>
        <v>900</v>
      </c>
      <c r="E676" s="5" t="n">
        <f aca="false">PostPro4FW!S682</f>
        <v>800</v>
      </c>
      <c r="F676" s="5" t="n">
        <f aca="false">PostPro4FW!Q682</f>
        <v>0</v>
      </c>
      <c r="G676" s="0" t="n">
        <f aca="false">PostPro4FW!R682</f>
        <v>0</v>
      </c>
    </row>
    <row r="677" customFormat="false" ht="14.35" hidden="false" customHeight="false" outlineLevel="0" collapsed="false">
      <c r="A677" s="4" t="n">
        <v>28521</v>
      </c>
      <c r="B677" s="5" t="n">
        <f aca="false">PostPro4FW!H683</f>
        <v>900</v>
      </c>
      <c r="C677" s="5" t="n">
        <f aca="false">PostPro4FW!M683</f>
        <v>800</v>
      </c>
      <c r="D677" s="5" t="n">
        <f aca="false">PostPro4FW!H683+PostPro4FW!I683</f>
        <v>900</v>
      </c>
      <c r="E677" s="5" t="n">
        <f aca="false">PostPro4FW!S683</f>
        <v>800</v>
      </c>
      <c r="F677" s="5" t="n">
        <f aca="false">PostPro4FW!Q683</f>
        <v>0</v>
      </c>
      <c r="G677" s="0" t="n">
        <f aca="false">PostPro4FW!R683</f>
        <v>0</v>
      </c>
    </row>
    <row r="678" customFormat="false" ht="14.35" hidden="false" customHeight="false" outlineLevel="0" collapsed="false">
      <c r="A678" s="4" t="n">
        <v>28549</v>
      </c>
      <c r="B678" s="5" t="n">
        <f aca="false">PostPro4FW!H684</f>
        <v>900</v>
      </c>
      <c r="C678" s="5" t="n">
        <f aca="false">PostPro4FW!M684</f>
        <v>800</v>
      </c>
      <c r="D678" s="5" t="n">
        <f aca="false">PostPro4FW!H684+PostPro4FW!I684</f>
        <v>900</v>
      </c>
      <c r="E678" s="5" t="n">
        <f aca="false">PostPro4FW!S684</f>
        <v>900</v>
      </c>
      <c r="F678" s="5" t="n">
        <f aca="false">PostPro4FW!Q684</f>
        <v>900</v>
      </c>
      <c r="G678" s="0" t="n">
        <f aca="false">PostPro4FW!R684</f>
        <v>28</v>
      </c>
    </row>
    <row r="679" customFormat="false" ht="14.35" hidden="false" customHeight="false" outlineLevel="0" collapsed="false">
      <c r="A679" s="4" t="n">
        <v>28580</v>
      </c>
      <c r="B679" s="5" t="n">
        <f aca="false">PostPro4FW!H685</f>
        <v>799.999999999999</v>
      </c>
      <c r="C679" s="5" t="n">
        <f aca="false">PostPro4FW!M685</f>
        <v>800</v>
      </c>
      <c r="D679" s="5" t="n">
        <f aca="false">PostPro4FW!H685+PostPro4FW!I685</f>
        <v>799.999999999999</v>
      </c>
      <c r="E679" s="5" t="n">
        <f aca="false">PostPro4FW!S685</f>
        <v>800</v>
      </c>
      <c r="F679" s="5" t="n">
        <f aca="false">PostPro4FW!Q685</f>
        <v>0</v>
      </c>
      <c r="G679" s="0" t="n">
        <f aca="false">PostPro4FW!R685</f>
        <v>0</v>
      </c>
    </row>
    <row r="680" customFormat="false" ht="14.35" hidden="false" customHeight="false" outlineLevel="0" collapsed="false">
      <c r="A680" s="4" t="n">
        <v>28610</v>
      </c>
      <c r="B680" s="5" t="n">
        <f aca="false">PostPro4FW!H686</f>
        <v>1000</v>
      </c>
      <c r="C680" s="5" t="n">
        <f aca="false">PostPro4FW!M686</f>
        <v>700</v>
      </c>
      <c r="D680" s="5" t="n">
        <f aca="false">PostPro4FW!H686+PostPro4FW!I686</f>
        <v>1420.13888888889</v>
      </c>
      <c r="E680" s="5" t="n">
        <f aca="false">PostPro4FW!S686</f>
        <v>1324.12037037037</v>
      </c>
      <c r="F680" s="5" t="n">
        <f aca="false">PostPro4FW!Q686</f>
        <v>1420.13888888889</v>
      </c>
      <c r="G680" s="0" t="n">
        <f aca="false">PostPro4FW!R686</f>
        <v>26</v>
      </c>
    </row>
    <row r="681" customFormat="false" ht="14.35" hidden="false" customHeight="false" outlineLevel="0" collapsed="false">
      <c r="A681" s="4" t="n">
        <v>28641</v>
      </c>
      <c r="B681" s="5" t="n">
        <f aca="false">PostPro4FW!H687</f>
        <v>1000</v>
      </c>
      <c r="C681" s="5" t="n">
        <f aca="false">PostPro4FW!M687</f>
        <v>700</v>
      </c>
      <c r="D681" s="5" t="n">
        <f aca="false">PostPro4FW!H687+PostPro4FW!I687</f>
        <v>1406.58602150538</v>
      </c>
      <c r="E681" s="5" t="n">
        <f aca="false">PostPro4FW!S687</f>
        <v>700</v>
      </c>
      <c r="F681" s="5" t="n">
        <f aca="false">PostPro4FW!Q687</f>
        <v>0</v>
      </c>
      <c r="G681" s="0" t="n">
        <f aca="false">PostPro4FW!R687</f>
        <v>0</v>
      </c>
    </row>
    <row r="682" customFormat="false" ht="14.35" hidden="false" customHeight="false" outlineLevel="0" collapsed="false">
      <c r="A682" s="4" t="n">
        <v>28671</v>
      </c>
      <c r="B682" s="5" t="n">
        <f aca="false">PostPro4FW!H688</f>
        <v>1000</v>
      </c>
      <c r="C682" s="5" t="n">
        <f aca="false">PostPro4FW!M688</f>
        <v>700</v>
      </c>
      <c r="D682" s="5" t="n">
        <f aca="false">PostPro4FW!H688+PostPro4FW!I688</f>
        <v>1000</v>
      </c>
      <c r="E682" s="5" t="n">
        <f aca="false">PostPro4FW!S688</f>
        <v>700</v>
      </c>
      <c r="F682" s="5" t="n">
        <f aca="false">PostPro4FW!Q688</f>
        <v>0</v>
      </c>
      <c r="G682" s="0" t="n">
        <f aca="false">PostPro4FW!R688</f>
        <v>0</v>
      </c>
    </row>
    <row r="683" customFormat="false" ht="14.35" hidden="false" customHeight="false" outlineLevel="0" collapsed="false">
      <c r="A683" s="4" t="n">
        <v>28702</v>
      </c>
      <c r="B683" s="5" t="n">
        <f aca="false">PostPro4FW!H689</f>
        <v>6978.52883994546</v>
      </c>
      <c r="C683" s="5" t="n">
        <f aca="false">PostPro4FW!M689</f>
        <v>700</v>
      </c>
      <c r="D683" s="5" t="n">
        <f aca="false">PostPro4FW!H689+PostPro4FW!I689</f>
        <v>6978.52883994546</v>
      </c>
      <c r="E683" s="5" t="n">
        <f aca="false">PostPro4FW!S689</f>
        <v>700</v>
      </c>
      <c r="F683" s="5" t="n">
        <f aca="false">PostPro4FW!Q689</f>
        <v>0</v>
      </c>
      <c r="G683" s="0" t="n">
        <f aca="false">PostPro4FW!R689</f>
        <v>0</v>
      </c>
    </row>
    <row r="684" customFormat="false" ht="14.35" hidden="false" customHeight="false" outlineLevel="0" collapsed="false">
      <c r="A684" s="4" t="n">
        <v>28733</v>
      </c>
      <c r="B684" s="5" t="n">
        <f aca="false">PostPro4FW!H690</f>
        <v>5757.19542893887</v>
      </c>
      <c r="C684" s="5" t="n">
        <f aca="false">PostPro4FW!M690</f>
        <v>700</v>
      </c>
      <c r="D684" s="5" t="n">
        <f aca="false">PostPro4FW!H690+PostPro4FW!I690</f>
        <v>5757.19542893887</v>
      </c>
      <c r="E684" s="5" t="n">
        <f aca="false">PostPro4FW!S690</f>
        <v>700</v>
      </c>
      <c r="F684" s="5" t="n">
        <f aca="false">PostPro4FW!Q690</f>
        <v>0</v>
      </c>
      <c r="G684" s="0" t="n">
        <f aca="false">PostPro4FW!R690</f>
        <v>0</v>
      </c>
    </row>
    <row r="685" customFormat="false" ht="14.35" hidden="false" customHeight="false" outlineLevel="0" collapsed="false">
      <c r="A685" s="4" t="n">
        <v>28763</v>
      </c>
      <c r="B685" s="5" t="n">
        <f aca="false">PostPro4FW!H691</f>
        <v>7342.19119825728</v>
      </c>
      <c r="C685" s="5" t="n">
        <f aca="false">PostPro4FW!M691</f>
        <v>773.3333333</v>
      </c>
      <c r="D685" s="5" t="n">
        <f aca="false">PostPro4FW!H691+PostPro4FW!I691</f>
        <v>7342.19119825728</v>
      </c>
      <c r="E685" s="5" t="n">
        <f aca="false">PostPro4FW!S691</f>
        <v>773.3333333</v>
      </c>
      <c r="F685" s="5" t="n">
        <f aca="false">PostPro4FW!Q691</f>
        <v>0</v>
      </c>
      <c r="G685" s="0" t="n">
        <f aca="false">PostPro4FW!R691</f>
        <v>0</v>
      </c>
    </row>
    <row r="686" customFormat="false" ht="14.35" hidden="false" customHeight="false" outlineLevel="0" collapsed="false">
      <c r="A686" s="4" t="n">
        <v>28794</v>
      </c>
      <c r="B686" s="5" t="n">
        <f aca="false">PostPro4FW!H692</f>
        <v>4000</v>
      </c>
      <c r="C686" s="5" t="n">
        <f aca="false">PostPro4FW!M692</f>
        <v>800</v>
      </c>
      <c r="D686" s="5" t="n">
        <f aca="false">PostPro4FW!H692+PostPro4FW!I692</f>
        <v>4000</v>
      </c>
      <c r="E686" s="5" t="n">
        <f aca="false">PostPro4FW!S692</f>
        <v>800</v>
      </c>
      <c r="F686" s="5" t="n">
        <f aca="false">PostPro4FW!Q692</f>
        <v>0</v>
      </c>
      <c r="G686" s="0" t="n">
        <f aca="false">PostPro4FW!R692</f>
        <v>0</v>
      </c>
    </row>
    <row r="687" customFormat="false" ht="14.35" hidden="false" customHeight="false" outlineLevel="0" collapsed="false">
      <c r="A687" s="4" t="n">
        <v>28824</v>
      </c>
      <c r="B687" s="5" t="n">
        <f aca="false">PostPro4FW!H693</f>
        <v>2500</v>
      </c>
      <c r="C687" s="5" t="n">
        <f aca="false">PostPro4FW!M693</f>
        <v>800</v>
      </c>
      <c r="D687" s="5" t="n">
        <f aca="false">PostPro4FW!H693+PostPro4FW!I693</f>
        <v>2500</v>
      </c>
      <c r="E687" s="5" t="n">
        <f aca="false">PostPro4FW!S693</f>
        <v>800</v>
      </c>
      <c r="F687" s="5" t="n">
        <f aca="false">PostPro4FW!Q693</f>
        <v>0</v>
      </c>
      <c r="G687" s="0" t="n">
        <f aca="false">PostPro4FW!R693</f>
        <v>0</v>
      </c>
    </row>
    <row r="688" customFormat="false" ht="14.35" hidden="false" customHeight="false" outlineLevel="0" collapsed="false">
      <c r="A688" s="4" t="n">
        <v>28855</v>
      </c>
      <c r="B688" s="5" t="n">
        <f aca="false">PostPro4FW!H694</f>
        <v>5293.98104121409</v>
      </c>
      <c r="C688" s="5" t="n">
        <f aca="false">PostPro4FW!M694</f>
        <v>800</v>
      </c>
      <c r="D688" s="5" t="n">
        <f aca="false">PostPro4FW!H694+PostPro4FW!I694</f>
        <v>5293.98104121409</v>
      </c>
      <c r="E688" s="5" t="n">
        <f aca="false">PostPro4FW!S694</f>
        <v>800</v>
      </c>
      <c r="F688" s="5" t="n">
        <f aca="false">PostPro4FW!Q694</f>
        <v>0</v>
      </c>
      <c r="G688" s="0" t="n">
        <f aca="false">PostPro4FW!R694</f>
        <v>0</v>
      </c>
    </row>
    <row r="689" customFormat="false" ht="14.35" hidden="false" customHeight="false" outlineLevel="0" collapsed="false">
      <c r="A689" s="4" t="n">
        <v>28886</v>
      </c>
      <c r="B689" s="5" t="n">
        <f aca="false">PostPro4FW!H695</f>
        <v>1200</v>
      </c>
      <c r="C689" s="5" t="n">
        <f aca="false">PostPro4FW!M695</f>
        <v>800</v>
      </c>
      <c r="D689" s="5" t="n">
        <f aca="false">PostPro4FW!H695+PostPro4FW!I695</f>
        <v>1200</v>
      </c>
      <c r="E689" s="5" t="n">
        <f aca="false">PostPro4FW!S695</f>
        <v>800</v>
      </c>
      <c r="F689" s="5" t="n">
        <f aca="false">PostPro4FW!Q695</f>
        <v>0</v>
      </c>
      <c r="G689" s="0" t="n">
        <f aca="false">PostPro4FW!R695</f>
        <v>0</v>
      </c>
    </row>
    <row r="690" customFormat="false" ht="14.35" hidden="false" customHeight="false" outlineLevel="0" collapsed="false">
      <c r="A690" s="4" t="n">
        <v>28914</v>
      </c>
      <c r="B690" s="5" t="n">
        <f aca="false">PostPro4FW!H696</f>
        <v>1200</v>
      </c>
      <c r="C690" s="5" t="n">
        <f aca="false">PostPro4FW!M696</f>
        <v>800</v>
      </c>
      <c r="D690" s="5" t="n">
        <f aca="false">PostPro4FW!H696+PostPro4FW!I696</f>
        <v>1200</v>
      </c>
      <c r="E690" s="5" t="n">
        <f aca="false">PostPro4FW!S696</f>
        <v>1200</v>
      </c>
      <c r="F690" s="5" t="n">
        <f aca="false">PostPro4FW!Q696</f>
        <v>1200</v>
      </c>
      <c r="G690" s="0" t="n">
        <f aca="false">PostPro4FW!R696</f>
        <v>28</v>
      </c>
    </row>
    <row r="691" customFormat="false" ht="14.35" hidden="false" customHeight="false" outlineLevel="0" collapsed="false">
      <c r="A691" s="4" t="n">
        <v>28945</v>
      </c>
      <c r="B691" s="5" t="n">
        <f aca="false">PostPro4FW!H697</f>
        <v>1000</v>
      </c>
      <c r="C691" s="5" t="n">
        <f aca="false">PostPro4FW!M697</f>
        <v>800</v>
      </c>
      <c r="D691" s="5" t="n">
        <f aca="false">PostPro4FW!H697+PostPro4FW!I697</f>
        <v>1000</v>
      </c>
      <c r="E691" s="5" t="n">
        <f aca="false">PostPro4FW!S697</f>
        <v>1000</v>
      </c>
      <c r="F691" s="5" t="n">
        <f aca="false">PostPro4FW!Q697</f>
        <v>1000</v>
      </c>
      <c r="G691" s="0" t="n">
        <f aca="false">PostPro4FW!R697</f>
        <v>31</v>
      </c>
    </row>
    <row r="692" customFormat="false" ht="14.35" hidden="false" customHeight="false" outlineLevel="0" collapsed="false">
      <c r="A692" s="4" t="n">
        <v>28975</v>
      </c>
      <c r="B692" s="5" t="n">
        <f aca="false">PostPro4FW!H698</f>
        <v>1000</v>
      </c>
      <c r="C692" s="5" t="n">
        <f aca="false">PostPro4FW!M698</f>
        <v>700</v>
      </c>
      <c r="D692" s="5" t="n">
        <f aca="false">PostPro4FW!H698+PostPro4FW!I698</f>
        <v>1420.13888888889</v>
      </c>
      <c r="E692" s="5" t="n">
        <f aca="false">PostPro4FW!S698</f>
        <v>820.023148148148</v>
      </c>
      <c r="F692" s="5" t="n">
        <f aca="false">PostPro4FW!Q698</f>
        <v>1420.13888888889</v>
      </c>
      <c r="G692" s="0" t="n">
        <f aca="false">PostPro4FW!R698</f>
        <v>5</v>
      </c>
    </row>
    <row r="693" customFormat="false" ht="14.35" hidden="false" customHeight="false" outlineLevel="0" collapsed="false">
      <c r="A693" s="4" t="n">
        <v>29006</v>
      </c>
      <c r="B693" s="5" t="n">
        <f aca="false">PostPro4FW!H699</f>
        <v>1000.00000000003</v>
      </c>
      <c r="C693" s="5" t="n">
        <f aca="false">PostPro4FW!M699</f>
        <v>700</v>
      </c>
      <c r="D693" s="5" t="n">
        <f aca="false">PostPro4FW!H699+PostPro4FW!I699</f>
        <v>1406.58602150541</v>
      </c>
      <c r="E693" s="5" t="n">
        <f aca="false">PostPro4FW!S699</f>
        <v>700</v>
      </c>
      <c r="F693" s="5" t="n">
        <f aca="false">PostPro4FW!Q699</f>
        <v>0</v>
      </c>
      <c r="G693" s="0" t="n">
        <f aca="false">PostPro4FW!R699</f>
        <v>0</v>
      </c>
    </row>
    <row r="694" customFormat="false" ht="14.35" hidden="false" customHeight="false" outlineLevel="0" collapsed="false">
      <c r="A694" s="4" t="n">
        <v>29036</v>
      </c>
      <c r="B694" s="5" t="n">
        <f aca="false">PostPro4FW!H700</f>
        <v>3632.37381824171</v>
      </c>
      <c r="C694" s="5" t="n">
        <f aca="false">PostPro4FW!M700</f>
        <v>700</v>
      </c>
      <c r="D694" s="5" t="n">
        <f aca="false">PostPro4FW!H700+PostPro4FW!I700</f>
        <v>3632.37381824171</v>
      </c>
      <c r="E694" s="5" t="n">
        <f aca="false">PostPro4FW!S700</f>
        <v>700</v>
      </c>
      <c r="F694" s="5" t="n">
        <f aca="false">PostPro4FW!Q700</f>
        <v>0</v>
      </c>
      <c r="G694" s="0" t="n">
        <f aca="false">PostPro4FW!R700</f>
        <v>0</v>
      </c>
    </row>
    <row r="695" customFormat="false" ht="14.35" hidden="false" customHeight="false" outlineLevel="0" collapsed="false">
      <c r="A695" s="4" t="n">
        <v>29067</v>
      </c>
      <c r="B695" s="5" t="n">
        <f aca="false">PostPro4FW!H701</f>
        <v>8677.36313536867</v>
      </c>
      <c r="C695" s="5" t="n">
        <f aca="false">PostPro4FW!M701</f>
        <v>700</v>
      </c>
      <c r="D695" s="5" t="n">
        <f aca="false">PostPro4FW!H701+PostPro4FW!I701</f>
        <v>8677.36313536867</v>
      </c>
      <c r="E695" s="5" t="n">
        <f aca="false">PostPro4FW!S701</f>
        <v>700</v>
      </c>
      <c r="F695" s="5" t="n">
        <f aca="false">PostPro4FW!Q701</f>
        <v>0</v>
      </c>
      <c r="G695" s="0" t="n">
        <f aca="false">PostPro4FW!R701</f>
        <v>0</v>
      </c>
    </row>
    <row r="696" customFormat="false" ht="14.35" hidden="false" customHeight="false" outlineLevel="0" collapsed="false">
      <c r="A696" s="4" t="n">
        <v>29098</v>
      </c>
      <c r="B696" s="5" t="n">
        <f aca="false">PostPro4FW!H702</f>
        <v>7037.51489497846</v>
      </c>
      <c r="C696" s="5" t="n">
        <f aca="false">PostPro4FW!M702</f>
        <v>700</v>
      </c>
      <c r="D696" s="5" t="n">
        <f aca="false">PostPro4FW!H702+PostPro4FW!I702</f>
        <v>7037.51489497846</v>
      </c>
      <c r="E696" s="5" t="n">
        <f aca="false">PostPro4FW!S702</f>
        <v>700</v>
      </c>
      <c r="F696" s="5" t="n">
        <f aca="false">PostPro4FW!Q702</f>
        <v>0</v>
      </c>
      <c r="G696" s="0" t="n">
        <f aca="false">PostPro4FW!R702</f>
        <v>0</v>
      </c>
    </row>
    <row r="697" customFormat="false" ht="14.35" hidden="false" customHeight="false" outlineLevel="0" collapsed="false">
      <c r="A697" s="4" t="n">
        <v>29128</v>
      </c>
      <c r="B697" s="5" t="n">
        <f aca="false">PostPro4FW!H703</f>
        <v>2184.91945940823</v>
      </c>
      <c r="C697" s="5" t="n">
        <f aca="false">PostPro4FW!M703</f>
        <v>773.3333333</v>
      </c>
      <c r="D697" s="5" t="n">
        <f aca="false">PostPro4FW!H703+PostPro4FW!I703</f>
        <v>2184.91945940823</v>
      </c>
      <c r="E697" s="5" t="n">
        <f aca="false">PostPro4FW!S703</f>
        <v>773.3333333</v>
      </c>
      <c r="F697" s="5" t="n">
        <f aca="false">PostPro4FW!Q703</f>
        <v>0</v>
      </c>
      <c r="G697" s="0" t="n">
        <f aca="false">PostPro4FW!R703</f>
        <v>0</v>
      </c>
    </row>
    <row r="698" customFormat="false" ht="14.35" hidden="false" customHeight="false" outlineLevel="0" collapsed="false">
      <c r="A698" s="4" t="n">
        <v>29159</v>
      </c>
      <c r="B698" s="5" t="n">
        <f aca="false">PostPro4FW!H704</f>
        <v>2177.33142635328</v>
      </c>
      <c r="C698" s="5" t="n">
        <f aca="false">PostPro4FW!M704</f>
        <v>800</v>
      </c>
      <c r="D698" s="5" t="n">
        <f aca="false">PostPro4FW!H704+PostPro4FW!I704</f>
        <v>2177.33142635328</v>
      </c>
      <c r="E698" s="5" t="n">
        <f aca="false">PostPro4FW!S704</f>
        <v>800</v>
      </c>
      <c r="F698" s="5" t="n">
        <f aca="false">PostPro4FW!Q704</f>
        <v>0</v>
      </c>
      <c r="G698" s="0" t="n">
        <f aca="false">PostPro4FW!R704</f>
        <v>0</v>
      </c>
    </row>
    <row r="699" customFormat="false" ht="14.35" hidden="false" customHeight="false" outlineLevel="0" collapsed="false">
      <c r="A699" s="4" t="n">
        <v>29189</v>
      </c>
      <c r="B699" s="5" t="n">
        <f aca="false">PostPro4FW!H705</f>
        <v>1700</v>
      </c>
      <c r="C699" s="5" t="n">
        <f aca="false">PostPro4FW!M705</f>
        <v>800</v>
      </c>
      <c r="D699" s="5" t="n">
        <f aca="false">PostPro4FW!H705+PostPro4FW!I705</f>
        <v>1700</v>
      </c>
      <c r="E699" s="5" t="n">
        <f aca="false">PostPro4FW!S705</f>
        <v>800</v>
      </c>
      <c r="F699" s="5" t="n">
        <f aca="false">PostPro4FW!Q705</f>
        <v>0</v>
      </c>
      <c r="G699" s="0" t="n">
        <f aca="false">PostPro4FW!R705</f>
        <v>0</v>
      </c>
    </row>
    <row r="700" customFormat="false" ht="14.35" hidden="false" customHeight="false" outlineLevel="0" collapsed="false">
      <c r="A700" s="4" t="n">
        <v>29220</v>
      </c>
      <c r="B700" s="5" t="n">
        <f aca="false">PostPro4FW!H706</f>
        <v>1700</v>
      </c>
      <c r="C700" s="5" t="n">
        <f aca="false">PostPro4FW!M706</f>
        <v>800</v>
      </c>
      <c r="D700" s="5" t="n">
        <f aca="false">PostPro4FW!H706+PostPro4FW!I706</f>
        <v>1700</v>
      </c>
      <c r="E700" s="5" t="n">
        <f aca="false">PostPro4FW!S706</f>
        <v>800</v>
      </c>
      <c r="F700" s="5" t="n">
        <f aca="false">PostPro4FW!Q706</f>
        <v>0</v>
      </c>
      <c r="G700" s="0" t="n">
        <f aca="false">PostPro4FW!R706</f>
        <v>0</v>
      </c>
    </row>
    <row r="701" customFormat="false" ht="14.35" hidden="false" customHeight="false" outlineLevel="0" collapsed="false">
      <c r="A701" s="4" t="n">
        <v>29251</v>
      </c>
      <c r="B701" s="5" t="n">
        <f aca="false">PostPro4FW!H707</f>
        <v>1700</v>
      </c>
      <c r="C701" s="5" t="n">
        <f aca="false">PostPro4FW!M707</f>
        <v>800</v>
      </c>
      <c r="D701" s="5" t="n">
        <f aca="false">PostPro4FW!H707+PostPro4FW!I707</f>
        <v>1700</v>
      </c>
      <c r="E701" s="5" t="n">
        <f aca="false">PostPro4FW!S707</f>
        <v>800</v>
      </c>
      <c r="F701" s="5" t="n">
        <f aca="false">PostPro4FW!Q707</f>
        <v>0</v>
      </c>
      <c r="G701" s="0" t="n">
        <f aca="false">PostPro4FW!R707</f>
        <v>0</v>
      </c>
    </row>
    <row r="702" customFormat="false" ht="14.35" hidden="false" customHeight="false" outlineLevel="0" collapsed="false">
      <c r="A702" s="4" t="n">
        <v>29280</v>
      </c>
      <c r="B702" s="5" t="n">
        <f aca="false">PostPro4FW!H708</f>
        <v>14849.7358783277</v>
      </c>
      <c r="C702" s="5" t="n">
        <f aca="false">PostPro4FW!M708</f>
        <v>800</v>
      </c>
      <c r="D702" s="5" t="n">
        <f aca="false">PostPro4FW!H708+PostPro4FW!I708</f>
        <v>14849.7358783277</v>
      </c>
      <c r="E702" s="5" t="n">
        <f aca="false">PostPro4FW!S708</f>
        <v>1544.8275862069</v>
      </c>
      <c r="F702" s="5" t="n">
        <f aca="false">PostPro4FW!Q708</f>
        <v>2000</v>
      </c>
      <c r="G702" s="0" t="n">
        <f aca="false">PostPro4FW!R708</f>
        <v>18</v>
      </c>
    </row>
    <row r="703" customFormat="false" ht="14.35" hidden="false" customHeight="false" outlineLevel="0" collapsed="false">
      <c r="A703" s="4" t="n">
        <v>29311</v>
      </c>
      <c r="B703" s="5" t="n">
        <f aca="false">PostPro4FW!H709</f>
        <v>5309.54123567003</v>
      </c>
      <c r="C703" s="5" t="n">
        <f aca="false">PostPro4FW!M709</f>
        <v>800</v>
      </c>
      <c r="D703" s="5" t="n">
        <f aca="false">PostPro4FW!H709+PostPro4FW!I709</f>
        <v>5309.54123567003</v>
      </c>
      <c r="E703" s="5" t="n">
        <f aca="false">PostPro4FW!S709</f>
        <v>800</v>
      </c>
      <c r="F703" s="5" t="n">
        <f aca="false">PostPro4FW!Q709</f>
        <v>0</v>
      </c>
      <c r="G703" s="0" t="n">
        <f aca="false">PostPro4FW!R709</f>
        <v>0</v>
      </c>
    </row>
    <row r="704" customFormat="false" ht="14.35" hidden="false" customHeight="false" outlineLevel="0" collapsed="false">
      <c r="A704" s="4" t="n">
        <v>29341</v>
      </c>
      <c r="B704" s="5" t="n">
        <f aca="false">PostPro4FW!H710</f>
        <v>1000</v>
      </c>
      <c r="C704" s="5" t="n">
        <f aca="false">PostPro4FW!M710</f>
        <v>700</v>
      </c>
      <c r="D704" s="5" t="n">
        <f aca="false">PostPro4FW!H710+PostPro4FW!I710</f>
        <v>1420.13888888889</v>
      </c>
      <c r="E704" s="5" t="n">
        <f aca="false">PostPro4FW!S710</f>
        <v>700</v>
      </c>
      <c r="F704" s="5" t="n">
        <f aca="false">PostPro4FW!Q710</f>
        <v>0</v>
      </c>
      <c r="G704" s="0" t="n">
        <f aca="false">PostPro4FW!R710</f>
        <v>0</v>
      </c>
    </row>
    <row r="705" customFormat="false" ht="14.35" hidden="false" customHeight="false" outlineLevel="0" collapsed="false">
      <c r="A705" s="4" t="n">
        <v>29372</v>
      </c>
      <c r="B705" s="5" t="n">
        <f aca="false">PostPro4FW!H711</f>
        <v>1000</v>
      </c>
      <c r="C705" s="5" t="n">
        <f aca="false">PostPro4FW!M711</f>
        <v>700</v>
      </c>
      <c r="D705" s="5" t="n">
        <f aca="false">PostPro4FW!H711+PostPro4FW!I711</f>
        <v>1406.58602150538</v>
      </c>
      <c r="E705" s="5" t="n">
        <f aca="false">PostPro4FW!S711</f>
        <v>700</v>
      </c>
      <c r="F705" s="5" t="n">
        <f aca="false">PostPro4FW!Q711</f>
        <v>0</v>
      </c>
      <c r="G705" s="0" t="n">
        <f aca="false">PostPro4FW!R711</f>
        <v>0</v>
      </c>
    </row>
    <row r="706" customFormat="false" ht="14.35" hidden="false" customHeight="false" outlineLevel="0" collapsed="false">
      <c r="A706" s="4" t="n">
        <v>29402</v>
      </c>
      <c r="B706" s="5" t="n">
        <f aca="false">PostPro4FW!H712</f>
        <v>1000</v>
      </c>
      <c r="C706" s="5" t="n">
        <f aca="false">PostPro4FW!M712</f>
        <v>700</v>
      </c>
      <c r="D706" s="5" t="n">
        <f aca="false">PostPro4FW!H712+PostPro4FW!I712</f>
        <v>1000</v>
      </c>
      <c r="E706" s="5" t="n">
        <f aca="false">PostPro4FW!S712</f>
        <v>700</v>
      </c>
      <c r="F706" s="5" t="n">
        <f aca="false">PostPro4FW!Q712</f>
        <v>0</v>
      </c>
      <c r="G706" s="0" t="n">
        <f aca="false">PostPro4FW!R712</f>
        <v>0</v>
      </c>
    </row>
    <row r="707" customFormat="false" ht="14.35" hidden="false" customHeight="false" outlineLevel="0" collapsed="false">
      <c r="A707" s="4" t="n">
        <v>29433</v>
      </c>
      <c r="B707" s="5" t="n">
        <f aca="false">PostPro4FW!H713</f>
        <v>5633.88979887802</v>
      </c>
      <c r="C707" s="5" t="n">
        <f aca="false">PostPro4FW!M713</f>
        <v>700</v>
      </c>
      <c r="D707" s="5" t="n">
        <f aca="false">PostPro4FW!H713+PostPro4FW!I713</f>
        <v>5633.88979887802</v>
      </c>
      <c r="E707" s="5" t="n">
        <f aca="false">PostPro4FW!S713</f>
        <v>700</v>
      </c>
      <c r="F707" s="5" t="n">
        <f aca="false">PostPro4FW!Q713</f>
        <v>0</v>
      </c>
      <c r="G707" s="0" t="n">
        <f aca="false">PostPro4FW!R713</f>
        <v>0</v>
      </c>
    </row>
    <row r="708" customFormat="false" ht="14.35" hidden="false" customHeight="false" outlineLevel="0" collapsed="false">
      <c r="A708" s="4" t="n">
        <v>29464</v>
      </c>
      <c r="B708" s="5" t="n">
        <f aca="false">PostPro4FW!H714</f>
        <v>4483.55392437415</v>
      </c>
      <c r="C708" s="5" t="n">
        <f aca="false">PostPro4FW!M714</f>
        <v>700</v>
      </c>
      <c r="D708" s="5" t="n">
        <f aca="false">PostPro4FW!H714+PostPro4FW!I714</f>
        <v>4483.55392437415</v>
      </c>
      <c r="E708" s="5" t="n">
        <f aca="false">PostPro4FW!S714</f>
        <v>700</v>
      </c>
      <c r="F708" s="5" t="n">
        <f aca="false">PostPro4FW!Q714</f>
        <v>0</v>
      </c>
      <c r="G708" s="0" t="n">
        <f aca="false">PostPro4FW!R714</f>
        <v>0</v>
      </c>
    </row>
    <row r="709" customFormat="false" ht="14.35" hidden="false" customHeight="false" outlineLevel="0" collapsed="false">
      <c r="A709" s="4" t="n">
        <v>29494</v>
      </c>
      <c r="B709" s="5" t="n">
        <f aca="false">PostPro4FW!H715</f>
        <v>7357.39784167077</v>
      </c>
      <c r="C709" s="5" t="n">
        <f aca="false">PostPro4FW!M715</f>
        <v>773.3333333</v>
      </c>
      <c r="D709" s="5" t="n">
        <f aca="false">PostPro4FW!H715+PostPro4FW!I715</f>
        <v>7357.39784167077</v>
      </c>
      <c r="E709" s="5" t="n">
        <f aca="false">PostPro4FW!S715</f>
        <v>773.3333333</v>
      </c>
      <c r="F709" s="5" t="n">
        <f aca="false">PostPro4FW!Q715</f>
        <v>0</v>
      </c>
      <c r="G709" s="0" t="n">
        <f aca="false">PostPro4FW!R715</f>
        <v>0</v>
      </c>
    </row>
    <row r="710" customFormat="false" ht="14.35" hidden="false" customHeight="false" outlineLevel="0" collapsed="false">
      <c r="A710" s="4" t="n">
        <v>29525</v>
      </c>
      <c r="B710" s="5" t="n">
        <f aca="false">PostPro4FW!H716</f>
        <v>4000</v>
      </c>
      <c r="C710" s="5" t="n">
        <f aca="false">PostPro4FW!M716</f>
        <v>800</v>
      </c>
      <c r="D710" s="5" t="n">
        <f aca="false">PostPro4FW!H716+PostPro4FW!I716</f>
        <v>4000</v>
      </c>
      <c r="E710" s="5" t="n">
        <f aca="false">PostPro4FW!S716</f>
        <v>800</v>
      </c>
      <c r="F710" s="5" t="n">
        <f aca="false">PostPro4FW!Q716</f>
        <v>0</v>
      </c>
      <c r="G710" s="0" t="n">
        <f aca="false">PostPro4FW!R716</f>
        <v>0</v>
      </c>
    </row>
    <row r="711" customFormat="false" ht="14.35" hidden="false" customHeight="false" outlineLevel="0" collapsed="false">
      <c r="A711" s="4" t="n">
        <v>29555</v>
      </c>
      <c r="B711" s="5" t="n">
        <f aca="false">PostPro4FW!H717</f>
        <v>2500</v>
      </c>
      <c r="C711" s="5" t="n">
        <f aca="false">PostPro4FW!M717</f>
        <v>800</v>
      </c>
      <c r="D711" s="5" t="n">
        <f aca="false">PostPro4FW!H717+PostPro4FW!I717</f>
        <v>2500</v>
      </c>
      <c r="E711" s="5" t="n">
        <f aca="false">PostPro4FW!S717</f>
        <v>800</v>
      </c>
      <c r="F711" s="5" t="n">
        <f aca="false">PostPro4FW!Q717</f>
        <v>0</v>
      </c>
      <c r="G711" s="0" t="n">
        <f aca="false">PostPro4FW!R717</f>
        <v>0</v>
      </c>
    </row>
    <row r="712" customFormat="false" ht="14.35" hidden="false" customHeight="false" outlineLevel="0" collapsed="false">
      <c r="A712" s="4" t="n">
        <v>29586</v>
      </c>
      <c r="B712" s="5" t="n">
        <f aca="false">PostPro4FW!H718</f>
        <v>4010.71532810796</v>
      </c>
      <c r="C712" s="5" t="n">
        <f aca="false">PostPro4FW!M718</f>
        <v>800</v>
      </c>
      <c r="D712" s="5" t="n">
        <f aca="false">PostPro4FW!H718+PostPro4FW!I718</f>
        <v>4010.71532810796</v>
      </c>
      <c r="E712" s="5" t="n">
        <f aca="false">PostPro4FW!S718</f>
        <v>800</v>
      </c>
      <c r="F712" s="5" t="n">
        <f aca="false">PostPro4FW!Q718</f>
        <v>0</v>
      </c>
      <c r="G712" s="0" t="n">
        <f aca="false">PostPro4FW!R718</f>
        <v>0</v>
      </c>
    </row>
    <row r="713" customFormat="false" ht="14.35" hidden="false" customHeight="false" outlineLevel="0" collapsed="false">
      <c r="A713" s="4" t="n">
        <v>29617</v>
      </c>
      <c r="B713" s="5" t="n">
        <f aca="false">PostPro4FW!H719</f>
        <v>1829.38043666408</v>
      </c>
      <c r="C713" s="5" t="n">
        <f aca="false">PostPro4FW!M719</f>
        <v>800</v>
      </c>
      <c r="D713" s="5" t="n">
        <f aca="false">PostPro4FW!H719+PostPro4FW!I719</f>
        <v>1829.38043666408</v>
      </c>
      <c r="E713" s="5" t="n">
        <f aca="false">PostPro4FW!S719</f>
        <v>800</v>
      </c>
      <c r="F713" s="5" t="n">
        <f aca="false">PostPro4FW!Q719</f>
        <v>0</v>
      </c>
      <c r="G713" s="0" t="n">
        <f aca="false">PostPro4FW!R719</f>
        <v>0</v>
      </c>
    </row>
    <row r="714" customFormat="false" ht="14.35" hidden="false" customHeight="false" outlineLevel="0" collapsed="false">
      <c r="A714" s="4" t="n">
        <v>29645</v>
      </c>
      <c r="B714" s="5" t="n">
        <f aca="false">PostPro4FW!H720</f>
        <v>1700</v>
      </c>
      <c r="C714" s="5" t="n">
        <f aca="false">PostPro4FW!M720</f>
        <v>800</v>
      </c>
      <c r="D714" s="5" t="n">
        <f aca="false">PostPro4FW!H720+PostPro4FW!I720</f>
        <v>1700</v>
      </c>
      <c r="E714" s="5" t="n">
        <f aca="false">PostPro4FW!S720</f>
        <v>1571.42857142857</v>
      </c>
      <c r="F714" s="5" t="n">
        <f aca="false">PostPro4FW!Q720</f>
        <v>1700</v>
      </c>
      <c r="G714" s="0" t="n">
        <f aca="false">PostPro4FW!R720</f>
        <v>24</v>
      </c>
    </row>
    <row r="715" customFormat="false" ht="14.35" hidden="false" customHeight="false" outlineLevel="0" collapsed="false">
      <c r="A715" s="4" t="n">
        <v>29676</v>
      </c>
      <c r="B715" s="5" t="n">
        <f aca="false">PostPro4FW!H721</f>
        <v>1700</v>
      </c>
      <c r="C715" s="5" t="n">
        <f aca="false">PostPro4FW!M721</f>
        <v>800</v>
      </c>
      <c r="D715" s="5" t="n">
        <f aca="false">PostPro4FW!H721+PostPro4FW!I721</f>
        <v>1700</v>
      </c>
      <c r="E715" s="5" t="n">
        <f aca="false">PostPro4FW!S721</f>
        <v>800</v>
      </c>
      <c r="F715" s="5" t="n">
        <f aca="false">PostPro4FW!Q721</f>
        <v>0</v>
      </c>
      <c r="G715" s="0" t="n">
        <f aca="false">PostPro4FW!R721</f>
        <v>0</v>
      </c>
    </row>
    <row r="716" customFormat="false" ht="14.35" hidden="false" customHeight="false" outlineLevel="0" collapsed="false">
      <c r="A716" s="4" t="n">
        <v>29706</v>
      </c>
      <c r="B716" s="5" t="n">
        <f aca="false">PostPro4FW!H722</f>
        <v>1000</v>
      </c>
      <c r="C716" s="5" t="n">
        <f aca="false">PostPro4FW!M722</f>
        <v>700</v>
      </c>
      <c r="D716" s="5" t="n">
        <f aca="false">PostPro4FW!H722+PostPro4FW!I722</f>
        <v>1420.13888888889</v>
      </c>
      <c r="E716" s="5" t="n">
        <f aca="false">PostPro4FW!S722</f>
        <v>700</v>
      </c>
      <c r="F716" s="5" t="n">
        <f aca="false">PostPro4FW!Q722</f>
        <v>0</v>
      </c>
      <c r="G716" s="0" t="n">
        <f aca="false">PostPro4FW!R722</f>
        <v>0</v>
      </c>
    </row>
    <row r="717" customFormat="false" ht="14.35" hidden="false" customHeight="false" outlineLevel="0" collapsed="false">
      <c r="A717" s="4" t="n">
        <v>29737</v>
      </c>
      <c r="B717" s="5" t="n">
        <f aca="false">PostPro4FW!H723</f>
        <v>1000</v>
      </c>
      <c r="C717" s="5" t="n">
        <f aca="false">PostPro4FW!M723</f>
        <v>700</v>
      </c>
      <c r="D717" s="5" t="n">
        <f aca="false">PostPro4FW!H723+PostPro4FW!I723</f>
        <v>1406.58602150538</v>
      </c>
      <c r="E717" s="5" t="n">
        <f aca="false">PostPro4FW!S723</f>
        <v>700</v>
      </c>
      <c r="F717" s="5" t="n">
        <f aca="false">PostPro4FW!Q723</f>
        <v>0</v>
      </c>
      <c r="G717" s="0" t="n">
        <f aca="false">PostPro4FW!R723</f>
        <v>0</v>
      </c>
    </row>
    <row r="718" customFormat="false" ht="14.35" hidden="false" customHeight="false" outlineLevel="0" collapsed="false">
      <c r="A718" s="4" t="n">
        <v>29767</v>
      </c>
      <c r="B718" s="5" t="n">
        <f aca="false">PostPro4FW!H724</f>
        <v>5618.479783638</v>
      </c>
      <c r="C718" s="5" t="n">
        <f aca="false">PostPro4FW!M724</f>
        <v>700</v>
      </c>
      <c r="D718" s="5" t="n">
        <f aca="false">PostPro4FW!H724+PostPro4FW!I724</f>
        <v>5618.479783638</v>
      </c>
      <c r="E718" s="5" t="n">
        <f aca="false">PostPro4FW!S724</f>
        <v>700</v>
      </c>
      <c r="F718" s="5" t="n">
        <f aca="false">PostPro4FW!Q724</f>
        <v>0</v>
      </c>
      <c r="G718" s="0" t="n">
        <f aca="false">PostPro4FW!R724</f>
        <v>0</v>
      </c>
    </row>
    <row r="719" customFormat="false" ht="14.35" hidden="false" customHeight="false" outlineLevel="0" collapsed="false">
      <c r="A719" s="4" t="n">
        <v>29798</v>
      </c>
      <c r="B719" s="5" t="n">
        <f aca="false">PostPro4FW!H725</f>
        <v>10000</v>
      </c>
      <c r="C719" s="5" t="n">
        <f aca="false">PostPro4FW!M725</f>
        <v>700</v>
      </c>
      <c r="D719" s="5" t="n">
        <f aca="false">PostPro4FW!H725+PostPro4FW!I725</f>
        <v>10000</v>
      </c>
      <c r="E719" s="5" t="n">
        <f aca="false">PostPro4FW!S725</f>
        <v>700</v>
      </c>
      <c r="F719" s="5" t="n">
        <f aca="false">PostPro4FW!Q725</f>
        <v>0</v>
      </c>
      <c r="G719" s="0" t="n">
        <f aca="false">PostPro4FW!R725</f>
        <v>0</v>
      </c>
    </row>
    <row r="720" customFormat="false" ht="14.35" hidden="false" customHeight="false" outlineLevel="0" collapsed="false">
      <c r="A720" s="4" t="n">
        <v>29829</v>
      </c>
      <c r="B720" s="5" t="n">
        <f aca="false">PostPro4FW!H726</f>
        <v>1077.63224228786</v>
      </c>
      <c r="C720" s="5" t="n">
        <f aca="false">PostPro4FW!M726</f>
        <v>700</v>
      </c>
      <c r="D720" s="5" t="n">
        <f aca="false">PostPro4FW!H726+PostPro4FW!I726</f>
        <v>1077.63224228786</v>
      </c>
      <c r="E720" s="5" t="n">
        <f aca="false">PostPro4FW!S726</f>
        <v>700</v>
      </c>
      <c r="F720" s="5" t="n">
        <f aca="false">PostPro4FW!Q726</f>
        <v>0</v>
      </c>
      <c r="G720" s="0" t="n">
        <f aca="false">PostPro4FW!R726</f>
        <v>0</v>
      </c>
    </row>
    <row r="721" customFormat="false" ht="14.35" hidden="false" customHeight="false" outlineLevel="0" collapsed="false">
      <c r="A721" s="4" t="n">
        <v>29859</v>
      </c>
      <c r="B721" s="5" t="n">
        <f aca="false">PostPro4FW!H727</f>
        <v>1000</v>
      </c>
      <c r="C721" s="5" t="n">
        <f aca="false">PostPro4FW!M727</f>
        <v>773.3333333</v>
      </c>
      <c r="D721" s="5" t="n">
        <f aca="false">PostPro4FW!H727+PostPro4FW!I727</f>
        <v>1000</v>
      </c>
      <c r="E721" s="5" t="n">
        <f aca="false">PostPro4FW!S727</f>
        <v>773.3333333</v>
      </c>
      <c r="F721" s="5" t="n">
        <f aca="false">PostPro4FW!Q727</f>
        <v>0</v>
      </c>
      <c r="G721" s="0" t="n">
        <f aca="false">PostPro4FW!R727</f>
        <v>0</v>
      </c>
    </row>
    <row r="722" customFormat="false" ht="14.35" hidden="false" customHeight="false" outlineLevel="0" collapsed="false">
      <c r="A722" s="4" t="n">
        <v>29890</v>
      </c>
      <c r="B722" s="5" t="n">
        <f aca="false">PostPro4FW!H728</f>
        <v>1200</v>
      </c>
      <c r="C722" s="5" t="n">
        <f aca="false">PostPro4FW!M728</f>
        <v>800</v>
      </c>
      <c r="D722" s="5" t="n">
        <f aca="false">PostPro4FW!H728+PostPro4FW!I728</f>
        <v>1200</v>
      </c>
      <c r="E722" s="5" t="n">
        <f aca="false">PostPro4FW!S728</f>
        <v>800</v>
      </c>
      <c r="F722" s="5" t="n">
        <f aca="false">PostPro4FW!Q728</f>
        <v>0</v>
      </c>
      <c r="G722" s="0" t="n">
        <f aca="false">PostPro4FW!R728</f>
        <v>0</v>
      </c>
    </row>
    <row r="723" customFormat="false" ht="14.35" hidden="false" customHeight="false" outlineLevel="0" collapsed="false">
      <c r="A723" s="4" t="n">
        <v>29920</v>
      </c>
      <c r="B723" s="5" t="n">
        <f aca="false">PostPro4FW!H729</f>
        <v>1200</v>
      </c>
      <c r="C723" s="5" t="n">
        <f aca="false">PostPro4FW!M729</f>
        <v>800</v>
      </c>
      <c r="D723" s="5" t="n">
        <f aca="false">PostPro4FW!H729+PostPro4FW!I729</f>
        <v>1200</v>
      </c>
      <c r="E723" s="5" t="n">
        <f aca="false">PostPro4FW!S729</f>
        <v>800</v>
      </c>
      <c r="F723" s="5" t="n">
        <f aca="false">PostPro4FW!Q729</f>
        <v>0</v>
      </c>
      <c r="G723" s="0" t="n">
        <f aca="false">PostPro4FW!R729</f>
        <v>0</v>
      </c>
    </row>
    <row r="724" customFormat="false" ht="14.35" hidden="false" customHeight="false" outlineLevel="0" collapsed="false">
      <c r="A724" s="4" t="n">
        <v>29951</v>
      </c>
      <c r="B724" s="5" t="n">
        <f aca="false">PostPro4FW!H730</f>
        <v>9113.69479926021</v>
      </c>
      <c r="C724" s="5" t="n">
        <f aca="false">PostPro4FW!M730</f>
        <v>800</v>
      </c>
      <c r="D724" s="5" t="n">
        <f aca="false">PostPro4FW!H730+PostPro4FW!I730</f>
        <v>9113.69479926021</v>
      </c>
      <c r="E724" s="5" t="n">
        <f aca="false">PostPro4FW!S730</f>
        <v>800</v>
      </c>
      <c r="F724" s="5" t="n">
        <f aca="false">PostPro4FW!Q730</f>
        <v>0</v>
      </c>
      <c r="G724" s="0" t="n">
        <f aca="false">PostPro4FW!R730</f>
        <v>0</v>
      </c>
    </row>
    <row r="725" customFormat="false" ht="14.35" hidden="false" customHeight="false" outlineLevel="0" collapsed="false">
      <c r="A725" s="4" t="n">
        <v>29982</v>
      </c>
      <c r="B725" s="5" t="n">
        <f aca="false">PostPro4FW!H731</f>
        <v>8090.10588077446</v>
      </c>
      <c r="C725" s="5" t="n">
        <f aca="false">PostPro4FW!M731</f>
        <v>800</v>
      </c>
      <c r="D725" s="5" t="n">
        <f aca="false">PostPro4FW!H731+PostPro4FW!I731</f>
        <v>8090.10588077446</v>
      </c>
      <c r="E725" s="5" t="n">
        <f aca="false">PostPro4FW!S731</f>
        <v>800</v>
      </c>
      <c r="F725" s="5" t="n">
        <f aca="false">PostPro4FW!Q731</f>
        <v>0</v>
      </c>
      <c r="G725" s="0" t="n">
        <f aca="false">PostPro4FW!R731</f>
        <v>0</v>
      </c>
    </row>
    <row r="726" customFormat="false" ht="14.35" hidden="false" customHeight="false" outlineLevel="0" collapsed="false">
      <c r="A726" s="4" t="n">
        <v>30010</v>
      </c>
      <c r="B726" s="5" t="n">
        <f aca="false">PostPro4FW!H732</f>
        <v>17980.5798680485</v>
      </c>
      <c r="C726" s="5" t="n">
        <f aca="false">PostPro4FW!M732</f>
        <v>800</v>
      </c>
      <c r="D726" s="5" t="n">
        <f aca="false">PostPro4FW!H732+PostPro4FW!I732</f>
        <v>17980.5798680485</v>
      </c>
      <c r="E726" s="5" t="n">
        <f aca="false">PostPro4FW!S732</f>
        <v>800</v>
      </c>
      <c r="F726" s="5" t="n">
        <f aca="false">PostPro4FW!Q732</f>
        <v>0</v>
      </c>
      <c r="G726" s="0" t="n">
        <f aca="false">PostPro4FW!R732</f>
        <v>0</v>
      </c>
    </row>
    <row r="727" customFormat="false" ht="14.35" hidden="false" customHeight="false" outlineLevel="0" collapsed="false">
      <c r="A727" s="4" t="n">
        <v>30041</v>
      </c>
      <c r="B727" s="5" t="n">
        <f aca="false">PostPro4FW!H733</f>
        <v>13394.440787873</v>
      </c>
      <c r="C727" s="5" t="n">
        <f aca="false">PostPro4FW!M733</f>
        <v>800</v>
      </c>
      <c r="D727" s="5" t="n">
        <f aca="false">PostPro4FW!H733+PostPro4FW!I733</f>
        <v>13394.440787873</v>
      </c>
      <c r="E727" s="5" t="n">
        <f aca="false">PostPro4FW!S733</f>
        <v>800</v>
      </c>
      <c r="F727" s="5" t="n">
        <f aca="false">PostPro4FW!Q733</f>
        <v>0</v>
      </c>
      <c r="G727" s="0" t="n">
        <f aca="false">PostPro4FW!R733</f>
        <v>0</v>
      </c>
    </row>
    <row r="728" customFormat="false" ht="14.35" hidden="false" customHeight="false" outlineLevel="0" collapsed="false">
      <c r="A728" s="4" t="n">
        <v>30071</v>
      </c>
      <c r="B728" s="5" t="n">
        <f aca="false">PostPro4FW!H734</f>
        <v>18990.8409014977</v>
      </c>
      <c r="C728" s="5" t="n">
        <f aca="false">PostPro4FW!M734</f>
        <v>700</v>
      </c>
      <c r="D728" s="5" t="n">
        <f aca="false">PostPro4FW!H734+PostPro4FW!I734</f>
        <v>18990.8409014977</v>
      </c>
      <c r="E728" s="5" t="n">
        <f aca="false">PostPro4FW!S734</f>
        <v>700</v>
      </c>
      <c r="F728" s="5" t="n">
        <f aca="false">PostPro4FW!Q734</f>
        <v>0</v>
      </c>
      <c r="G728" s="0" t="n">
        <f aca="false">PostPro4FW!R734</f>
        <v>0</v>
      </c>
    </row>
    <row r="729" customFormat="false" ht="14.35" hidden="false" customHeight="false" outlineLevel="0" collapsed="false">
      <c r="A729" s="4" t="n">
        <v>30102</v>
      </c>
      <c r="B729" s="5" t="n">
        <f aca="false">PostPro4FW!H735</f>
        <v>8015.05337152372</v>
      </c>
      <c r="C729" s="5" t="n">
        <f aca="false">PostPro4FW!M735</f>
        <v>700</v>
      </c>
      <c r="D729" s="5" t="n">
        <f aca="false">PostPro4FW!H735+PostPro4FW!I735</f>
        <v>8015.05337152372</v>
      </c>
      <c r="E729" s="5" t="n">
        <f aca="false">PostPro4FW!S735</f>
        <v>700</v>
      </c>
      <c r="F729" s="5" t="n">
        <f aca="false">PostPro4FW!Q735</f>
        <v>0</v>
      </c>
      <c r="G729" s="0" t="n">
        <f aca="false">PostPro4FW!R735</f>
        <v>0</v>
      </c>
    </row>
    <row r="730" customFormat="false" ht="14.35" hidden="false" customHeight="false" outlineLevel="0" collapsed="false">
      <c r="A730" s="4" t="n">
        <v>30132</v>
      </c>
      <c r="B730" s="5" t="n">
        <f aca="false">PostPro4FW!H736</f>
        <v>3732.96722420608</v>
      </c>
      <c r="C730" s="5" t="n">
        <f aca="false">PostPro4FW!M736</f>
        <v>700</v>
      </c>
      <c r="D730" s="5" t="n">
        <f aca="false">PostPro4FW!H736+PostPro4FW!I736</f>
        <v>3732.96722420608</v>
      </c>
      <c r="E730" s="5" t="n">
        <f aca="false">PostPro4FW!S736</f>
        <v>700</v>
      </c>
      <c r="F730" s="5" t="n">
        <f aca="false">PostPro4FW!Q736</f>
        <v>0</v>
      </c>
      <c r="G730" s="0" t="n">
        <f aca="false">PostPro4FW!R736</f>
        <v>0</v>
      </c>
    </row>
    <row r="731" customFormat="false" ht="14.35" hidden="false" customHeight="false" outlineLevel="0" collapsed="false">
      <c r="A731" s="4" t="n">
        <v>30163</v>
      </c>
      <c r="B731" s="5" t="n">
        <f aca="false">PostPro4FW!H737</f>
        <v>4126.93857638748</v>
      </c>
      <c r="C731" s="5" t="n">
        <f aca="false">PostPro4FW!M737</f>
        <v>700</v>
      </c>
      <c r="D731" s="5" t="n">
        <f aca="false">PostPro4FW!H737+PostPro4FW!I737</f>
        <v>4126.93857638748</v>
      </c>
      <c r="E731" s="5" t="n">
        <f aca="false">PostPro4FW!S737</f>
        <v>700</v>
      </c>
      <c r="F731" s="5" t="n">
        <f aca="false">PostPro4FW!Q737</f>
        <v>0</v>
      </c>
      <c r="G731" s="0" t="n">
        <f aca="false">PostPro4FW!R737</f>
        <v>0</v>
      </c>
    </row>
    <row r="732" customFormat="false" ht="14.35" hidden="false" customHeight="false" outlineLevel="0" collapsed="false">
      <c r="A732" s="4" t="n">
        <v>30194</v>
      </c>
      <c r="B732" s="5" t="n">
        <f aca="false">PostPro4FW!H738</f>
        <v>1000</v>
      </c>
      <c r="C732" s="5" t="n">
        <f aca="false">PostPro4FW!M738</f>
        <v>700</v>
      </c>
      <c r="D732" s="5" t="n">
        <f aca="false">PostPro4FW!H738+PostPro4FW!I738</f>
        <v>1000</v>
      </c>
      <c r="E732" s="5" t="n">
        <f aca="false">PostPro4FW!S738</f>
        <v>700</v>
      </c>
      <c r="F732" s="5" t="n">
        <f aca="false">PostPro4FW!Q738</f>
        <v>0</v>
      </c>
      <c r="G732" s="0" t="n">
        <f aca="false">PostPro4FW!R738</f>
        <v>0</v>
      </c>
    </row>
    <row r="733" customFormat="false" ht="14.35" hidden="false" customHeight="false" outlineLevel="0" collapsed="false">
      <c r="A733" s="4" t="n">
        <v>30224</v>
      </c>
      <c r="B733" s="5" t="n">
        <f aca="false">PostPro4FW!H739</f>
        <v>5331.54040655778</v>
      </c>
      <c r="C733" s="5" t="n">
        <f aca="false">PostPro4FW!M739</f>
        <v>773.3333333</v>
      </c>
      <c r="D733" s="5" t="n">
        <f aca="false">PostPro4FW!H739+PostPro4FW!I739</f>
        <v>5331.54040655778</v>
      </c>
      <c r="E733" s="5" t="n">
        <f aca="false">PostPro4FW!S739</f>
        <v>773.3333333</v>
      </c>
      <c r="F733" s="5" t="n">
        <f aca="false">PostPro4FW!Q739</f>
        <v>0</v>
      </c>
      <c r="G733" s="0" t="n">
        <f aca="false">PostPro4FW!R739</f>
        <v>0</v>
      </c>
    </row>
    <row r="734" customFormat="false" ht="14.35" hidden="false" customHeight="false" outlineLevel="0" collapsed="false">
      <c r="A734" s="4" t="n">
        <v>30255</v>
      </c>
      <c r="B734" s="5" t="n">
        <f aca="false">PostPro4FW!H740</f>
        <v>1700</v>
      </c>
      <c r="C734" s="5" t="n">
        <f aca="false">PostPro4FW!M740</f>
        <v>800</v>
      </c>
      <c r="D734" s="5" t="n">
        <f aca="false">PostPro4FW!H740+PostPro4FW!I740</f>
        <v>1700</v>
      </c>
      <c r="E734" s="5" t="n">
        <f aca="false">PostPro4FW!S740</f>
        <v>800</v>
      </c>
      <c r="F734" s="5" t="n">
        <f aca="false">PostPro4FW!Q740</f>
        <v>0</v>
      </c>
      <c r="G734" s="0" t="n">
        <f aca="false">PostPro4FW!R740</f>
        <v>0</v>
      </c>
    </row>
    <row r="735" customFormat="false" ht="14.35" hidden="false" customHeight="false" outlineLevel="0" collapsed="false">
      <c r="A735" s="4" t="n">
        <v>30285</v>
      </c>
      <c r="B735" s="5" t="n">
        <f aca="false">PostPro4FW!H741</f>
        <v>6969.51352854932</v>
      </c>
      <c r="C735" s="5" t="n">
        <f aca="false">PostPro4FW!M741</f>
        <v>800</v>
      </c>
      <c r="D735" s="5" t="n">
        <f aca="false">PostPro4FW!H741+PostPro4FW!I741</f>
        <v>6969.51352854932</v>
      </c>
      <c r="E735" s="5" t="n">
        <f aca="false">PostPro4FW!S741</f>
        <v>800</v>
      </c>
      <c r="F735" s="5" t="n">
        <f aca="false">PostPro4FW!Q741</f>
        <v>0</v>
      </c>
      <c r="G735" s="0" t="n">
        <f aca="false">PostPro4FW!R741</f>
        <v>0</v>
      </c>
    </row>
    <row r="736" customFormat="false" ht="14.35" hidden="false" customHeight="false" outlineLevel="0" collapsed="false">
      <c r="A736" s="4" t="n">
        <v>30316</v>
      </c>
      <c r="B736" s="5" t="n">
        <f aca="false">PostPro4FW!H742</f>
        <v>9719.04835874137</v>
      </c>
      <c r="C736" s="5" t="n">
        <f aca="false">PostPro4FW!M742</f>
        <v>800</v>
      </c>
      <c r="D736" s="5" t="n">
        <f aca="false">PostPro4FW!H742+PostPro4FW!I742</f>
        <v>9719.04835874137</v>
      </c>
      <c r="E736" s="5" t="n">
        <f aca="false">PostPro4FW!S742</f>
        <v>800</v>
      </c>
      <c r="F736" s="5" t="n">
        <f aca="false">PostPro4FW!Q742</f>
        <v>0</v>
      </c>
      <c r="G736" s="0" t="n">
        <f aca="false">PostPro4FW!R742</f>
        <v>0</v>
      </c>
    </row>
    <row r="737" customFormat="false" ht="14.35" hidden="false" customHeight="false" outlineLevel="0" collapsed="false">
      <c r="A737" s="4" t="n">
        <v>30347</v>
      </c>
      <c r="B737" s="5" t="n">
        <f aca="false">PostPro4FW!H743</f>
        <v>12500.5550875491</v>
      </c>
      <c r="C737" s="5" t="n">
        <f aca="false">PostPro4FW!M743</f>
        <v>800</v>
      </c>
      <c r="D737" s="5" t="n">
        <f aca="false">PostPro4FW!H743+PostPro4FW!I743</f>
        <v>12500.5550875491</v>
      </c>
      <c r="E737" s="5" t="n">
        <f aca="false">PostPro4FW!S743</f>
        <v>800</v>
      </c>
      <c r="F737" s="5" t="n">
        <f aca="false">PostPro4FW!Q743</f>
        <v>0</v>
      </c>
      <c r="G737" s="0" t="n">
        <f aca="false">PostPro4FW!R743</f>
        <v>0</v>
      </c>
    </row>
    <row r="738" customFormat="false" ht="14.35" hidden="false" customHeight="false" outlineLevel="0" collapsed="false">
      <c r="A738" s="4" t="n">
        <v>30375</v>
      </c>
      <c r="B738" s="5" t="n">
        <f aca="false">PostPro4FW!H744</f>
        <v>21721.9502015946</v>
      </c>
      <c r="C738" s="5" t="n">
        <f aca="false">PostPro4FW!M744</f>
        <v>800</v>
      </c>
      <c r="D738" s="5" t="n">
        <f aca="false">PostPro4FW!H744+PostPro4FW!I744</f>
        <v>21721.9502015946</v>
      </c>
      <c r="E738" s="5" t="n">
        <f aca="false">PostPro4FW!S744</f>
        <v>800</v>
      </c>
      <c r="F738" s="5" t="n">
        <f aca="false">PostPro4FW!Q744</f>
        <v>0</v>
      </c>
      <c r="G738" s="0" t="n">
        <f aca="false">PostPro4FW!R744</f>
        <v>0</v>
      </c>
    </row>
    <row r="739" customFormat="false" ht="14.35" hidden="false" customHeight="false" outlineLevel="0" collapsed="false">
      <c r="A739" s="4" t="n">
        <v>30406</v>
      </c>
      <c r="B739" s="5" t="n">
        <f aca="false">PostPro4FW!H745</f>
        <v>31802.5429033528</v>
      </c>
      <c r="C739" s="5" t="n">
        <f aca="false">PostPro4FW!M745</f>
        <v>800</v>
      </c>
      <c r="D739" s="5" t="n">
        <f aca="false">PostPro4FW!H745+PostPro4FW!I745</f>
        <v>31802.5429033528</v>
      </c>
      <c r="E739" s="5" t="n">
        <f aca="false">PostPro4FW!S745</f>
        <v>800</v>
      </c>
      <c r="F739" s="5" t="n">
        <f aca="false">PostPro4FW!Q745</f>
        <v>0</v>
      </c>
      <c r="G739" s="0" t="n">
        <f aca="false">PostPro4FW!R745</f>
        <v>0</v>
      </c>
    </row>
    <row r="740" customFormat="false" ht="14.35" hidden="false" customHeight="false" outlineLevel="0" collapsed="false">
      <c r="A740" s="4" t="n">
        <v>30436</v>
      </c>
      <c r="B740" s="5" t="n">
        <f aca="false">PostPro4FW!H746</f>
        <v>8770.90130426694</v>
      </c>
      <c r="C740" s="5" t="n">
        <f aca="false">PostPro4FW!M746</f>
        <v>700</v>
      </c>
      <c r="D740" s="5" t="n">
        <f aca="false">PostPro4FW!H746+PostPro4FW!I746</f>
        <v>8770.90130426694</v>
      </c>
      <c r="E740" s="5" t="n">
        <f aca="false">PostPro4FW!S746</f>
        <v>700</v>
      </c>
      <c r="F740" s="5" t="n">
        <f aca="false">PostPro4FW!Q746</f>
        <v>0</v>
      </c>
      <c r="G740" s="0" t="n">
        <f aca="false">PostPro4FW!R746</f>
        <v>0</v>
      </c>
    </row>
    <row r="741" customFormat="false" ht="14.35" hidden="false" customHeight="false" outlineLevel="0" collapsed="false">
      <c r="A741" s="4" t="n">
        <v>30467</v>
      </c>
      <c r="B741" s="5" t="n">
        <f aca="false">PostPro4FW!H747</f>
        <v>11889.1501902224</v>
      </c>
      <c r="C741" s="5" t="n">
        <f aca="false">PostPro4FW!M747</f>
        <v>700</v>
      </c>
      <c r="D741" s="5" t="n">
        <f aca="false">PostPro4FW!H747+PostPro4FW!I747</f>
        <v>11889.1501902224</v>
      </c>
      <c r="E741" s="5" t="n">
        <f aca="false">PostPro4FW!S747</f>
        <v>700</v>
      </c>
      <c r="F741" s="5" t="n">
        <f aca="false">PostPro4FW!Q747</f>
        <v>0</v>
      </c>
      <c r="G741" s="0" t="n">
        <f aca="false">PostPro4FW!R747</f>
        <v>0</v>
      </c>
    </row>
    <row r="742" customFormat="false" ht="14.35" hidden="false" customHeight="false" outlineLevel="0" collapsed="false">
      <c r="A742" s="4" t="n">
        <v>30497</v>
      </c>
      <c r="B742" s="5" t="n">
        <f aca="false">PostPro4FW!H748</f>
        <v>11717.6722459041</v>
      </c>
      <c r="C742" s="5" t="n">
        <f aca="false">PostPro4FW!M748</f>
        <v>700</v>
      </c>
      <c r="D742" s="5" t="n">
        <f aca="false">PostPro4FW!H748+PostPro4FW!I748</f>
        <v>11717.6722459041</v>
      </c>
      <c r="E742" s="5" t="n">
        <f aca="false">PostPro4FW!S748</f>
        <v>700</v>
      </c>
      <c r="F742" s="5" t="n">
        <f aca="false">PostPro4FW!Q748</f>
        <v>0</v>
      </c>
      <c r="G742" s="0" t="n">
        <f aca="false">PostPro4FW!R748</f>
        <v>0</v>
      </c>
    </row>
    <row r="743" customFormat="false" ht="14.35" hidden="false" customHeight="false" outlineLevel="0" collapsed="false">
      <c r="A743" s="4" t="n">
        <v>30528</v>
      </c>
      <c r="B743" s="5" t="n">
        <f aca="false">PostPro4FW!H749</f>
        <v>2876.72591614348</v>
      </c>
      <c r="C743" s="5" t="n">
        <f aca="false">PostPro4FW!M749</f>
        <v>700</v>
      </c>
      <c r="D743" s="5" t="n">
        <f aca="false">PostPro4FW!H749+PostPro4FW!I749</f>
        <v>2876.72591614348</v>
      </c>
      <c r="E743" s="5" t="n">
        <f aca="false">PostPro4FW!S749</f>
        <v>700</v>
      </c>
      <c r="F743" s="5" t="n">
        <f aca="false">PostPro4FW!Q749</f>
        <v>0</v>
      </c>
      <c r="G743" s="0" t="n">
        <f aca="false">PostPro4FW!R749</f>
        <v>0</v>
      </c>
    </row>
    <row r="744" customFormat="false" ht="14.35" hidden="false" customHeight="false" outlineLevel="0" collapsed="false">
      <c r="A744" s="4" t="n">
        <v>30559</v>
      </c>
      <c r="B744" s="5" t="n">
        <f aca="false">PostPro4FW!H750</f>
        <v>1463.4423237628</v>
      </c>
      <c r="C744" s="5" t="n">
        <f aca="false">PostPro4FW!M750</f>
        <v>700</v>
      </c>
      <c r="D744" s="5" t="n">
        <f aca="false">PostPro4FW!H750+PostPro4FW!I750</f>
        <v>1463.4423237628</v>
      </c>
      <c r="E744" s="5" t="n">
        <f aca="false">PostPro4FW!S750</f>
        <v>700</v>
      </c>
      <c r="F744" s="5" t="n">
        <f aca="false">PostPro4FW!Q750</f>
        <v>0</v>
      </c>
      <c r="G744" s="0" t="n">
        <f aca="false">PostPro4FW!R750</f>
        <v>0</v>
      </c>
    </row>
    <row r="745" customFormat="false" ht="14.35" hidden="false" customHeight="false" outlineLevel="0" collapsed="false">
      <c r="A745" s="4" t="n">
        <v>30589</v>
      </c>
      <c r="B745" s="5" t="n">
        <f aca="false">PostPro4FW!H751</f>
        <v>5047.22406485996</v>
      </c>
      <c r="C745" s="5" t="n">
        <f aca="false">PostPro4FW!M751</f>
        <v>773.3333333</v>
      </c>
      <c r="D745" s="5" t="n">
        <f aca="false">PostPro4FW!H751+PostPro4FW!I751</f>
        <v>5047.22406485996</v>
      </c>
      <c r="E745" s="5" t="n">
        <f aca="false">PostPro4FW!S751</f>
        <v>773.3333333</v>
      </c>
      <c r="F745" s="5" t="n">
        <f aca="false">PostPro4FW!Q751</f>
        <v>0</v>
      </c>
      <c r="G745" s="0" t="n">
        <f aca="false">PostPro4FW!R751</f>
        <v>0</v>
      </c>
    </row>
    <row r="746" customFormat="false" ht="14.35" hidden="false" customHeight="false" outlineLevel="0" collapsed="false">
      <c r="A746" s="4" t="n">
        <v>30620</v>
      </c>
      <c r="B746" s="5" t="n">
        <f aca="false">PostPro4FW!H752</f>
        <v>3785.58819223038</v>
      </c>
      <c r="C746" s="5" t="n">
        <f aca="false">PostPro4FW!M752</f>
        <v>800</v>
      </c>
      <c r="D746" s="5" t="n">
        <f aca="false">PostPro4FW!H752+PostPro4FW!I752</f>
        <v>3785.58819223038</v>
      </c>
      <c r="E746" s="5" t="n">
        <f aca="false">PostPro4FW!S752</f>
        <v>800</v>
      </c>
      <c r="F746" s="5" t="n">
        <f aca="false">PostPro4FW!Q752</f>
        <v>0</v>
      </c>
      <c r="G746" s="0" t="n">
        <f aca="false">PostPro4FW!R752</f>
        <v>0</v>
      </c>
    </row>
    <row r="747" customFormat="false" ht="14.35" hidden="false" customHeight="false" outlineLevel="0" collapsed="false">
      <c r="A747" s="4" t="n">
        <v>30650</v>
      </c>
      <c r="B747" s="5" t="n">
        <f aca="false">PostPro4FW!H753</f>
        <v>13178.3945889625</v>
      </c>
      <c r="C747" s="5" t="n">
        <f aca="false">PostPro4FW!M753</f>
        <v>800</v>
      </c>
      <c r="D747" s="5" t="n">
        <f aca="false">PostPro4FW!H753+PostPro4FW!I753</f>
        <v>13178.3945889625</v>
      </c>
      <c r="E747" s="5" t="n">
        <f aca="false">PostPro4FW!S753</f>
        <v>800</v>
      </c>
      <c r="F747" s="5" t="n">
        <f aca="false">PostPro4FW!Q753</f>
        <v>0</v>
      </c>
      <c r="G747" s="0" t="n">
        <f aca="false">PostPro4FW!R753</f>
        <v>0</v>
      </c>
    </row>
    <row r="748" customFormat="false" ht="14.35" hidden="false" customHeight="false" outlineLevel="0" collapsed="false">
      <c r="A748" s="4" t="n">
        <v>30681</v>
      </c>
      <c r="B748" s="5" t="n">
        <f aca="false">PostPro4FW!H754</f>
        <v>23709.4151307641</v>
      </c>
      <c r="C748" s="5" t="n">
        <f aca="false">PostPro4FW!M754</f>
        <v>800</v>
      </c>
      <c r="D748" s="5" t="n">
        <f aca="false">PostPro4FW!H754+PostPro4FW!I754</f>
        <v>23709.4151307641</v>
      </c>
      <c r="E748" s="5" t="n">
        <f aca="false">PostPro4FW!S754</f>
        <v>800</v>
      </c>
      <c r="F748" s="5" t="n">
        <f aca="false">PostPro4FW!Q754</f>
        <v>0</v>
      </c>
      <c r="G748" s="0" t="n">
        <f aca="false">PostPro4FW!R754</f>
        <v>0</v>
      </c>
    </row>
    <row r="749" customFormat="false" ht="14.35" hidden="false" customHeight="false" outlineLevel="0" collapsed="false">
      <c r="A749" s="4" t="n">
        <v>30712</v>
      </c>
      <c r="B749" s="5" t="n">
        <f aca="false">PostPro4FW!H755</f>
        <v>4877.69298791035</v>
      </c>
      <c r="C749" s="5" t="n">
        <f aca="false">PostPro4FW!M755</f>
        <v>800</v>
      </c>
      <c r="D749" s="5" t="n">
        <f aca="false">PostPro4FW!H755+PostPro4FW!I755</f>
        <v>4877.69298791035</v>
      </c>
      <c r="E749" s="5" t="n">
        <f aca="false">PostPro4FW!S755</f>
        <v>800</v>
      </c>
      <c r="F749" s="5" t="n">
        <f aca="false">PostPro4FW!Q755</f>
        <v>0</v>
      </c>
      <c r="G749" s="0" t="n">
        <f aca="false">PostPro4FW!R755</f>
        <v>0</v>
      </c>
    </row>
    <row r="750" customFormat="false" ht="14.35" hidden="false" customHeight="false" outlineLevel="0" collapsed="false">
      <c r="A750" s="4" t="n">
        <v>30741</v>
      </c>
      <c r="B750" s="5" t="n">
        <f aca="false">PostPro4FW!H756</f>
        <v>8595.16006310825</v>
      </c>
      <c r="C750" s="5" t="n">
        <f aca="false">PostPro4FW!M756</f>
        <v>800</v>
      </c>
      <c r="D750" s="5" t="n">
        <f aca="false">PostPro4FW!H756+PostPro4FW!I756</f>
        <v>8595.16006310825</v>
      </c>
      <c r="E750" s="5" t="n">
        <f aca="false">PostPro4FW!S756</f>
        <v>800</v>
      </c>
      <c r="F750" s="5" t="n">
        <f aca="false">PostPro4FW!Q756</f>
        <v>0</v>
      </c>
      <c r="G750" s="0" t="n">
        <f aca="false">PostPro4FW!R756</f>
        <v>0</v>
      </c>
    </row>
    <row r="751" customFormat="false" ht="14.35" hidden="false" customHeight="false" outlineLevel="0" collapsed="false">
      <c r="A751" s="4" t="n">
        <v>30772</v>
      </c>
      <c r="B751" s="5" t="n">
        <f aca="false">PostPro4FW!H757</f>
        <v>9025.41744050267</v>
      </c>
      <c r="C751" s="5" t="n">
        <f aca="false">PostPro4FW!M757</f>
        <v>800</v>
      </c>
      <c r="D751" s="5" t="n">
        <f aca="false">PostPro4FW!H757+PostPro4FW!I757</f>
        <v>9025.41744050267</v>
      </c>
      <c r="E751" s="5" t="n">
        <f aca="false">PostPro4FW!S757</f>
        <v>800</v>
      </c>
      <c r="F751" s="5" t="n">
        <f aca="false">PostPro4FW!Q757</f>
        <v>0</v>
      </c>
      <c r="G751" s="0" t="n">
        <f aca="false">PostPro4FW!R757</f>
        <v>0</v>
      </c>
    </row>
    <row r="752" customFormat="false" ht="14.35" hidden="false" customHeight="false" outlineLevel="0" collapsed="false">
      <c r="A752" s="4" t="n">
        <v>30802</v>
      </c>
      <c r="B752" s="5" t="n">
        <f aca="false">PostPro4FW!H758</f>
        <v>1000</v>
      </c>
      <c r="C752" s="5" t="n">
        <f aca="false">PostPro4FW!M758</f>
        <v>700</v>
      </c>
      <c r="D752" s="5" t="n">
        <f aca="false">PostPro4FW!H758+PostPro4FW!I758</f>
        <v>1000</v>
      </c>
      <c r="E752" s="5" t="n">
        <f aca="false">PostPro4FW!S758</f>
        <v>700</v>
      </c>
      <c r="F752" s="5" t="n">
        <f aca="false">PostPro4FW!Q758</f>
        <v>0</v>
      </c>
      <c r="G752" s="0" t="n">
        <f aca="false">PostPro4FW!R758</f>
        <v>0</v>
      </c>
    </row>
    <row r="753" customFormat="false" ht="14.35" hidden="false" customHeight="false" outlineLevel="0" collapsed="false">
      <c r="A753" s="4" t="n">
        <v>30833</v>
      </c>
      <c r="B753" s="5" t="n">
        <f aca="false">PostPro4FW!H759</f>
        <v>1000</v>
      </c>
      <c r="C753" s="5" t="n">
        <f aca="false">PostPro4FW!M759</f>
        <v>700</v>
      </c>
      <c r="D753" s="5" t="n">
        <f aca="false">PostPro4FW!H759+PostPro4FW!I759</f>
        <v>1000</v>
      </c>
      <c r="E753" s="5" t="n">
        <f aca="false">PostPro4FW!S759</f>
        <v>700</v>
      </c>
      <c r="F753" s="5" t="n">
        <f aca="false">PostPro4FW!Q759</f>
        <v>0</v>
      </c>
      <c r="G753" s="0" t="n">
        <f aca="false">PostPro4FW!R759</f>
        <v>0</v>
      </c>
    </row>
    <row r="754" customFormat="false" ht="14.35" hidden="false" customHeight="false" outlineLevel="0" collapsed="false">
      <c r="A754" s="4" t="n">
        <v>30863</v>
      </c>
      <c r="B754" s="5" t="n">
        <f aca="false">PostPro4FW!H760</f>
        <v>3430.15076798107</v>
      </c>
      <c r="C754" s="5" t="n">
        <f aca="false">PostPro4FW!M760</f>
        <v>700</v>
      </c>
      <c r="D754" s="5" t="n">
        <f aca="false">PostPro4FW!H760+PostPro4FW!I760</f>
        <v>3430.15076798107</v>
      </c>
      <c r="E754" s="5" t="n">
        <f aca="false">PostPro4FW!S760</f>
        <v>700</v>
      </c>
      <c r="F754" s="5" t="n">
        <f aca="false">PostPro4FW!Q760</f>
        <v>0</v>
      </c>
      <c r="G754" s="0" t="n">
        <f aca="false">PostPro4FW!R760</f>
        <v>0</v>
      </c>
    </row>
    <row r="755" customFormat="false" ht="14.35" hidden="false" customHeight="false" outlineLevel="0" collapsed="false">
      <c r="A755" s="4" t="n">
        <v>30894</v>
      </c>
      <c r="B755" s="5" t="n">
        <f aca="false">PostPro4FW!H761</f>
        <v>9481.85632877321</v>
      </c>
      <c r="C755" s="5" t="n">
        <f aca="false">PostPro4FW!M761</f>
        <v>700</v>
      </c>
      <c r="D755" s="5" t="n">
        <f aca="false">PostPro4FW!H761+PostPro4FW!I761</f>
        <v>9481.85632877321</v>
      </c>
      <c r="E755" s="5" t="n">
        <f aca="false">PostPro4FW!S761</f>
        <v>700</v>
      </c>
      <c r="F755" s="5" t="n">
        <f aca="false">PostPro4FW!Q761</f>
        <v>0</v>
      </c>
      <c r="G755" s="0" t="n">
        <f aca="false">PostPro4FW!R761</f>
        <v>0</v>
      </c>
    </row>
    <row r="756" customFormat="false" ht="14.35" hidden="false" customHeight="false" outlineLevel="0" collapsed="false">
      <c r="A756" s="4" t="n">
        <v>30925</v>
      </c>
      <c r="B756" s="5" t="n">
        <f aca="false">PostPro4FW!H762</f>
        <v>6663.70112452111</v>
      </c>
      <c r="C756" s="5" t="n">
        <f aca="false">PostPro4FW!M762</f>
        <v>700</v>
      </c>
      <c r="D756" s="5" t="n">
        <f aca="false">PostPro4FW!H762+PostPro4FW!I762</f>
        <v>6663.70112452111</v>
      </c>
      <c r="E756" s="5" t="n">
        <f aca="false">PostPro4FW!S762</f>
        <v>700</v>
      </c>
      <c r="F756" s="5" t="n">
        <f aca="false">PostPro4FW!Q762</f>
        <v>0</v>
      </c>
      <c r="G756" s="0" t="n">
        <f aca="false">PostPro4FW!R762</f>
        <v>0</v>
      </c>
    </row>
    <row r="757" customFormat="false" ht="14.35" hidden="false" customHeight="false" outlineLevel="0" collapsed="false">
      <c r="A757" s="4" t="n">
        <v>30955</v>
      </c>
      <c r="B757" s="5" t="n">
        <f aca="false">PostPro4FW!H763</f>
        <v>8954.27974258437</v>
      </c>
      <c r="C757" s="5" t="n">
        <f aca="false">PostPro4FW!M763</f>
        <v>773.3333333</v>
      </c>
      <c r="D757" s="5" t="n">
        <f aca="false">PostPro4FW!H763+PostPro4FW!I763</f>
        <v>8954.27974258437</v>
      </c>
      <c r="E757" s="5" t="n">
        <f aca="false">PostPro4FW!S763</f>
        <v>773.3333333</v>
      </c>
      <c r="F757" s="5" t="n">
        <f aca="false">PostPro4FW!Q763</f>
        <v>0</v>
      </c>
      <c r="G757" s="0" t="n">
        <f aca="false">PostPro4FW!R763</f>
        <v>0</v>
      </c>
    </row>
    <row r="758" customFormat="false" ht="14.35" hidden="false" customHeight="false" outlineLevel="0" collapsed="false">
      <c r="A758" s="4" t="n">
        <v>30986</v>
      </c>
      <c r="B758" s="5" t="n">
        <f aca="false">PostPro4FW!H764</f>
        <v>4000</v>
      </c>
      <c r="C758" s="5" t="n">
        <f aca="false">PostPro4FW!M764</f>
        <v>800</v>
      </c>
      <c r="D758" s="5" t="n">
        <f aca="false">PostPro4FW!H764+PostPro4FW!I764</f>
        <v>4000</v>
      </c>
      <c r="E758" s="5" t="n">
        <f aca="false">PostPro4FW!S764</f>
        <v>800</v>
      </c>
      <c r="F758" s="5" t="n">
        <f aca="false">PostPro4FW!Q764</f>
        <v>0</v>
      </c>
      <c r="G758" s="0" t="n">
        <f aca="false">PostPro4FW!R764</f>
        <v>0</v>
      </c>
    </row>
    <row r="759" customFormat="false" ht="14.35" hidden="false" customHeight="false" outlineLevel="0" collapsed="false">
      <c r="A759" s="4" t="n">
        <v>31016</v>
      </c>
      <c r="B759" s="5" t="n">
        <f aca="false">PostPro4FW!H765</f>
        <v>1700</v>
      </c>
      <c r="C759" s="5" t="n">
        <f aca="false">PostPro4FW!M765</f>
        <v>800</v>
      </c>
      <c r="D759" s="5" t="n">
        <f aca="false">PostPro4FW!H765+PostPro4FW!I765</f>
        <v>1700</v>
      </c>
      <c r="E759" s="5" t="n">
        <f aca="false">PostPro4FW!S765</f>
        <v>800</v>
      </c>
      <c r="F759" s="5" t="n">
        <f aca="false">PostPro4FW!Q765</f>
        <v>0</v>
      </c>
      <c r="G759" s="0" t="n">
        <f aca="false">PostPro4FW!R765</f>
        <v>0</v>
      </c>
    </row>
    <row r="760" customFormat="false" ht="14.35" hidden="false" customHeight="false" outlineLevel="0" collapsed="false">
      <c r="A760" s="4" t="n">
        <v>31047</v>
      </c>
      <c r="B760" s="5" t="n">
        <f aca="false">PostPro4FW!H766</f>
        <v>1700</v>
      </c>
      <c r="C760" s="5" t="n">
        <f aca="false">PostPro4FW!M766</f>
        <v>800</v>
      </c>
      <c r="D760" s="5" t="n">
        <f aca="false">PostPro4FW!H766+PostPro4FW!I766</f>
        <v>1700</v>
      </c>
      <c r="E760" s="5" t="n">
        <f aca="false">PostPro4FW!S766</f>
        <v>800</v>
      </c>
      <c r="F760" s="5" t="n">
        <f aca="false">PostPro4FW!Q766</f>
        <v>0</v>
      </c>
      <c r="G760" s="0" t="n">
        <f aca="false">PostPro4FW!R766</f>
        <v>0</v>
      </c>
    </row>
    <row r="761" customFormat="false" ht="14.35" hidden="false" customHeight="false" outlineLevel="0" collapsed="false">
      <c r="A761" s="4" t="n">
        <v>31078</v>
      </c>
      <c r="B761" s="5" t="n">
        <f aca="false">PostPro4FW!H767</f>
        <v>1700</v>
      </c>
      <c r="C761" s="5" t="n">
        <f aca="false">PostPro4FW!M767</f>
        <v>800</v>
      </c>
      <c r="D761" s="5" t="n">
        <f aca="false">PostPro4FW!H767+PostPro4FW!I767</f>
        <v>1700</v>
      </c>
      <c r="E761" s="5" t="n">
        <f aca="false">PostPro4FW!S767</f>
        <v>800</v>
      </c>
      <c r="F761" s="5" t="n">
        <f aca="false">PostPro4FW!Q767</f>
        <v>0</v>
      </c>
      <c r="G761" s="0" t="n">
        <f aca="false">PostPro4FW!R767</f>
        <v>0</v>
      </c>
    </row>
    <row r="762" customFormat="false" ht="14.35" hidden="false" customHeight="false" outlineLevel="0" collapsed="false">
      <c r="A762" s="4" t="n">
        <v>31106</v>
      </c>
      <c r="B762" s="5" t="n">
        <f aca="false">PostPro4FW!H768</f>
        <v>1700</v>
      </c>
      <c r="C762" s="5" t="n">
        <f aca="false">PostPro4FW!M768</f>
        <v>800</v>
      </c>
      <c r="D762" s="5" t="n">
        <f aca="false">PostPro4FW!H768+PostPro4FW!I768</f>
        <v>1700</v>
      </c>
      <c r="E762" s="5" t="n">
        <f aca="false">PostPro4FW!S768</f>
        <v>1571.42857142857</v>
      </c>
      <c r="F762" s="5" t="n">
        <f aca="false">PostPro4FW!Q768</f>
        <v>1700</v>
      </c>
      <c r="G762" s="0" t="n">
        <f aca="false">PostPro4FW!R768</f>
        <v>24</v>
      </c>
    </row>
    <row r="763" customFormat="false" ht="14.35" hidden="false" customHeight="false" outlineLevel="0" collapsed="false">
      <c r="A763" s="4" t="n">
        <v>31137</v>
      </c>
      <c r="B763" s="5" t="n">
        <f aca="false">PostPro4FW!H769</f>
        <v>1700</v>
      </c>
      <c r="C763" s="5" t="n">
        <f aca="false">PostPro4FW!M769</f>
        <v>800</v>
      </c>
      <c r="D763" s="5" t="n">
        <f aca="false">PostPro4FW!H769+PostPro4FW!I769</f>
        <v>1700</v>
      </c>
      <c r="E763" s="5" t="n">
        <f aca="false">PostPro4FW!S769</f>
        <v>800</v>
      </c>
      <c r="F763" s="5" t="n">
        <f aca="false">PostPro4FW!Q769</f>
        <v>0</v>
      </c>
      <c r="G763" s="0" t="n">
        <f aca="false">PostPro4FW!R769</f>
        <v>0</v>
      </c>
    </row>
    <row r="764" customFormat="false" ht="14.35" hidden="false" customHeight="false" outlineLevel="0" collapsed="false">
      <c r="A764" s="4" t="n">
        <v>31167</v>
      </c>
      <c r="B764" s="5" t="n">
        <f aca="false">PostPro4FW!H770</f>
        <v>1000</v>
      </c>
      <c r="C764" s="5" t="n">
        <f aca="false">PostPro4FW!M770</f>
        <v>700</v>
      </c>
      <c r="D764" s="5" t="n">
        <f aca="false">PostPro4FW!H770+PostPro4FW!I770</f>
        <v>1420.13888888889</v>
      </c>
      <c r="E764" s="5" t="n">
        <f aca="false">PostPro4FW!S770</f>
        <v>700</v>
      </c>
      <c r="F764" s="5" t="n">
        <f aca="false">PostPro4FW!Q770</f>
        <v>0</v>
      </c>
      <c r="G764" s="0" t="n">
        <f aca="false">PostPro4FW!R770</f>
        <v>0</v>
      </c>
    </row>
    <row r="765" customFormat="false" ht="14.35" hidden="false" customHeight="false" outlineLevel="0" collapsed="false">
      <c r="A765" s="4" t="n">
        <v>31198</v>
      </c>
      <c r="B765" s="5" t="n">
        <f aca="false">PostPro4FW!H771</f>
        <v>2831.96097299527</v>
      </c>
      <c r="C765" s="5" t="n">
        <f aca="false">PostPro4FW!M771</f>
        <v>700</v>
      </c>
      <c r="D765" s="5" t="n">
        <f aca="false">PostPro4FW!H771+PostPro4FW!I771</f>
        <v>3238.54699450065</v>
      </c>
      <c r="E765" s="5" t="n">
        <f aca="false">PostPro4FW!S771</f>
        <v>700</v>
      </c>
      <c r="F765" s="5" t="n">
        <f aca="false">PostPro4FW!Q771</f>
        <v>0</v>
      </c>
      <c r="G765" s="0" t="n">
        <f aca="false">PostPro4FW!R771</f>
        <v>0</v>
      </c>
    </row>
    <row r="766" customFormat="false" ht="14.35" hidden="false" customHeight="false" outlineLevel="0" collapsed="false">
      <c r="A766" s="4" t="n">
        <v>31228</v>
      </c>
      <c r="B766" s="5" t="n">
        <f aca="false">PostPro4FW!H772</f>
        <v>4804.4273916485</v>
      </c>
      <c r="C766" s="5" t="n">
        <f aca="false">PostPro4FW!M772</f>
        <v>700</v>
      </c>
      <c r="D766" s="5" t="n">
        <f aca="false">PostPro4FW!H772+PostPro4FW!I772</f>
        <v>4804.4273916485</v>
      </c>
      <c r="E766" s="5" t="n">
        <f aca="false">PostPro4FW!S772</f>
        <v>700</v>
      </c>
      <c r="F766" s="5" t="n">
        <f aca="false">PostPro4FW!Q772</f>
        <v>0</v>
      </c>
      <c r="G766" s="0" t="n">
        <f aca="false">PostPro4FW!R772</f>
        <v>0</v>
      </c>
    </row>
    <row r="767" customFormat="false" ht="14.35" hidden="false" customHeight="false" outlineLevel="0" collapsed="false">
      <c r="A767" s="4" t="n">
        <v>31259</v>
      </c>
      <c r="B767" s="5" t="n">
        <f aca="false">PostPro4FW!H773</f>
        <v>9863.00281473059</v>
      </c>
      <c r="C767" s="5" t="n">
        <f aca="false">PostPro4FW!M773</f>
        <v>700</v>
      </c>
      <c r="D767" s="5" t="n">
        <f aca="false">PostPro4FW!H773+PostPro4FW!I773</f>
        <v>9863.00281473059</v>
      </c>
      <c r="E767" s="5" t="n">
        <f aca="false">PostPro4FW!S773</f>
        <v>700</v>
      </c>
      <c r="F767" s="5" t="n">
        <f aca="false">PostPro4FW!Q773</f>
        <v>0</v>
      </c>
      <c r="G767" s="0" t="n">
        <f aca="false">PostPro4FW!R773</f>
        <v>0</v>
      </c>
    </row>
    <row r="768" customFormat="false" ht="14.35" hidden="false" customHeight="false" outlineLevel="0" collapsed="false">
      <c r="A768" s="4" t="n">
        <v>31290</v>
      </c>
      <c r="B768" s="5" t="n">
        <f aca="false">PostPro4FW!H774</f>
        <v>1087.89767670174</v>
      </c>
      <c r="C768" s="5" t="n">
        <f aca="false">PostPro4FW!M774</f>
        <v>700</v>
      </c>
      <c r="D768" s="5" t="n">
        <f aca="false">PostPro4FW!H774+PostPro4FW!I774</f>
        <v>1087.89767670174</v>
      </c>
      <c r="E768" s="5" t="n">
        <f aca="false">PostPro4FW!S774</f>
        <v>700</v>
      </c>
      <c r="F768" s="5" t="n">
        <f aca="false">PostPro4FW!Q774</f>
        <v>0</v>
      </c>
      <c r="G768" s="0" t="n">
        <f aca="false">PostPro4FW!R774</f>
        <v>0</v>
      </c>
    </row>
    <row r="769" customFormat="false" ht="14.35" hidden="false" customHeight="false" outlineLevel="0" collapsed="false">
      <c r="A769" s="4" t="n">
        <v>31320</v>
      </c>
      <c r="B769" s="5" t="n">
        <f aca="false">PostPro4FW!H775</f>
        <v>1000</v>
      </c>
      <c r="C769" s="5" t="n">
        <f aca="false">PostPro4FW!M775</f>
        <v>773.3333333</v>
      </c>
      <c r="D769" s="5" t="n">
        <f aca="false">PostPro4FW!H775+PostPro4FW!I775</f>
        <v>1000</v>
      </c>
      <c r="E769" s="5" t="n">
        <f aca="false">PostPro4FW!S775</f>
        <v>773.3333333</v>
      </c>
      <c r="F769" s="5" t="n">
        <f aca="false">PostPro4FW!Q775</f>
        <v>0</v>
      </c>
      <c r="G769" s="0" t="n">
        <f aca="false">PostPro4FW!R775</f>
        <v>0</v>
      </c>
    </row>
    <row r="770" customFormat="false" ht="14.35" hidden="false" customHeight="false" outlineLevel="0" collapsed="false">
      <c r="A770" s="4" t="n">
        <v>31351</v>
      </c>
      <c r="B770" s="5" t="n">
        <f aca="false">PostPro4FW!H776</f>
        <v>1700</v>
      </c>
      <c r="C770" s="5" t="n">
        <f aca="false">PostPro4FW!M776</f>
        <v>800</v>
      </c>
      <c r="D770" s="5" t="n">
        <f aca="false">PostPro4FW!H776+PostPro4FW!I776</f>
        <v>1700</v>
      </c>
      <c r="E770" s="5" t="n">
        <f aca="false">PostPro4FW!S776</f>
        <v>800</v>
      </c>
      <c r="F770" s="5" t="n">
        <f aca="false">PostPro4FW!Q776</f>
        <v>0</v>
      </c>
      <c r="G770" s="0" t="n">
        <f aca="false">PostPro4FW!R776</f>
        <v>0</v>
      </c>
    </row>
    <row r="771" customFormat="false" ht="14.35" hidden="false" customHeight="false" outlineLevel="0" collapsed="false">
      <c r="A771" s="4" t="n">
        <v>31381</v>
      </c>
      <c r="B771" s="5" t="n">
        <f aca="false">PostPro4FW!H777</f>
        <v>1700</v>
      </c>
      <c r="C771" s="5" t="n">
        <f aca="false">PostPro4FW!M777</f>
        <v>800</v>
      </c>
      <c r="D771" s="5" t="n">
        <f aca="false">PostPro4FW!H777+PostPro4FW!I777</f>
        <v>1700</v>
      </c>
      <c r="E771" s="5" t="n">
        <f aca="false">PostPro4FW!S777</f>
        <v>800</v>
      </c>
      <c r="F771" s="5" t="n">
        <f aca="false">PostPro4FW!Q777</f>
        <v>0</v>
      </c>
      <c r="G771" s="0" t="n">
        <f aca="false">PostPro4FW!R777</f>
        <v>0</v>
      </c>
    </row>
    <row r="772" customFormat="false" ht="14.35" hidden="false" customHeight="false" outlineLevel="0" collapsed="false">
      <c r="A772" s="4" t="n">
        <v>31412</v>
      </c>
      <c r="B772" s="5" t="n">
        <f aca="false">PostPro4FW!H778</f>
        <v>1700</v>
      </c>
      <c r="C772" s="5" t="n">
        <f aca="false">PostPro4FW!M778</f>
        <v>800</v>
      </c>
      <c r="D772" s="5" t="n">
        <f aca="false">PostPro4FW!H778+PostPro4FW!I778</f>
        <v>1700</v>
      </c>
      <c r="E772" s="5" t="n">
        <f aca="false">PostPro4FW!S778</f>
        <v>800</v>
      </c>
      <c r="F772" s="5" t="n">
        <f aca="false">PostPro4FW!Q778</f>
        <v>0</v>
      </c>
      <c r="G772" s="0" t="n">
        <f aca="false">PostPro4FW!R778</f>
        <v>0</v>
      </c>
    </row>
    <row r="773" customFormat="false" ht="14.35" hidden="false" customHeight="false" outlineLevel="0" collapsed="false">
      <c r="A773" s="4" t="n">
        <v>31443</v>
      </c>
      <c r="B773" s="5" t="n">
        <f aca="false">PostPro4FW!H779</f>
        <v>1700</v>
      </c>
      <c r="C773" s="5" t="n">
        <f aca="false">PostPro4FW!M779</f>
        <v>800</v>
      </c>
      <c r="D773" s="5" t="n">
        <f aca="false">PostPro4FW!H779+PostPro4FW!I779</f>
        <v>1700</v>
      </c>
      <c r="E773" s="5" t="n">
        <f aca="false">PostPro4FW!S779</f>
        <v>800</v>
      </c>
      <c r="F773" s="5" t="n">
        <f aca="false">PostPro4FW!Q779</f>
        <v>0</v>
      </c>
      <c r="G773" s="0" t="n">
        <f aca="false">PostPro4FW!R779</f>
        <v>0</v>
      </c>
    </row>
    <row r="774" customFormat="false" ht="14.35" hidden="false" customHeight="false" outlineLevel="0" collapsed="false">
      <c r="A774" s="4" t="n">
        <v>31471</v>
      </c>
      <c r="B774" s="5" t="n">
        <f aca="false">PostPro4FW!H780</f>
        <v>18705.957146343</v>
      </c>
      <c r="C774" s="5" t="n">
        <f aca="false">PostPro4FW!M780</f>
        <v>800</v>
      </c>
      <c r="D774" s="5" t="n">
        <f aca="false">PostPro4FW!H780+PostPro4FW!I780</f>
        <v>18705.957146343</v>
      </c>
      <c r="E774" s="5" t="n">
        <f aca="false">PostPro4FW!S780</f>
        <v>800</v>
      </c>
      <c r="F774" s="5" t="n">
        <f aca="false">PostPro4FW!Q780</f>
        <v>0</v>
      </c>
      <c r="G774" s="0" t="n">
        <f aca="false">PostPro4FW!R780</f>
        <v>0</v>
      </c>
    </row>
    <row r="775" customFormat="false" ht="14.35" hidden="false" customHeight="false" outlineLevel="0" collapsed="false">
      <c r="A775" s="4" t="n">
        <v>31502</v>
      </c>
      <c r="B775" s="5" t="n">
        <f aca="false">PostPro4FW!H781</f>
        <v>21845.3441148425</v>
      </c>
      <c r="C775" s="5" t="n">
        <f aca="false">PostPro4FW!M781</f>
        <v>800</v>
      </c>
      <c r="D775" s="5" t="n">
        <f aca="false">PostPro4FW!H781+PostPro4FW!I781</f>
        <v>21845.3441148425</v>
      </c>
      <c r="E775" s="5" t="n">
        <f aca="false">PostPro4FW!S781</f>
        <v>800</v>
      </c>
      <c r="F775" s="5" t="n">
        <f aca="false">PostPro4FW!Q781</f>
        <v>0</v>
      </c>
      <c r="G775" s="0" t="n">
        <f aca="false">PostPro4FW!R781</f>
        <v>0</v>
      </c>
    </row>
    <row r="776" customFormat="false" ht="14.35" hidden="false" customHeight="false" outlineLevel="0" collapsed="false">
      <c r="A776" s="4" t="n">
        <v>31532</v>
      </c>
      <c r="B776" s="5" t="n">
        <f aca="false">PostPro4FW!H782</f>
        <v>1000</v>
      </c>
      <c r="C776" s="5" t="n">
        <f aca="false">PostPro4FW!M782</f>
        <v>700</v>
      </c>
      <c r="D776" s="5" t="n">
        <f aca="false">PostPro4FW!H782+PostPro4FW!I782</f>
        <v>1000</v>
      </c>
      <c r="E776" s="5" t="n">
        <f aca="false">PostPro4FW!S782</f>
        <v>700</v>
      </c>
      <c r="F776" s="5" t="n">
        <f aca="false">PostPro4FW!Q782</f>
        <v>0</v>
      </c>
      <c r="G776" s="0" t="n">
        <f aca="false">PostPro4FW!R782</f>
        <v>0</v>
      </c>
    </row>
    <row r="777" customFormat="false" ht="14.35" hidden="false" customHeight="false" outlineLevel="0" collapsed="false">
      <c r="A777" s="4" t="n">
        <v>31563</v>
      </c>
      <c r="B777" s="5" t="n">
        <f aca="false">PostPro4FW!H783</f>
        <v>1000.00000000003</v>
      </c>
      <c r="C777" s="5" t="n">
        <f aca="false">PostPro4FW!M783</f>
        <v>700</v>
      </c>
      <c r="D777" s="5" t="n">
        <f aca="false">PostPro4FW!H783+PostPro4FW!I783</f>
        <v>1000.00000000003</v>
      </c>
      <c r="E777" s="5" t="n">
        <f aca="false">PostPro4FW!S783</f>
        <v>700</v>
      </c>
      <c r="F777" s="5" t="n">
        <f aca="false">PostPro4FW!Q783</f>
        <v>0</v>
      </c>
      <c r="G777" s="0" t="n">
        <f aca="false">PostPro4FW!R783</f>
        <v>0</v>
      </c>
    </row>
    <row r="778" customFormat="false" ht="14.35" hidden="false" customHeight="false" outlineLevel="0" collapsed="false">
      <c r="A778" s="4" t="n">
        <v>31593</v>
      </c>
      <c r="B778" s="5" t="n">
        <f aca="false">PostPro4FW!H784</f>
        <v>1122.16326529055</v>
      </c>
      <c r="C778" s="5" t="n">
        <f aca="false">PostPro4FW!M784</f>
        <v>700</v>
      </c>
      <c r="D778" s="5" t="n">
        <f aca="false">PostPro4FW!H784+PostPro4FW!I784</f>
        <v>1122.16326529055</v>
      </c>
      <c r="E778" s="5" t="n">
        <f aca="false">PostPro4FW!S784</f>
        <v>700</v>
      </c>
      <c r="F778" s="5" t="n">
        <f aca="false">PostPro4FW!Q784</f>
        <v>0</v>
      </c>
      <c r="G778" s="0" t="n">
        <f aca="false">PostPro4FW!R784</f>
        <v>0</v>
      </c>
    </row>
    <row r="779" customFormat="false" ht="14.35" hidden="false" customHeight="false" outlineLevel="0" collapsed="false">
      <c r="A779" s="4" t="n">
        <v>31624</v>
      </c>
      <c r="B779" s="5" t="n">
        <f aca="false">PostPro4FW!H785</f>
        <v>8471.81559376521</v>
      </c>
      <c r="C779" s="5" t="n">
        <f aca="false">PostPro4FW!M785</f>
        <v>700</v>
      </c>
      <c r="D779" s="5" t="n">
        <f aca="false">PostPro4FW!H785+PostPro4FW!I785</f>
        <v>8471.81559376521</v>
      </c>
      <c r="E779" s="5" t="n">
        <f aca="false">PostPro4FW!S785</f>
        <v>700</v>
      </c>
      <c r="F779" s="5" t="n">
        <f aca="false">PostPro4FW!Q785</f>
        <v>0</v>
      </c>
      <c r="G779" s="0" t="n">
        <f aca="false">PostPro4FW!R785</f>
        <v>0</v>
      </c>
    </row>
    <row r="780" customFormat="false" ht="14.35" hidden="false" customHeight="false" outlineLevel="0" collapsed="false">
      <c r="A780" s="4" t="n">
        <v>31655</v>
      </c>
      <c r="B780" s="5" t="n">
        <f aca="false">PostPro4FW!H786</f>
        <v>6929.7733419762</v>
      </c>
      <c r="C780" s="5" t="n">
        <f aca="false">PostPro4FW!M786</f>
        <v>700</v>
      </c>
      <c r="D780" s="5" t="n">
        <f aca="false">PostPro4FW!H786+PostPro4FW!I786</f>
        <v>6929.7733419762</v>
      </c>
      <c r="E780" s="5" t="n">
        <f aca="false">PostPro4FW!S786</f>
        <v>700</v>
      </c>
      <c r="F780" s="5" t="n">
        <f aca="false">PostPro4FW!Q786</f>
        <v>0</v>
      </c>
      <c r="G780" s="0" t="n">
        <f aca="false">PostPro4FW!R786</f>
        <v>0</v>
      </c>
    </row>
    <row r="781" customFormat="false" ht="14.35" hidden="false" customHeight="false" outlineLevel="0" collapsed="false">
      <c r="A781" s="4" t="n">
        <v>31685</v>
      </c>
      <c r="B781" s="5" t="n">
        <f aca="false">PostPro4FW!H787</f>
        <v>9964.96113633378</v>
      </c>
      <c r="C781" s="5" t="n">
        <f aca="false">PostPro4FW!M787</f>
        <v>773.3333333</v>
      </c>
      <c r="D781" s="5" t="n">
        <f aca="false">PostPro4FW!H787+PostPro4FW!I787</f>
        <v>9964.96113633378</v>
      </c>
      <c r="E781" s="5" t="n">
        <f aca="false">PostPro4FW!S787</f>
        <v>773.3333333</v>
      </c>
      <c r="F781" s="5" t="n">
        <f aca="false">PostPro4FW!Q787</f>
        <v>0</v>
      </c>
      <c r="G781" s="0" t="n">
        <f aca="false">PostPro4FW!R787</f>
        <v>0</v>
      </c>
    </row>
    <row r="782" customFormat="false" ht="14.35" hidden="false" customHeight="false" outlineLevel="0" collapsed="false">
      <c r="A782" s="4" t="n">
        <v>31716</v>
      </c>
      <c r="B782" s="5" t="n">
        <f aca="false">PostPro4FW!H788</f>
        <v>4000</v>
      </c>
      <c r="C782" s="5" t="n">
        <f aca="false">PostPro4FW!M788</f>
        <v>800</v>
      </c>
      <c r="D782" s="5" t="n">
        <f aca="false">PostPro4FW!H788+PostPro4FW!I788</f>
        <v>4000</v>
      </c>
      <c r="E782" s="5" t="n">
        <f aca="false">PostPro4FW!S788</f>
        <v>800</v>
      </c>
      <c r="F782" s="5" t="n">
        <f aca="false">PostPro4FW!Q788</f>
        <v>0</v>
      </c>
      <c r="G782" s="0" t="n">
        <f aca="false">PostPro4FW!R788</f>
        <v>0</v>
      </c>
    </row>
    <row r="783" customFormat="false" ht="14.35" hidden="false" customHeight="false" outlineLevel="0" collapsed="false">
      <c r="A783" s="4" t="n">
        <v>31746</v>
      </c>
      <c r="B783" s="5" t="n">
        <f aca="false">PostPro4FW!H789</f>
        <v>1898.27511006391</v>
      </c>
      <c r="C783" s="5" t="n">
        <f aca="false">PostPro4FW!M789</f>
        <v>800</v>
      </c>
      <c r="D783" s="5" t="n">
        <f aca="false">PostPro4FW!H789+PostPro4FW!I789</f>
        <v>1898.27511006391</v>
      </c>
      <c r="E783" s="5" t="n">
        <f aca="false">PostPro4FW!S789</f>
        <v>800</v>
      </c>
      <c r="F783" s="5" t="n">
        <f aca="false">PostPro4FW!Q789</f>
        <v>0</v>
      </c>
      <c r="G783" s="0" t="n">
        <f aca="false">PostPro4FW!R789</f>
        <v>0</v>
      </c>
    </row>
    <row r="784" customFormat="false" ht="14.35" hidden="false" customHeight="false" outlineLevel="0" collapsed="false">
      <c r="A784" s="4" t="n">
        <v>31777</v>
      </c>
      <c r="B784" s="5" t="n">
        <f aca="false">PostPro4FW!H790</f>
        <v>1700</v>
      </c>
      <c r="C784" s="5" t="n">
        <f aca="false">PostPro4FW!M790</f>
        <v>800</v>
      </c>
      <c r="D784" s="5" t="n">
        <f aca="false">PostPro4FW!H790+PostPro4FW!I790</f>
        <v>1700</v>
      </c>
      <c r="E784" s="5" t="n">
        <f aca="false">PostPro4FW!S790</f>
        <v>800</v>
      </c>
      <c r="F784" s="5" t="n">
        <f aca="false">PostPro4FW!Q790</f>
        <v>0</v>
      </c>
      <c r="G784" s="0" t="n">
        <f aca="false">PostPro4FW!R790</f>
        <v>0</v>
      </c>
    </row>
    <row r="785" customFormat="false" ht="14.35" hidden="false" customHeight="false" outlineLevel="0" collapsed="false">
      <c r="A785" s="4" t="n">
        <v>31808</v>
      </c>
      <c r="B785" s="5" t="n">
        <f aca="false">PostPro4FW!H791</f>
        <v>1700</v>
      </c>
      <c r="C785" s="5" t="n">
        <f aca="false">PostPro4FW!M791</f>
        <v>800</v>
      </c>
      <c r="D785" s="5" t="n">
        <f aca="false">PostPro4FW!H791+PostPro4FW!I791</f>
        <v>1700</v>
      </c>
      <c r="E785" s="5" t="n">
        <f aca="false">PostPro4FW!S791</f>
        <v>800</v>
      </c>
      <c r="F785" s="5" t="n">
        <f aca="false">PostPro4FW!Q791</f>
        <v>0</v>
      </c>
      <c r="G785" s="0" t="n">
        <f aca="false">PostPro4FW!R791</f>
        <v>0</v>
      </c>
    </row>
    <row r="786" customFormat="false" ht="14.35" hidden="false" customHeight="false" outlineLevel="0" collapsed="false">
      <c r="A786" s="4" t="n">
        <v>31836</v>
      </c>
      <c r="B786" s="5" t="n">
        <f aca="false">PostPro4FW!H792</f>
        <v>1700</v>
      </c>
      <c r="C786" s="5" t="n">
        <f aca="false">PostPro4FW!M792</f>
        <v>800</v>
      </c>
      <c r="D786" s="5" t="n">
        <f aca="false">PostPro4FW!H792+PostPro4FW!I792</f>
        <v>1700</v>
      </c>
      <c r="E786" s="5" t="n">
        <f aca="false">PostPro4FW!S792</f>
        <v>1571.42857142857</v>
      </c>
      <c r="F786" s="5" t="n">
        <f aca="false">PostPro4FW!Q792</f>
        <v>1700</v>
      </c>
      <c r="G786" s="0" t="n">
        <f aca="false">PostPro4FW!R792</f>
        <v>24</v>
      </c>
    </row>
    <row r="787" customFormat="false" ht="14.35" hidden="false" customHeight="false" outlineLevel="0" collapsed="false">
      <c r="A787" s="4" t="n">
        <v>31867</v>
      </c>
      <c r="B787" s="5" t="n">
        <f aca="false">PostPro4FW!H793</f>
        <v>1700</v>
      </c>
      <c r="C787" s="5" t="n">
        <f aca="false">PostPro4FW!M793</f>
        <v>800</v>
      </c>
      <c r="D787" s="5" t="n">
        <f aca="false">PostPro4FW!H793+PostPro4FW!I793</f>
        <v>1700</v>
      </c>
      <c r="E787" s="5" t="n">
        <f aca="false">PostPro4FW!S793</f>
        <v>800</v>
      </c>
      <c r="F787" s="5" t="n">
        <f aca="false">PostPro4FW!Q793</f>
        <v>0</v>
      </c>
      <c r="G787" s="0" t="n">
        <f aca="false">PostPro4FW!R793</f>
        <v>0</v>
      </c>
    </row>
    <row r="788" customFormat="false" ht="14.35" hidden="false" customHeight="false" outlineLevel="0" collapsed="false">
      <c r="A788" s="4" t="n">
        <v>31897</v>
      </c>
      <c r="B788" s="5" t="n">
        <f aca="false">PostPro4FW!H794</f>
        <v>1007.36400107859</v>
      </c>
      <c r="C788" s="5" t="n">
        <f aca="false">PostPro4FW!M794</f>
        <v>700</v>
      </c>
      <c r="D788" s="5" t="n">
        <f aca="false">PostPro4FW!H794+PostPro4FW!I794</f>
        <v>1427.50288996748</v>
      </c>
      <c r="E788" s="5" t="n">
        <f aca="false">PostPro4FW!S794</f>
        <v>700</v>
      </c>
      <c r="F788" s="5" t="n">
        <f aca="false">PostPro4FW!Q794</f>
        <v>0</v>
      </c>
      <c r="G788" s="0" t="n">
        <f aca="false">PostPro4FW!R794</f>
        <v>0</v>
      </c>
    </row>
    <row r="789" customFormat="false" ht="14.35" hidden="false" customHeight="false" outlineLevel="0" collapsed="false">
      <c r="A789" s="4" t="n">
        <v>31928</v>
      </c>
      <c r="B789" s="5" t="n">
        <f aca="false">PostPro4FW!H795</f>
        <v>2062.76044628969</v>
      </c>
      <c r="C789" s="5" t="n">
        <f aca="false">PostPro4FW!M795</f>
        <v>700</v>
      </c>
      <c r="D789" s="5" t="n">
        <f aca="false">PostPro4FW!H795+PostPro4FW!I795</f>
        <v>2469.34646779507</v>
      </c>
      <c r="E789" s="5" t="n">
        <f aca="false">PostPro4FW!S795</f>
        <v>700</v>
      </c>
      <c r="F789" s="5" t="n">
        <f aca="false">PostPro4FW!Q795</f>
        <v>0</v>
      </c>
      <c r="G789" s="0" t="n">
        <f aca="false">PostPro4FW!R795</f>
        <v>0</v>
      </c>
    </row>
    <row r="790" customFormat="false" ht="14.35" hidden="false" customHeight="false" outlineLevel="0" collapsed="false">
      <c r="A790" s="4" t="n">
        <v>31958</v>
      </c>
      <c r="B790" s="5" t="n">
        <f aca="false">PostPro4FW!H796</f>
        <v>3326.6042881311</v>
      </c>
      <c r="C790" s="5" t="n">
        <f aca="false">PostPro4FW!M796</f>
        <v>700</v>
      </c>
      <c r="D790" s="5" t="n">
        <f aca="false">PostPro4FW!H796+PostPro4FW!I796</f>
        <v>3326.6042881311</v>
      </c>
      <c r="E790" s="5" t="n">
        <f aca="false">PostPro4FW!S796</f>
        <v>700</v>
      </c>
      <c r="F790" s="5" t="n">
        <f aca="false">PostPro4FW!Q796</f>
        <v>0</v>
      </c>
      <c r="G790" s="0" t="n">
        <f aca="false">PostPro4FW!R796</f>
        <v>0</v>
      </c>
    </row>
    <row r="791" customFormat="false" ht="14.35" hidden="false" customHeight="false" outlineLevel="0" collapsed="false">
      <c r="A791" s="4" t="n">
        <v>31989</v>
      </c>
      <c r="B791" s="5" t="n">
        <f aca="false">PostPro4FW!H797</f>
        <v>2539.76010294564</v>
      </c>
      <c r="C791" s="5" t="n">
        <f aca="false">PostPro4FW!M797</f>
        <v>700</v>
      </c>
      <c r="D791" s="5" t="n">
        <f aca="false">PostPro4FW!H797+PostPro4FW!I797</f>
        <v>2539.76010294564</v>
      </c>
      <c r="E791" s="5" t="n">
        <f aca="false">PostPro4FW!S797</f>
        <v>700</v>
      </c>
      <c r="F791" s="5" t="n">
        <f aca="false">PostPro4FW!Q797</f>
        <v>0</v>
      </c>
      <c r="G791" s="0" t="n">
        <f aca="false">PostPro4FW!R797</f>
        <v>0</v>
      </c>
    </row>
    <row r="792" customFormat="false" ht="14.35" hidden="false" customHeight="false" outlineLevel="0" collapsed="false">
      <c r="A792" s="4" t="n">
        <v>32020</v>
      </c>
      <c r="B792" s="5" t="n">
        <f aca="false">PostPro4FW!H798</f>
        <v>1237.85588946828</v>
      </c>
      <c r="C792" s="5" t="n">
        <f aca="false">PostPro4FW!M798</f>
        <v>700</v>
      </c>
      <c r="D792" s="5" t="n">
        <f aca="false">PostPro4FW!H798+PostPro4FW!I798</f>
        <v>1237.85588946828</v>
      </c>
      <c r="E792" s="5" t="n">
        <f aca="false">PostPro4FW!S798</f>
        <v>700</v>
      </c>
      <c r="F792" s="5" t="n">
        <f aca="false">PostPro4FW!Q798</f>
        <v>0</v>
      </c>
      <c r="G792" s="0" t="n">
        <f aca="false">PostPro4FW!R798</f>
        <v>0</v>
      </c>
    </row>
    <row r="793" customFormat="false" ht="14.35" hidden="false" customHeight="false" outlineLevel="0" collapsed="false">
      <c r="A793" s="4" t="n">
        <v>32050</v>
      </c>
      <c r="B793" s="5" t="n">
        <f aca="false">PostPro4FW!H799</f>
        <v>1224.56313216294</v>
      </c>
      <c r="C793" s="5" t="n">
        <f aca="false">PostPro4FW!M799</f>
        <v>773.3333333</v>
      </c>
      <c r="D793" s="5" t="n">
        <f aca="false">PostPro4FW!H799+PostPro4FW!I799</f>
        <v>1224.56313216294</v>
      </c>
      <c r="E793" s="5" t="n">
        <f aca="false">PostPro4FW!S799</f>
        <v>773.3333333</v>
      </c>
      <c r="F793" s="5" t="n">
        <f aca="false">PostPro4FW!Q799</f>
        <v>0</v>
      </c>
      <c r="G793" s="0" t="n">
        <f aca="false">PostPro4FW!R799</f>
        <v>0</v>
      </c>
    </row>
    <row r="794" customFormat="false" ht="14.35" hidden="false" customHeight="false" outlineLevel="0" collapsed="false">
      <c r="A794" s="4" t="n">
        <v>32081</v>
      </c>
      <c r="B794" s="5" t="n">
        <f aca="false">PostPro4FW!H800</f>
        <v>1200</v>
      </c>
      <c r="C794" s="5" t="n">
        <f aca="false">PostPro4FW!M800</f>
        <v>800</v>
      </c>
      <c r="D794" s="5" t="n">
        <f aca="false">PostPro4FW!H800+PostPro4FW!I800</f>
        <v>1200</v>
      </c>
      <c r="E794" s="5" t="n">
        <f aca="false">PostPro4FW!S800</f>
        <v>800</v>
      </c>
      <c r="F794" s="5" t="n">
        <f aca="false">PostPro4FW!Q800</f>
        <v>0</v>
      </c>
      <c r="G794" s="0" t="n">
        <f aca="false">PostPro4FW!R800</f>
        <v>0</v>
      </c>
    </row>
    <row r="795" customFormat="false" ht="14.35" hidden="false" customHeight="false" outlineLevel="0" collapsed="false">
      <c r="A795" s="4" t="n">
        <v>32111</v>
      </c>
      <c r="B795" s="5" t="n">
        <f aca="false">PostPro4FW!H801</f>
        <v>1200</v>
      </c>
      <c r="C795" s="5" t="n">
        <f aca="false">PostPro4FW!M801</f>
        <v>800</v>
      </c>
      <c r="D795" s="5" t="n">
        <f aca="false">PostPro4FW!H801+PostPro4FW!I801</f>
        <v>1200</v>
      </c>
      <c r="E795" s="5" t="n">
        <f aca="false">PostPro4FW!S801</f>
        <v>800</v>
      </c>
      <c r="F795" s="5" t="n">
        <f aca="false">PostPro4FW!Q801</f>
        <v>0</v>
      </c>
      <c r="G795" s="0" t="n">
        <f aca="false">PostPro4FW!R801</f>
        <v>0</v>
      </c>
    </row>
    <row r="796" customFormat="false" ht="14.35" hidden="false" customHeight="false" outlineLevel="0" collapsed="false">
      <c r="A796" s="4" t="n">
        <v>32142</v>
      </c>
      <c r="B796" s="5" t="n">
        <f aca="false">PostPro4FW!H802</f>
        <v>1200</v>
      </c>
      <c r="C796" s="5" t="n">
        <f aca="false">PostPro4FW!M802</f>
        <v>800</v>
      </c>
      <c r="D796" s="5" t="n">
        <f aca="false">PostPro4FW!H802+PostPro4FW!I802</f>
        <v>1200</v>
      </c>
      <c r="E796" s="5" t="n">
        <f aca="false">PostPro4FW!S802</f>
        <v>800</v>
      </c>
      <c r="F796" s="5" t="n">
        <f aca="false">PostPro4FW!Q802</f>
        <v>0</v>
      </c>
      <c r="G796" s="0" t="n">
        <f aca="false">PostPro4FW!R802</f>
        <v>0</v>
      </c>
    </row>
    <row r="797" customFormat="false" ht="14.35" hidden="false" customHeight="false" outlineLevel="0" collapsed="false">
      <c r="A797" s="4" t="n">
        <v>32173</v>
      </c>
      <c r="B797" s="5" t="n">
        <f aca="false">PostPro4FW!H803</f>
        <v>1200</v>
      </c>
      <c r="C797" s="5" t="n">
        <f aca="false">PostPro4FW!M803</f>
        <v>800</v>
      </c>
      <c r="D797" s="5" t="n">
        <f aca="false">PostPro4FW!H803+PostPro4FW!I803</f>
        <v>1200</v>
      </c>
      <c r="E797" s="5" t="n">
        <f aca="false">PostPro4FW!S803</f>
        <v>800</v>
      </c>
      <c r="F797" s="5" t="n">
        <f aca="false">PostPro4FW!Q803</f>
        <v>0</v>
      </c>
      <c r="G797" s="0" t="n">
        <f aca="false">PostPro4FW!R803</f>
        <v>0</v>
      </c>
    </row>
    <row r="798" customFormat="false" ht="14.35" hidden="false" customHeight="false" outlineLevel="0" collapsed="false">
      <c r="A798" s="4" t="n">
        <v>32202</v>
      </c>
      <c r="B798" s="5" t="n">
        <f aca="false">PostPro4FW!H804</f>
        <v>1200</v>
      </c>
      <c r="C798" s="5" t="n">
        <f aca="false">PostPro4FW!M804</f>
        <v>800</v>
      </c>
      <c r="D798" s="5" t="n">
        <f aca="false">PostPro4FW!H804+PostPro4FW!I804</f>
        <v>1200</v>
      </c>
      <c r="E798" s="5" t="n">
        <f aca="false">PostPro4FW!S804</f>
        <v>800</v>
      </c>
      <c r="F798" s="5" t="n">
        <f aca="false">PostPro4FW!Q804</f>
        <v>0</v>
      </c>
      <c r="G798" s="0" t="n">
        <f aca="false">PostPro4FW!R804</f>
        <v>0</v>
      </c>
    </row>
    <row r="799" customFormat="false" ht="14.35" hidden="false" customHeight="false" outlineLevel="0" collapsed="false">
      <c r="A799" s="4" t="n">
        <v>32233</v>
      </c>
      <c r="B799" s="5" t="n">
        <f aca="false">PostPro4FW!H805</f>
        <v>1446.2770795421</v>
      </c>
      <c r="C799" s="5" t="n">
        <f aca="false">PostPro4FW!M805</f>
        <v>800</v>
      </c>
      <c r="D799" s="5" t="n">
        <f aca="false">PostPro4FW!H805+PostPro4FW!I805</f>
        <v>1446.2770795421</v>
      </c>
      <c r="E799" s="5" t="n">
        <f aca="false">PostPro4FW!S805</f>
        <v>800</v>
      </c>
      <c r="F799" s="5" t="n">
        <f aca="false">PostPro4FW!Q805</f>
        <v>0</v>
      </c>
      <c r="G799" s="0" t="n">
        <f aca="false">PostPro4FW!R805</f>
        <v>0</v>
      </c>
    </row>
    <row r="800" customFormat="false" ht="14.35" hidden="false" customHeight="false" outlineLevel="0" collapsed="false">
      <c r="A800" s="4" t="n">
        <v>32263</v>
      </c>
      <c r="B800" s="5" t="n">
        <f aca="false">PostPro4FW!H806</f>
        <v>750</v>
      </c>
      <c r="C800" s="5" t="n">
        <f aca="false">PostPro4FW!M806</f>
        <v>700</v>
      </c>
      <c r="D800" s="5" t="n">
        <f aca="false">PostPro4FW!H806+PostPro4FW!I806</f>
        <v>750</v>
      </c>
      <c r="E800" s="5" t="n">
        <f aca="false">PostPro4FW!S806</f>
        <v>700</v>
      </c>
      <c r="F800" s="5" t="n">
        <f aca="false">PostPro4FW!Q806</f>
        <v>0</v>
      </c>
      <c r="G800" s="0" t="n">
        <f aca="false">PostPro4FW!R806</f>
        <v>0</v>
      </c>
    </row>
    <row r="801" customFormat="false" ht="14.35" hidden="false" customHeight="false" outlineLevel="0" collapsed="false">
      <c r="A801" s="4" t="n">
        <v>32294</v>
      </c>
      <c r="B801" s="5" t="n">
        <f aca="false">PostPro4FW!H807</f>
        <v>916.969080519994</v>
      </c>
      <c r="C801" s="5" t="n">
        <f aca="false">PostPro4FW!M807</f>
        <v>700</v>
      </c>
      <c r="D801" s="5" t="n">
        <f aca="false">PostPro4FW!H807+PostPro4FW!I807</f>
        <v>916.969080519994</v>
      </c>
      <c r="E801" s="5" t="n">
        <f aca="false">PostPro4FW!S807</f>
        <v>700</v>
      </c>
      <c r="F801" s="5" t="n">
        <f aca="false">PostPro4FW!Q807</f>
        <v>0</v>
      </c>
      <c r="G801" s="0" t="n">
        <f aca="false">PostPro4FW!R807</f>
        <v>0</v>
      </c>
    </row>
    <row r="802" customFormat="false" ht="14.35" hidden="false" customHeight="false" outlineLevel="0" collapsed="false">
      <c r="A802" s="4" t="n">
        <v>32324</v>
      </c>
      <c r="B802" s="5" t="n">
        <f aca="false">PostPro4FW!H808</f>
        <v>4046.69550925254</v>
      </c>
      <c r="C802" s="5" t="n">
        <f aca="false">PostPro4FW!M808</f>
        <v>700</v>
      </c>
      <c r="D802" s="5" t="n">
        <f aca="false">PostPro4FW!H808+PostPro4FW!I808</f>
        <v>4046.69550925254</v>
      </c>
      <c r="E802" s="5" t="n">
        <f aca="false">PostPro4FW!S808</f>
        <v>700</v>
      </c>
      <c r="F802" s="5" t="n">
        <f aca="false">PostPro4FW!Q808</f>
        <v>0</v>
      </c>
      <c r="G802" s="0" t="n">
        <f aca="false">PostPro4FW!R808</f>
        <v>0</v>
      </c>
    </row>
    <row r="803" customFormat="false" ht="14.35" hidden="false" customHeight="false" outlineLevel="0" collapsed="false">
      <c r="A803" s="4" t="n">
        <v>32355</v>
      </c>
      <c r="B803" s="5" t="n">
        <f aca="false">PostPro4FW!H809</f>
        <v>4324.37096298222</v>
      </c>
      <c r="C803" s="5" t="n">
        <f aca="false">PostPro4FW!M809</f>
        <v>700</v>
      </c>
      <c r="D803" s="5" t="n">
        <f aca="false">PostPro4FW!H809+PostPro4FW!I809</f>
        <v>4324.37096298222</v>
      </c>
      <c r="E803" s="5" t="n">
        <f aca="false">PostPro4FW!S809</f>
        <v>700</v>
      </c>
      <c r="F803" s="5" t="n">
        <f aca="false">PostPro4FW!Q809</f>
        <v>0</v>
      </c>
      <c r="G803" s="0" t="n">
        <f aca="false">PostPro4FW!R809</f>
        <v>0</v>
      </c>
    </row>
    <row r="804" customFormat="false" ht="14.35" hidden="false" customHeight="false" outlineLevel="0" collapsed="false">
      <c r="A804" s="4" t="n">
        <v>32386</v>
      </c>
      <c r="B804" s="5" t="n">
        <f aca="false">PostPro4FW!H810</f>
        <v>2301.11341771453</v>
      </c>
      <c r="C804" s="5" t="n">
        <f aca="false">PostPro4FW!M810</f>
        <v>700</v>
      </c>
      <c r="D804" s="5" t="n">
        <f aca="false">PostPro4FW!H810+PostPro4FW!I810</f>
        <v>2301.11341771453</v>
      </c>
      <c r="E804" s="5" t="n">
        <f aca="false">PostPro4FW!S810</f>
        <v>700</v>
      </c>
      <c r="F804" s="5" t="n">
        <f aca="false">PostPro4FW!Q810</f>
        <v>0</v>
      </c>
      <c r="G804" s="0" t="n">
        <f aca="false">PostPro4FW!R810</f>
        <v>0</v>
      </c>
    </row>
    <row r="805" customFormat="false" ht="14.35" hidden="false" customHeight="false" outlineLevel="0" collapsed="false">
      <c r="A805" s="4" t="n">
        <v>32416</v>
      </c>
      <c r="B805" s="5" t="n">
        <f aca="false">PostPro4FW!H811</f>
        <v>1580.15606363373</v>
      </c>
      <c r="C805" s="5" t="n">
        <f aca="false">PostPro4FW!M811</f>
        <v>773.3333333</v>
      </c>
      <c r="D805" s="5" t="n">
        <f aca="false">PostPro4FW!H811+PostPro4FW!I811</f>
        <v>1580.15606363373</v>
      </c>
      <c r="E805" s="5" t="n">
        <f aca="false">PostPro4FW!S811</f>
        <v>773.3333333</v>
      </c>
      <c r="F805" s="5" t="n">
        <f aca="false">PostPro4FW!Q811</f>
        <v>0</v>
      </c>
      <c r="G805" s="0" t="n">
        <f aca="false">PostPro4FW!R811</f>
        <v>0</v>
      </c>
    </row>
    <row r="806" customFormat="false" ht="14.35" hidden="false" customHeight="false" outlineLevel="0" collapsed="false">
      <c r="A806" s="4" t="n">
        <v>32447</v>
      </c>
      <c r="B806" s="5" t="n">
        <f aca="false">PostPro4FW!H812</f>
        <v>1511.38113456112</v>
      </c>
      <c r="C806" s="5" t="n">
        <f aca="false">PostPro4FW!M812</f>
        <v>800</v>
      </c>
      <c r="D806" s="5" t="n">
        <f aca="false">PostPro4FW!H812+PostPro4FW!I812</f>
        <v>1511.38113456112</v>
      </c>
      <c r="E806" s="5" t="n">
        <f aca="false">PostPro4FW!S812</f>
        <v>800</v>
      </c>
      <c r="F806" s="5" t="n">
        <f aca="false">PostPro4FW!Q812</f>
        <v>0</v>
      </c>
      <c r="G806" s="0" t="n">
        <f aca="false">PostPro4FW!R812</f>
        <v>0</v>
      </c>
    </row>
    <row r="807" customFormat="false" ht="14.35" hidden="false" customHeight="false" outlineLevel="0" collapsed="false">
      <c r="A807" s="4" t="n">
        <v>32477</v>
      </c>
      <c r="B807" s="5" t="n">
        <f aca="false">PostPro4FW!H813</f>
        <v>900.000000000004</v>
      </c>
      <c r="C807" s="5" t="n">
        <f aca="false">PostPro4FW!M813</f>
        <v>800</v>
      </c>
      <c r="D807" s="5" t="n">
        <f aca="false">PostPro4FW!H813+PostPro4FW!I813</f>
        <v>900.000000000004</v>
      </c>
      <c r="E807" s="5" t="n">
        <f aca="false">PostPro4FW!S813</f>
        <v>800</v>
      </c>
      <c r="F807" s="5" t="n">
        <f aca="false">PostPro4FW!Q813</f>
        <v>0</v>
      </c>
      <c r="G807" s="0" t="n">
        <f aca="false">PostPro4FW!R813</f>
        <v>0</v>
      </c>
    </row>
    <row r="808" customFormat="false" ht="14.35" hidden="false" customHeight="false" outlineLevel="0" collapsed="false">
      <c r="A808" s="4" t="n">
        <v>32508</v>
      </c>
      <c r="B808" s="5" t="n">
        <f aca="false">PostPro4FW!H814</f>
        <v>900</v>
      </c>
      <c r="C808" s="5" t="n">
        <f aca="false">PostPro4FW!M814</f>
        <v>800</v>
      </c>
      <c r="D808" s="5" t="n">
        <f aca="false">PostPro4FW!H814+PostPro4FW!I814</f>
        <v>900</v>
      </c>
      <c r="E808" s="5" t="n">
        <f aca="false">PostPro4FW!S814</f>
        <v>800</v>
      </c>
      <c r="F808" s="5" t="n">
        <f aca="false">PostPro4FW!Q814</f>
        <v>0</v>
      </c>
      <c r="G808" s="0" t="n">
        <f aca="false">PostPro4FW!R814</f>
        <v>0</v>
      </c>
    </row>
    <row r="809" customFormat="false" ht="14.35" hidden="false" customHeight="false" outlineLevel="0" collapsed="false">
      <c r="A809" s="4" t="n">
        <v>32539</v>
      </c>
      <c r="B809" s="5" t="n">
        <f aca="false">PostPro4FW!H815</f>
        <v>900</v>
      </c>
      <c r="C809" s="5" t="n">
        <f aca="false">PostPro4FW!M815</f>
        <v>800</v>
      </c>
      <c r="D809" s="5" t="n">
        <f aca="false">PostPro4FW!H815+PostPro4FW!I815</f>
        <v>900</v>
      </c>
      <c r="E809" s="5" t="n">
        <f aca="false">PostPro4FW!S815</f>
        <v>800</v>
      </c>
      <c r="F809" s="5" t="n">
        <f aca="false">PostPro4FW!Q815</f>
        <v>0</v>
      </c>
      <c r="G809" s="0" t="n">
        <f aca="false">PostPro4FW!R815</f>
        <v>0</v>
      </c>
    </row>
    <row r="810" customFormat="false" ht="14.35" hidden="false" customHeight="false" outlineLevel="0" collapsed="false">
      <c r="A810" s="4" t="n">
        <v>32567</v>
      </c>
      <c r="B810" s="5" t="n">
        <f aca="false">PostPro4FW!H816</f>
        <v>900</v>
      </c>
      <c r="C810" s="5" t="n">
        <f aca="false">PostPro4FW!M816</f>
        <v>800</v>
      </c>
      <c r="D810" s="5" t="n">
        <f aca="false">PostPro4FW!H816+PostPro4FW!I816</f>
        <v>900</v>
      </c>
      <c r="E810" s="5" t="n">
        <f aca="false">PostPro4FW!S816</f>
        <v>900</v>
      </c>
      <c r="F810" s="5" t="n">
        <f aca="false">PostPro4FW!Q816</f>
        <v>900</v>
      </c>
      <c r="G810" s="0" t="n">
        <f aca="false">PostPro4FW!R816</f>
        <v>28</v>
      </c>
    </row>
    <row r="811" customFormat="false" ht="14.35" hidden="false" customHeight="false" outlineLevel="0" collapsed="false">
      <c r="A811" s="4" t="n">
        <v>32598</v>
      </c>
      <c r="B811" s="5" t="n">
        <f aca="false">PostPro4FW!H817</f>
        <v>800</v>
      </c>
      <c r="C811" s="5" t="n">
        <f aca="false">PostPro4FW!M817</f>
        <v>800</v>
      </c>
      <c r="D811" s="5" t="n">
        <f aca="false">PostPro4FW!H817+PostPro4FW!I817</f>
        <v>800</v>
      </c>
      <c r="E811" s="5" t="n">
        <f aca="false">PostPro4FW!S817</f>
        <v>800</v>
      </c>
      <c r="F811" s="5" t="n">
        <f aca="false">PostPro4FW!Q817</f>
        <v>800</v>
      </c>
      <c r="G811" s="0" t="n">
        <f aca="false">PostPro4FW!R817</f>
        <v>31</v>
      </c>
    </row>
    <row r="812" customFormat="false" ht="14.35" hidden="false" customHeight="false" outlineLevel="0" collapsed="false">
      <c r="A812" s="4" t="n">
        <v>32628</v>
      </c>
      <c r="B812" s="5" t="n">
        <f aca="false">PostPro4FW!H818</f>
        <v>750.000000000001</v>
      </c>
      <c r="C812" s="5" t="n">
        <f aca="false">PostPro4FW!M818</f>
        <v>700</v>
      </c>
      <c r="D812" s="5" t="n">
        <f aca="false">PostPro4FW!H818+PostPro4FW!I818</f>
        <v>1170.13888888889</v>
      </c>
      <c r="E812" s="5" t="n">
        <f aca="false">PostPro4FW!S818</f>
        <v>1170.13888888889</v>
      </c>
      <c r="F812" s="5" t="n">
        <f aca="false">PostPro4FW!Q818</f>
        <v>1170.13888888889</v>
      </c>
      <c r="G812" s="0" t="n">
        <f aca="false">PostPro4FW!R818</f>
        <v>30</v>
      </c>
    </row>
    <row r="813" customFormat="false" ht="14.35" hidden="false" customHeight="false" outlineLevel="0" collapsed="false">
      <c r="A813" s="4" t="n">
        <v>32659</v>
      </c>
      <c r="B813" s="5" t="n">
        <f aca="false">PostPro4FW!H819</f>
        <v>1678.40307023663</v>
      </c>
      <c r="C813" s="5" t="n">
        <f aca="false">PostPro4FW!M819</f>
        <v>700</v>
      </c>
      <c r="D813" s="5" t="n">
        <f aca="false">PostPro4FW!H819+PostPro4FW!I819</f>
        <v>2084.98909174201</v>
      </c>
      <c r="E813" s="5" t="n">
        <f aca="false">PostPro4FW!S819</f>
        <v>825.806451612903</v>
      </c>
      <c r="F813" s="5" t="n">
        <f aca="false">PostPro4FW!Q819</f>
        <v>2000</v>
      </c>
      <c r="G813" s="0" t="n">
        <f aca="false">PostPro4FW!R819</f>
        <v>3</v>
      </c>
    </row>
    <row r="814" customFormat="false" ht="14.35" hidden="false" customHeight="false" outlineLevel="0" collapsed="false">
      <c r="A814" s="4" t="n">
        <v>32689</v>
      </c>
      <c r="B814" s="5" t="n">
        <f aca="false">PostPro4FW!H820</f>
        <v>3289.0929079766</v>
      </c>
      <c r="C814" s="5" t="n">
        <f aca="false">PostPro4FW!M820</f>
        <v>700</v>
      </c>
      <c r="D814" s="5" t="n">
        <f aca="false">PostPro4FW!H820+PostPro4FW!I820</f>
        <v>3289.0929079766</v>
      </c>
      <c r="E814" s="5" t="n">
        <f aca="false">PostPro4FW!S820</f>
        <v>700</v>
      </c>
      <c r="F814" s="5" t="n">
        <f aca="false">PostPro4FW!Q820</f>
        <v>0</v>
      </c>
      <c r="G814" s="0" t="n">
        <f aca="false">PostPro4FW!R820</f>
        <v>0</v>
      </c>
    </row>
    <row r="815" customFormat="false" ht="14.35" hidden="false" customHeight="false" outlineLevel="0" collapsed="false">
      <c r="A815" s="4" t="n">
        <v>32720</v>
      </c>
      <c r="B815" s="5" t="n">
        <f aca="false">PostPro4FW!H821</f>
        <v>9522.47253485737</v>
      </c>
      <c r="C815" s="5" t="n">
        <f aca="false">PostPro4FW!M821</f>
        <v>700</v>
      </c>
      <c r="D815" s="5" t="n">
        <f aca="false">PostPro4FW!H821+PostPro4FW!I821</f>
        <v>9522.47253485737</v>
      </c>
      <c r="E815" s="5" t="n">
        <f aca="false">PostPro4FW!S821</f>
        <v>700</v>
      </c>
      <c r="F815" s="5" t="n">
        <f aca="false">PostPro4FW!Q821</f>
        <v>0</v>
      </c>
      <c r="G815" s="0" t="n">
        <f aca="false">PostPro4FW!R821</f>
        <v>0</v>
      </c>
    </row>
    <row r="816" customFormat="false" ht="14.35" hidden="false" customHeight="false" outlineLevel="0" collapsed="false">
      <c r="A816" s="4" t="n">
        <v>32751</v>
      </c>
      <c r="B816" s="5" t="n">
        <f aca="false">PostPro4FW!H822</f>
        <v>2114.93925950655</v>
      </c>
      <c r="C816" s="5" t="n">
        <f aca="false">PostPro4FW!M822</f>
        <v>700</v>
      </c>
      <c r="D816" s="5" t="n">
        <f aca="false">PostPro4FW!H822+PostPro4FW!I822</f>
        <v>2114.93925950655</v>
      </c>
      <c r="E816" s="5" t="n">
        <f aca="false">PostPro4FW!S822</f>
        <v>700</v>
      </c>
      <c r="F816" s="5" t="n">
        <f aca="false">PostPro4FW!Q822</f>
        <v>0</v>
      </c>
      <c r="G816" s="0" t="n">
        <f aca="false">PostPro4FW!R822</f>
        <v>0</v>
      </c>
    </row>
    <row r="817" customFormat="false" ht="14.35" hidden="false" customHeight="false" outlineLevel="0" collapsed="false">
      <c r="A817" s="4" t="n">
        <v>32781</v>
      </c>
      <c r="B817" s="5" t="n">
        <f aca="false">PostPro4FW!H823</f>
        <v>773.3333333</v>
      </c>
      <c r="C817" s="5" t="n">
        <f aca="false">PostPro4FW!M823</f>
        <v>773.3333333</v>
      </c>
      <c r="D817" s="5" t="n">
        <f aca="false">PostPro4FW!H823+PostPro4FW!I823</f>
        <v>773.3333333</v>
      </c>
      <c r="E817" s="5" t="n">
        <f aca="false">PostPro4FW!S823</f>
        <v>773.3333333</v>
      </c>
      <c r="F817" s="5" t="n">
        <f aca="false">PostPro4FW!Q823</f>
        <v>0</v>
      </c>
      <c r="G817" s="0" t="n">
        <f aca="false">PostPro4FW!R823</f>
        <v>0</v>
      </c>
    </row>
    <row r="818" customFormat="false" ht="14.35" hidden="false" customHeight="false" outlineLevel="0" collapsed="false">
      <c r="A818" s="4" t="n">
        <v>32812</v>
      </c>
      <c r="B818" s="5" t="n">
        <f aca="false">PostPro4FW!H824</f>
        <v>900.000000000011</v>
      </c>
      <c r="C818" s="5" t="n">
        <f aca="false">PostPro4FW!M824</f>
        <v>800</v>
      </c>
      <c r="D818" s="5" t="n">
        <f aca="false">PostPro4FW!H824+PostPro4FW!I824</f>
        <v>900.000000000011</v>
      </c>
      <c r="E818" s="5" t="n">
        <f aca="false">PostPro4FW!S824</f>
        <v>800</v>
      </c>
      <c r="F818" s="5" t="n">
        <f aca="false">PostPro4FW!Q824</f>
        <v>0</v>
      </c>
      <c r="G818" s="0" t="n">
        <f aca="false">PostPro4FW!R824</f>
        <v>0</v>
      </c>
    </row>
    <row r="819" customFormat="false" ht="14.35" hidden="false" customHeight="false" outlineLevel="0" collapsed="false">
      <c r="A819" s="4" t="n">
        <v>32842</v>
      </c>
      <c r="B819" s="5" t="n">
        <f aca="false">PostPro4FW!H825</f>
        <v>899.999999999999</v>
      </c>
      <c r="C819" s="5" t="n">
        <f aca="false">PostPro4FW!M825</f>
        <v>800</v>
      </c>
      <c r="D819" s="5" t="n">
        <f aca="false">PostPro4FW!H825+PostPro4FW!I825</f>
        <v>899.999999999999</v>
      </c>
      <c r="E819" s="5" t="n">
        <f aca="false">PostPro4FW!S825</f>
        <v>800</v>
      </c>
      <c r="F819" s="5" t="n">
        <f aca="false">PostPro4FW!Q825</f>
        <v>0</v>
      </c>
      <c r="G819" s="0" t="n">
        <f aca="false">PostPro4FW!R825</f>
        <v>0</v>
      </c>
    </row>
    <row r="820" customFormat="false" ht="14.35" hidden="false" customHeight="false" outlineLevel="0" collapsed="false">
      <c r="A820" s="4" t="n">
        <v>32873</v>
      </c>
      <c r="B820" s="5" t="n">
        <f aca="false">PostPro4FW!H826</f>
        <v>900</v>
      </c>
      <c r="C820" s="5" t="n">
        <f aca="false">PostPro4FW!M826</f>
        <v>800</v>
      </c>
      <c r="D820" s="5" t="n">
        <f aca="false">PostPro4FW!H826+PostPro4FW!I826</f>
        <v>900</v>
      </c>
      <c r="E820" s="5" t="n">
        <f aca="false">PostPro4FW!S826</f>
        <v>800</v>
      </c>
      <c r="F820" s="5" t="n">
        <f aca="false">PostPro4FW!Q826</f>
        <v>0</v>
      </c>
      <c r="G820" s="0" t="n">
        <f aca="false">PostPro4FW!R826</f>
        <v>0</v>
      </c>
    </row>
    <row r="821" customFormat="false" ht="14.35" hidden="false" customHeight="false" outlineLevel="0" collapsed="false">
      <c r="A821" s="4" t="n">
        <v>32904</v>
      </c>
      <c r="B821" s="5" t="n">
        <f aca="false">PostPro4FW!H827</f>
        <v>900</v>
      </c>
      <c r="C821" s="5" t="n">
        <f aca="false">PostPro4FW!M827</f>
        <v>800</v>
      </c>
      <c r="D821" s="5" t="n">
        <f aca="false">PostPro4FW!H827+PostPro4FW!I827</f>
        <v>900</v>
      </c>
      <c r="E821" s="5" t="n">
        <f aca="false">PostPro4FW!S827</f>
        <v>800</v>
      </c>
      <c r="F821" s="5" t="n">
        <f aca="false">PostPro4FW!Q827</f>
        <v>0</v>
      </c>
      <c r="G821" s="0" t="n">
        <f aca="false">PostPro4FW!R827</f>
        <v>0</v>
      </c>
    </row>
    <row r="822" customFormat="false" ht="14.35" hidden="false" customHeight="false" outlineLevel="0" collapsed="false">
      <c r="A822" s="4" t="n">
        <v>32932</v>
      </c>
      <c r="B822" s="5" t="n">
        <f aca="false">PostPro4FW!H828</f>
        <v>900</v>
      </c>
      <c r="C822" s="5" t="n">
        <f aca="false">PostPro4FW!M828</f>
        <v>800</v>
      </c>
      <c r="D822" s="5" t="n">
        <f aca="false">PostPro4FW!H828+PostPro4FW!I828</f>
        <v>900</v>
      </c>
      <c r="E822" s="5" t="n">
        <f aca="false">PostPro4FW!S828</f>
        <v>800</v>
      </c>
      <c r="F822" s="5" t="n">
        <f aca="false">PostPro4FW!Q828</f>
        <v>0</v>
      </c>
      <c r="G822" s="0" t="n">
        <f aca="false">PostPro4FW!R828</f>
        <v>0</v>
      </c>
    </row>
    <row r="823" customFormat="false" ht="14.35" hidden="false" customHeight="false" outlineLevel="0" collapsed="false">
      <c r="A823" s="4" t="n">
        <v>32963</v>
      </c>
      <c r="B823" s="5" t="n">
        <f aca="false">PostPro4FW!H829</f>
        <v>800</v>
      </c>
      <c r="C823" s="5" t="n">
        <f aca="false">PostPro4FW!M829</f>
        <v>800</v>
      </c>
      <c r="D823" s="5" t="n">
        <f aca="false">PostPro4FW!H829+PostPro4FW!I829</f>
        <v>800</v>
      </c>
      <c r="E823" s="5" t="n">
        <f aca="false">PostPro4FW!S829</f>
        <v>800</v>
      </c>
      <c r="F823" s="5" t="n">
        <f aca="false">PostPro4FW!Q829</f>
        <v>0</v>
      </c>
      <c r="G823" s="0" t="n">
        <f aca="false">PostPro4FW!R829</f>
        <v>0</v>
      </c>
    </row>
    <row r="824" customFormat="false" ht="14.35" hidden="false" customHeight="false" outlineLevel="0" collapsed="false">
      <c r="A824" s="4" t="n">
        <v>32993</v>
      </c>
      <c r="B824" s="5" t="n">
        <f aca="false">PostPro4FW!H830</f>
        <v>750</v>
      </c>
      <c r="C824" s="5" t="n">
        <f aca="false">PostPro4FW!M830</f>
        <v>700</v>
      </c>
      <c r="D824" s="5" t="n">
        <f aca="false">PostPro4FW!H830+PostPro4FW!I830</f>
        <v>750</v>
      </c>
      <c r="E824" s="5" t="n">
        <f aca="false">PostPro4FW!S830</f>
        <v>700</v>
      </c>
      <c r="F824" s="5" t="n">
        <f aca="false">PostPro4FW!Q830</f>
        <v>0</v>
      </c>
      <c r="G824" s="0" t="n">
        <f aca="false">PostPro4FW!R830</f>
        <v>0</v>
      </c>
    </row>
    <row r="825" customFormat="false" ht="14.35" hidden="false" customHeight="false" outlineLevel="0" collapsed="false">
      <c r="A825" s="4" t="n">
        <v>33024</v>
      </c>
      <c r="B825" s="5" t="n">
        <f aca="false">PostPro4FW!H831</f>
        <v>836.00313440947</v>
      </c>
      <c r="C825" s="5" t="n">
        <f aca="false">PostPro4FW!M831</f>
        <v>700</v>
      </c>
      <c r="D825" s="5" t="n">
        <f aca="false">PostPro4FW!H831+PostPro4FW!I831</f>
        <v>836.00313440947</v>
      </c>
      <c r="E825" s="5" t="n">
        <f aca="false">PostPro4FW!S831</f>
        <v>700</v>
      </c>
      <c r="F825" s="5" t="n">
        <f aca="false">PostPro4FW!Q831</f>
        <v>0</v>
      </c>
      <c r="G825" s="0" t="n">
        <f aca="false">PostPro4FW!R831</f>
        <v>0</v>
      </c>
    </row>
    <row r="826" customFormat="false" ht="14.35" hidden="false" customHeight="false" outlineLevel="0" collapsed="false">
      <c r="A826" s="4" t="n">
        <v>33054</v>
      </c>
      <c r="B826" s="5" t="n">
        <f aca="false">PostPro4FW!H832</f>
        <v>3381.76947926255</v>
      </c>
      <c r="C826" s="5" t="n">
        <f aca="false">PostPro4FW!M832</f>
        <v>700</v>
      </c>
      <c r="D826" s="5" t="n">
        <f aca="false">PostPro4FW!H832+PostPro4FW!I832</f>
        <v>3381.76947926255</v>
      </c>
      <c r="E826" s="5" t="n">
        <f aca="false">PostPro4FW!S832</f>
        <v>700</v>
      </c>
      <c r="F826" s="5" t="n">
        <f aca="false">PostPro4FW!Q832</f>
        <v>0</v>
      </c>
      <c r="G826" s="0" t="n">
        <f aca="false">PostPro4FW!R832</f>
        <v>0</v>
      </c>
    </row>
    <row r="827" customFormat="false" ht="14.35" hidden="false" customHeight="false" outlineLevel="0" collapsed="false">
      <c r="A827" s="4" t="n">
        <v>33085</v>
      </c>
      <c r="B827" s="5" t="n">
        <f aca="false">PostPro4FW!H833</f>
        <v>3369.67292871947</v>
      </c>
      <c r="C827" s="5" t="n">
        <f aca="false">PostPro4FW!M833</f>
        <v>700</v>
      </c>
      <c r="D827" s="5" t="n">
        <f aca="false">PostPro4FW!H833+PostPro4FW!I833</f>
        <v>3369.67292871947</v>
      </c>
      <c r="E827" s="5" t="n">
        <f aca="false">PostPro4FW!S833</f>
        <v>700</v>
      </c>
      <c r="F827" s="5" t="n">
        <f aca="false">PostPro4FW!Q833</f>
        <v>0</v>
      </c>
      <c r="G827" s="0" t="n">
        <f aca="false">PostPro4FW!R833</f>
        <v>0</v>
      </c>
    </row>
    <row r="828" customFormat="false" ht="14.35" hidden="false" customHeight="false" outlineLevel="0" collapsed="false">
      <c r="A828" s="4" t="n">
        <v>33116</v>
      </c>
      <c r="B828" s="5" t="n">
        <f aca="false">PostPro4FW!H834</f>
        <v>1362.43346940486</v>
      </c>
      <c r="C828" s="5" t="n">
        <f aca="false">PostPro4FW!M834</f>
        <v>700</v>
      </c>
      <c r="D828" s="5" t="n">
        <f aca="false">PostPro4FW!H834+PostPro4FW!I834</f>
        <v>1362.43346940486</v>
      </c>
      <c r="E828" s="5" t="n">
        <f aca="false">PostPro4FW!S834</f>
        <v>700</v>
      </c>
      <c r="F828" s="5" t="n">
        <f aca="false">PostPro4FW!Q834</f>
        <v>0</v>
      </c>
      <c r="G828" s="0" t="n">
        <f aca="false">PostPro4FW!R834</f>
        <v>0</v>
      </c>
    </row>
    <row r="829" customFormat="false" ht="14.35" hidden="false" customHeight="false" outlineLevel="0" collapsed="false">
      <c r="A829" s="4" t="n">
        <v>33146</v>
      </c>
      <c r="B829" s="5" t="n">
        <f aca="false">PostPro4FW!H835</f>
        <v>1005.85421230821</v>
      </c>
      <c r="C829" s="5" t="n">
        <f aca="false">PostPro4FW!M835</f>
        <v>773.3333333</v>
      </c>
      <c r="D829" s="5" t="n">
        <f aca="false">PostPro4FW!H835+PostPro4FW!I835</f>
        <v>1005.85421230821</v>
      </c>
      <c r="E829" s="5" t="n">
        <f aca="false">PostPro4FW!S835</f>
        <v>773.3333333</v>
      </c>
      <c r="F829" s="5" t="n">
        <f aca="false">PostPro4FW!Q835</f>
        <v>0</v>
      </c>
      <c r="G829" s="0" t="n">
        <f aca="false">PostPro4FW!R835</f>
        <v>0</v>
      </c>
    </row>
    <row r="830" customFormat="false" ht="14.35" hidden="false" customHeight="false" outlineLevel="0" collapsed="false">
      <c r="A830" s="4" t="n">
        <v>33177</v>
      </c>
      <c r="B830" s="5" t="n">
        <f aca="false">PostPro4FW!H836</f>
        <v>931.298008103222</v>
      </c>
      <c r="C830" s="5" t="n">
        <f aca="false">PostPro4FW!M836</f>
        <v>800</v>
      </c>
      <c r="D830" s="5" t="n">
        <f aca="false">PostPro4FW!H836+PostPro4FW!I836</f>
        <v>931.298008103222</v>
      </c>
      <c r="E830" s="5" t="n">
        <f aca="false">PostPro4FW!S836</f>
        <v>800</v>
      </c>
      <c r="F830" s="5" t="n">
        <f aca="false">PostPro4FW!Q836</f>
        <v>0</v>
      </c>
      <c r="G830" s="0" t="n">
        <f aca="false">PostPro4FW!R836</f>
        <v>0</v>
      </c>
    </row>
    <row r="831" customFormat="false" ht="14.35" hidden="false" customHeight="false" outlineLevel="0" collapsed="false">
      <c r="A831" s="4" t="n">
        <v>33207</v>
      </c>
      <c r="B831" s="5" t="n">
        <f aca="false">PostPro4FW!H837</f>
        <v>899.999999999993</v>
      </c>
      <c r="C831" s="5" t="n">
        <f aca="false">PostPro4FW!M837</f>
        <v>800</v>
      </c>
      <c r="D831" s="5" t="n">
        <f aca="false">PostPro4FW!H837+PostPro4FW!I837</f>
        <v>899.999999999993</v>
      </c>
      <c r="E831" s="5" t="n">
        <f aca="false">PostPro4FW!S837</f>
        <v>800</v>
      </c>
      <c r="F831" s="5" t="n">
        <f aca="false">PostPro4FW!Q837</f>
        <v>0</v>
      </c>
      <c r="G831" s="0" t="n">
        <f aca="false">PostPro4FW!R837</f>
        <v>0</v>
      </c>
    </row>
    <row r="832" customFormat="false" ht="14.35" hidden="false" customHeight="false" outlineLevel="0" collapsed="false">
      <c r="A832" s="4" t="n">
        <v>33238</v>
      </c>
      <c r="B832" s="5" t="n">
        <f aca="false">PostPro4FW!H838</f>
        <v>1374.54254092619</v>
      </c>
      <c r="C832" s="5" t="n">
        <f aca="false">PostPro4FW!M838</f>
        <v>800</v>
      </c>
      <c r="D832" s="5" t="n">
        <f aca="false">PostPro4FW!H838+PostPro4FW!I838</f>
        <v>1374.54254092619</v>
      </c>
      <c r="E832" s="5" t="n">
        <f aca="false">PostPro4FW!S838</f>
        <v>800</v>
      </c>
      <c r="F832" s="5" t="n">
        <f aca="false">PostPro4FW!Q838</f>
        <v>0</v>
      </c>
      <c r="G832" s="0" t="n">
        <f aca="false">PostPro4FW!R838</f>
        <v>0</v>
      </c>
    </row>
    <row r="833" customFormat="false" ht="14.35" hidden="false" customHeight="false" outlineLevel="0" collapsed="false">
      <c r="A833" s="4" t="n">
        <v>33269</v>
      </c>
      <c r="B833" s="5" t="n">
        <f aca="false">PostPro4FW!H839</f>
        <v>900</v>
      </c>
      <c r="C833" s="5" t="n">
        <f aca="false">PostPro4FW!M839</f>
        <v>800</v>
      </c>
      <c r="D833" s="5" t="n">
        <f aca="false">PostPro4FW!H839+PostPro4FW!I839</f>
        <v>900</v>
      </c>
      <c r="E833" s="5" t="n">
        <f aca="false">PostPro4FW!S839</f>
        <v>800</v>
      </c>
      <c r="F833" s="5" t="n">
        <f aca="false">PostPro4FW!Q839</f>
        <v>0</v>
      </c>
      <c r="G833" s="0" t="n">
        <f aca="false">PostPro4FW!R839</f>
        <v>0</v>
      </c>
    </row>
    <row r="834" customFormat="false" ht="14.35" hidden="false" customHeight="false" outlineLevel="0" collapsed="false">
      <c r="A834" s="4" t="n">
        <v>33297</v>
      </c>
      <c r="B834" s="5" t="n">
        <f aca="false">PostPro4FW!H840</f>
        <v>899.999999999983</v>
      </c>
      <c r="C834" s="5" t="n">
        <f aca="false">PostPro4FW!M840</f>
        <v>800</v>
      </c>
      <c r="D834" s="5" t="n">
        <f aca="false">PostPro4FW!H840+PostPro4FW!I840</f>
        <v>899.999999999983</v>
      </c>
      <c r="E834" s="5" t="n">
        <f aca="false">PostPro4FW!S840</f>
        <v>800</v>
      </c>
      <c r="F834" s="5" t="n">
        <f aca="false">PostPro4FW!Q840</f>
        <v>0</v>
      </c>
      <c r="G834" s="0" t="n">
        <f aca="false">PostPro4FW!R840</f>
        <v>0</v>
      </c>
    </row>
    <row r="835" customFormat="false" ht="14.35" hidden="false" customHeight="false" outlineLevel="0" collapsed="false">
      <c r="A835" s="4" t="n">
        <v>33328</v>
      </c>
      <c r="B835" s="5" t="n">
        <f aca="false">PostPro4FW!H841</f>
        <v>800</v>
      </c>
      <c r="C835" s="5" t="n">
        <f aca="false">PostPro4FW!M841</f>
        <v>800</v>
      </c>
      <c r="D835" s="5" t="n">
        <f aca="false">PostPro4FW!H841+PostPro4FW!I841</f>
        <v>800</v>
      </c>
      <c r="E835" s="5" t="n">
        <f aca="false">PostPro4FW!S841</f>
        <v>800</v>
      </c>
      <c r="F835" s="5" t="n">
        <f aca="false">PostPro4FW!Q841</f>
        <v>0</v>
      </c>
      <c r="G835" s="0" t="n">
        <f aca="false">PostPro4FW!R841</f>
        <v>0</v>
      </c>
    </row>
    <row r="836" customFormat="false" ht="14.35" hidden="false" customHeight="false" outlineLevel="0" collapsed="false">
      <c r="A836" s="4" t="n">
        <v>33358</v>
      </c>
      <c r="B836" s="5" t="n">
        <f aca="false">PostPro4FW!H842</f>
        <v>750</v>
      </c>
      <c r="C836" s="5" t="n">
        <f aca="false">PostPro4FW!M842</f>
        <v>700</v>
      </c>
      <c r="D836" s="5" t="n">
        <f aca="false">PostPro4FW!H842+PostPro4FW!I842</f>
        <v>750</v>
      </c>
      <c r="E836" s="5" t="n">
        <f aca="false">PostPro4FW!S842</f>
        <v>700</v>
      </c>
      <c r="F836" s="5" t="n">
        <f aca="false">PostPro4FW!Q842</f>
        <v>0</v>
      </c>
      <c r="G836" s="0" t="n">
        <f aca="false">PostPro4FW!R842</f>
        <v>0</v>
      </c>
    </row>
    <row r="837" customFormat="false" ht="14.35" hidden="false" customHeight="false" outlineLevel="0" collapsed="false">
      <c r="A837" s="4" t="n">
        <v>33389</v>
      </c>
      <c r="B837" s="5" t="n">
        <f aca="false">PostPro4FW!H843</f>
        <v>750</v>
      </c>
      <c r="C837" s="5" t="n">
        <f aca="false">PostPro4FW!M843</f>
        <v>700</v>
      </c>
      <c r="D837" s="5" t="n">
        <f aca="false">PostPro4FW!H843+PostPro4FW!I843</f>
        <v>750</v>
      </c>
      <c r="E837" s="5" t="n">
        <f aca="false">PostPro4FW!S843</f>
        <v>700</v>
      </c>
      <c r="F837" s="5" t="n">
        <f aca="false">PostPro4FW!Q843</f>
        <v>0</v>
      </c>
      <c r="G837" s="0" t="n">
        <f aca="false">PostPro4FW!R843</f>
        <v>0</v>
      </c>
    </row>
    <row r="838" customFormat="false" ht="14.35" hidden="false" customHeight="false" outlineLevel="0" collapsed="false">
      <c r="A838" s="4" t="n">
        <v>33419</v>
      </c>
      <c r="B838" s="5" t="n">
        <f aca="false">PostPro4FW!H844</f>
        <v>3076.91190296584</v>
      </c>
      <c r="C838" s="5" t="n">
        <f aca="false">PostPro4FW!M844</f>
        <v>700</v>
      </c>
      <c r="D838" s="5" t="n">
        <f aca="false">PostPro4FW!H844+PostPro4FW!I844</f>
        <v>3076.91190296584</v>
      </c>
      <c r="E838" s="5" t="n">
        <f aca="false">PostPro4FW!S844</f>
        <v>700</v>
      </c>
      <c r="F838" s="5" t="n">
        <f aca="false">PostPro4FW!Q844</f>
        <v>0</v>
      </c>
      <c r="G838" s="0" t="n">
        <f aca="false">PostPro4FW!R844</f>
        <v>0</v>
      </c>
    </row>
    <row r="839" customFormat="false" ht="14.35" hidden="false" customHeight="false" outlineLevel="0" collapsed="false">
      <c r="A839" s="4" t="n">
        <v>33450</v>
      </c>
      <c r="B839" s="5" t="n">
        <f aca="false">PostPro4FW!H845</f>
        <v>3528.06761543792</v>
      </c>
      <c r="C839" s="5" t="n">
        <f aca="false">PostPro4FW!M845</f>
        <v>700</v>
      </c>
      <c r="D839" s="5" t="n">
        <f aca="false">PostPro4FW!H845+PostPro4FW!I845</f>
        <v>3528.06761543792</v>
      </c>
      <c r="E839" s="5" t="n">
        <f aca="false">PostPro4FW!S845</f>
        <v>700</v>
      </c>
      <c r="F839" s="5" t="n">
        <f aca="false">PostPro4FW!Q845</f>
        <v>0</v>
      </c>
      <c r="G839" s="0" t="n">
        <f aca="false">PostPro4FW!R845</f>
        <v>0</v>
      </c>
    </row>
    <row r="840" customFormat="false" ht="14.35" hidden="false" customHeight="false" outlineLevel="0" collapsed="false">
      <c r="A840" s="4" t="n">
        <v>33481</v>
      </c>
      <c r="B840" s="5" t="n">
        <f aca="false">PostPro4FW!H846</f>
        <v>2311.60554714952</v>
      </c>
      <c r="C840" s="5" t="n">
        <f aca="false">PostPro4FW!M846</f>
        <v>700</v>
      </c>
      <c r="D840" s="5" t="n">
        <f aca="false">PostPro4FW!H846+PostPro4FW!I846</f>
        <v>2311.60554714952</v>
      </c>
      <c r="E840" s="5" t="n">
        <f aca="false">PostPro4FW!S846</f>
        <v>700</v>
      </c>
      <c r="F840" s="5" t="n">
        <f aca="false">PostPro4FW!Q846</f>
        <v>0</v>
      </c>
      <c r="G840" s="0" t="n">
        <f aca="false">PostPro4FW!R846</f>
        <v>0</v>
      </c>
    </row>
    <row r="841" customFormat="false" ht="14.35" hidden="false" customHeight="false" outlineLevel="0" collapsed="false">
      <c r="A841" s="4" t="n">
        <v>33511</v>
      </c>
      <c r="B841" s="5" t="n">
        <f aca="false">PostPro4FW!H847</f>
        <v>1199.35670192735</v>
      </c>
      <c r="C841" s="5" t="n">
        <f aca="false">PostPro4FW!M847</f>
        <v>773.3333333</v>
      </c>
      <c r="D841" s="5" t="n">
        <f aca="false">PostPro4FW!H847+PostPro4FW!I847</f>
        <v>1199.35670192735</v>
      </c>
      <c r="E841" s="5" t="n">
        <f aca="false">PostPro4FW!S847</f>
        <v>773.3333333</v>
      </c>
      <c r="F841" s="5" t="n">
        <f aca="false">PostPro4FW!Q847</f>
        <v>0</v>
      </c>
      <c r="G841" s="0" t="n">
        <f aca="false">PostPro4FW!R847</f>
        <v>0</v>
      </c>
    </row>
    <row r="842" customFormat="false" ht="14.35" hidden="false" customHeight="false" outlineLevel="0" collapsed="false">
      <c r="A842" s="4" t="n">
        <v>33542</v>
      </c>
      <c r="B842" s="5" t="n">
        <f aca="false">PostPro4FW!H848</f>
        <v>900.000000000012</v>
      </c>
      <c r="C842" s="5" t="n">
        <f aca="false">PostPro4FW!M848</f>
        <v>800</v>
      </c>
      <c r="D842" s="5" t="n">
        <f aca="false">PostPro4FW!H848+PostPro4FW!I848</f>
        <v>900.000000000012</v>
      </c>
      <c r="E842" s="5" t="n">
        <f aca="false">PostPro4FW!S848</f>
        <v>800</v>
      </c>
      <c r="F842" s="5" t="n">
        <f aca="false">PostPro4FW!Q848</f>
        <v>0</v>
      </c>
      <c r="G842" s="0" t="n">
        <f aca="false">PostPro4FW!R848</f>
        <v>0</v>
      </c>
    </row>
    <row r="843" customFormat="false" ht="14.35" hidden="false" customHeight="false" outlineLevel="0" collapsed="false">
      <c r="A843" s="4" t="n">
        <v>33572</v>
      </c>
      <c r="B843" s="5" t="n">
        <f aca="false">PostPro4FW!H849</f>
        <v>900</v>
      </c>
      <c r="C843" s="5" t="n">
        <f aca="false">PostPro4FW!M849</f>
        <v>800</v>
      </c>
      <c r="D843" s="5" t="n">
        <f aca="false">PostPro4FW!H849+PostPro4FW!I849</f>
        <v>900</v>
      </c>
      <c r="E843" s="5" t="n">
        <f aca="false">PostPro4FW!S849</f>
        <v>800</v>
      </c>
      <c r="F843" s="5" t="n">
        <f aca="false">PostPro4FW!Q849</f>
        <v>0</v>
      </c>
      <c r="G843" s="0" t="n">
        <f aca="false">PostPro4FW!R849</f>
        <v>0</v>
      </c>
    </row>
    <row r="844" customFormat="false" ht="14.35" hidden="false" customHeight="false" outlineLevel="0" collapsed="false">
      <c r="A844" s="4" t="n">
        <v>33603</v>
      </c>
      <c r="B844" s="5" t="n">
        <f aca="false">PostPro4FW!H850</f>
        <v>900</v>
      </c>
      <c r="C844" s="5" t="n">
        <f aca="false">PostPro4FW!M850</f>
        <v>800</v>
      </c>
      <c r="D844" s="5" t="n">
        <f aca="false">PostPro4FW!H850+PostPro4FW!I850</f>
        <v>900</v>
      </c>
      <c r="E844" s="5" t="n">
        <f aca="false">PostPro4FW!S850</f>
        <v>800</v>
      </c>
      <c r="F844" s="5" t="n">
        <f aca="false">PostPro4FW!Q850</f>
        <v>0</v>
      </c>
      <c r="G844" s="0" t="n">
        <f aca="false">PostPro4FW!R850</f>
        <v>0</v>
      </c>
    </row>
    <row r="845" customFormat="false" ht="14.35" hidden="false" customHeight="false" outlineLevel="0" collapsed="false">
      <c r="A845" s="4" t="n">
        <v>33634</v>
      </c>
      <c r="B845" s="5" t="n">
        <f aca="false">PostPro4FW!H851</f>
        <v>900</v>
      </c>
      <c r="C845" s="5" t="n">
        <f aca="false">PostPro4FW!M851</f>
        <v>800</v>
      </c>
      <c r="D845" s="5" t="n">
        <f aca="false">PostPro4FW!H851+PostPro4FW!I851</f>
        <v>900</v>
      </c>
      <c r="E845" s="5" t="n">
        <f aca="false">PostPro4FW!S851</f>
        <v>800</v>
      </c>
      <c r="F845" s="5" t="n">
        <f aca="false">PostPro4FW!Q851</f>
        <v>0</v>
      </c>
      <c r="G845" s="0" t="n">
        <f aca="false">PostPro4FW!R851</f>
        <v>0</v>
      </c>
    </row>
    <row r="846" customFormat="false" ht="14.35" hidden="false" customHeight="false" outlineLevel="0" collapsed="false">
      <c r="A846" s="4" t="n">
        <v>33663</v>
      </c>
      <c r="B846" s="5" t="n">
        <f aca="false">PostPro4FW!H852</f>
        <v>900</v>
      </c>
      <c r="C846" s="5" t="n">
        <f aca="false">PostPro4FW!M852</f>
        <v>800</v>
      </c>
      <c r="D846" s="5" t="n">
        <f aca="false">PostPro4FW!H852+PostPro4FW!I852</f>
        <v>900</v>
      </c>
      <c r="E846" s="5" t="n">
        <f aca="false">PostPro4FW!S852</f>
        <v>800</v>
      </c>
      <c r="F846" s="5" t="n">
        <f aca="false">PostPro4FW!Q852</f>
        <v>0</v>
      </c>
      <c r="G846" s="0" t="n">
        <f aca="false">PostPro4FW!R852</f>
        <v>0</v>
      </c>
    </row>
    <row r="847" customFormat="false" ht="14.35" hidden="false" customHeight="false" outlineLevel="0" collapsed="false">
      <c r="A847" s="4" t="n">
        <v>33694</v>
      </c>
      <c r="B847" s="5" t="n">
        <f aca="false">PostPro4FW!H853</f>
        <v>800</v>
      </c>
      <c r="C847" s="5" t="n">
        <f aca="false">PostPro4FW!M853</f>
        <v>800</v>
      </c>
      <c r="D847" s="5" t="n">
        <f aca="false">PostPro4FW!H853+PostPro4FW!I853</f>
        <v>800</v>
      </c>
      <c r="E847" s="5" t="n">
        <f aca="false">PostPro4FW!S853</f>
        <v>800</v>
      </c>
      <c r="F847" s="5" t="n">
        <f aca="false">PostPro4FW!Q853</f>
        <v>0</v>
      </c>
      <c r="G847" s="0" t="n">
        <f aca="false">PostPro4FW!R853</f>
        <v>0</v>
      </c>
    </row>
    <row r="848" customFormat="false" ht="14.35" hidden="false" customHeight="false" outlineLevel="0" collapsed="false">
      <c r="A848" s="4" t="n">
        <v>33724</v>
      </c>
      <c r="B848" s="5" t="n">
        <f aca="false">PostPro4FW!H854</f>
        <v>750</v>
      </c>
      <c r="C848" s="5" t="n">
        <f aca="false">PostPro4FW!M854</f>
        <v>700</v>
      </c>
      <c r="D848" s="5" t="n">
        <f aca="false">PostPro4FW!H854+PostPro4FW!I854</f>
        <v>750</v>
      </c>
      <c r="E848" s="5" t="n">
        <f aca="false">PostPro4FW!S854</f>
        <v>700</v>
      </c>
      <c r="F848" s="5" t="n">
        <f aca="false">PostPro4FW!Q854</f>
        <v>0</v>
      </c>
      <c r="G848" s="0" t="n">
        <f aca="false">PostPro4FW!R854</f>
        <v>0</v>
      </c>
    </row>
    <row r="849" customFormat="false" ht="14.35" hidden="false" customHeight="false" outlineLevel="0" collapsed="false">
      <c r="A849" s="4" t="n">
        <v>33755</v>
      </c>
      <c r="B849" s="5" t="n">
        <f aca="false">PostPro4FW!H855</f>
        <v>2452.72605434747</v>
      </c>
      <c r="C849" s="5" t="n">
        <f aca="false">PostPro4FW!M855</f>
        <v>700</v>
      </c>
      <c r="D849" s="5" t="n">
        <f aca="false">PostPro4FW!H855+PostPro4FW!I855</f>
        <v>2452.72605434747</v>
      </c>
      <c r="E849" s="5" t="n">
        <f aca="false">PostPro4FW!S855</f>
        <v>700</v>
      </c>
      <c r="F849" s="5" t="n">
        <f aca="false">PostPro4FW!Q855</f>
        <v>0</v>
      </c>
      <c r="G849" s="0" t="n">
        <f aca="false">PostPro4FW!R855</f>
        <v>0</v>
      </c>
    </row>
    <row r="850" customFormat="false" ht="14.35" hidden="false" customHeight="false" outlineLevel="0" collapsed="false">
      <c r="A850" s="4" t="n">
        <v>33785</v>
      </c>
      <c r="B850" s="5" t="n">
        <f aca="false">PostPro4FW!H856</f>
        <v>3984.75809554355</v>
      </c>
      <c r="C850" s="5" t="n">
        <f aca="false">PostPro4FW!M856</f>
        <v>700</v>
      </c>
      <c r="D850" s="5" t="n">
        <f aca="false">PostPro4FW!H856+PostPro4FW!I856</f>
        <v>3984.75809554355</v>
      </c>
      <c r="E850" s="5" t="n">
        <f aca="false">PostPro4FW!S856</f>
        <v>700</v>
      </c>
      <c r="F850" s="5" t="n">
        <f aca="false">PostPro4FW!Q856</f>
        <v>0</v>
      </c>
      <c r="G850" s="0" t="n">
        <f aca="false">PostPro4FW!R856</f>
        <v>0</v>
      </c>
    </row>
    <row r="851" customFormat="false" ht="14.35" hidden="false" customHeight="false" outlineLevel="0" collapsed="false">
      <c r="A851" s="4" t="n">
        <v>33816</v>
      </c>
      <c r="B851" s="5" t="n">
        <f aca="false">PostPro4FW!H857</f>
        <v>3726.35880402642</v>
      </c>
      <c r="C851" s="5" t="n">
        <f aca="false">PostPro4FW!M857</f>
        <v>700</v>
      </c>
      <c r="D851" s="5" t="n">
        <f aca="false">PostPro4FW!H857+PostPro4FW!I857</f>
        <v>3726.35880402642</v>
      </c>
      <c r="E851" s="5" t="n">
        <f aca="false">PostPro4FW!S857</f>
        <v>700</v>
      </c>
      <c r="F851" s="5" t="n">
        <f aca="false">PostPro4FW!Q857</f>
        <v>0</v>
      </c>
      <c r="G851" s="0" t="n">
        <f aca="false">PostPro4FW!R857</f>
        <v>0</v>
      </c>
    </row>
    <row r="852" customFormat="false" ht="14.35" hidden="false" customHeight="false" outlineLevel="0" collapsed="false">
      <c r="A852" s="4" t="n">
        <v>33847</v>
      </c>
      <c r="B852" s="5" t="n">
        <f aca="false">PostPro4FW!H858</f>
        <v>2004.11627634785</v>
      </c>
      <c r="C852" s="5" t="n">
        <f aca="false">PostPro4FW!M858</f>
        <v>700</v>
      </c>
      <c r="D852" s="5" t="n">
        <f aca="false">PostPro4FW!H858+PostPro4FW!I858</f>
        <v>2004.11627634785</v>
      </c>
      <c r="E852" s="5" t="n">
        <f aca="false">PostPro4FW!S858</f>
        <v>700</v>
      </c>
      <c r="F852" s="5" t="n">
        <f aca="false">PostPro4FW!Q858</f>
        <v>0</v>
      </c>
      <c r="G852" s="0" t="n">
        <f aca="false">PostPro4FW!R858</f>
        <v>0</v>
      </c>
    </row>
    <row r="853" customFormat="false" ht="14.35" hidden="false" customHeight="false" outlineLevel="0" collapsed="false">
      <c r="A853" s="4" t="n">
        <v>33877</v>
      </c>
      <c r="B853" s="5" t="n">
        <f aca="false">PostPro4FW!H859</f>
        <v>2109.27754408336</v>
      </c>
      <c r="C853" s="5" t="n">
        <f aca="false">PostPro4FW!M859</f>
        <v>773.3333333</v>
      </c>
      <c r="D853" s="5" t="n">
        <f aca="false">PostPro4FW!H859+PostPro4FW!I859</f>
        <v>2109.27754408336</v>
      </c>
      <c r="E853" s="5" t="n">
        <f aca="false">PostPro4FW!S859</f>
        <v>773.3333333</v>
      </c>
      <c r="F853" s="5" t="n">
        <f aca="false">PostPro4FW!Q859</f>
        <v>0</v>
      </c>
      <c r="G853" s="0" t="n">
        <f aca="false">PostPro4FW!R859</f>
        <v>0</v>
      </c>
    </row>
    <row r="854" customFormat="false" ht="14.35" hidden="false" customHeight="false" outlineLevel="0" collapsed="false">
      <c r="A854" s="4" t="n">
        <v>33908</v>
      </c>
      <c r="B854" s="5" t="n">
        <f aca="false">PostPro4FW!H860</f>
        <v>2145.82730696136</v>
      </c>
      <c r="C854" s="5" t="n">
        <f aca="false">PostPro4FW!M860</f>
        <v>800</v>
      </c>
      <c r="D854" s="5" t="n">
        <f aca="false">PostPro4FW!H860+PostPro4FW!I860</f>
        <v>2145.82730696136</v>
      </c>
      <c r="E854" s="5" t="n">
        <f aca="false">PostPro4FW!S860</f>
        <v>800</v>
      </c>
      <c r="F854" s="5" t="n">
        <f aca="false">PostPro4FW!Q860</f>
        <v>0</v>
      </c>
      <c r="G854" s="0" t="n">
        <f aca="false">PostPro4FW!R860</f>
        <v>0</v>
      </c>
    </row>
    <row r="855" customFormat="false" ht="14.35" hidden="false" customHeight="false" outlineLevel="0" collapsed="false">
      <c r="A855" s="4" t="n">
        <v>33938</v>
      </c>
      <c r="B855" s="5" t="n">
        <f aca="false">PostPro4FW!H861</f>
        <v>900</v>
      </c>
      <c r="C855" s="5" t="n">
        <f aca="false">PostPro4FW!M861</f>
        <v>800</v>
      </c>
      <c r="D855" s="5" t="n">
        <f aca="false">PostPro4FW!H861+PostPro4FW!I861</f>
        <v>900</v>
      </c>
      <c r="E855" s="5" t="n">
        <f aca="false">PostPro4FW!S861</f>
        <v>800</v>
      </c>
      <c r="F855" s="5" t="n">
        <f aca="false">PostPro4FW!Q861</f>
        <v>0</v>
      </c>
      <c r="G855" s="0" t="n">
        <f aca="false">PostPro4FW!R861</f>
        <v>0</v>
      </c>
    </row>
    <row r="856" customFormat="false" ht="14.35" hidden="false" customHeight="false" outlineLevel="0" collapsed="false">
      <c r="A856" s="4" t="n">
        <v>33969</v>
      </c>
      <c r="B856" s="5" t="n">
        <f aca="false">PostPro4FW!H862</f>
        <v>900</v>
      </c>
      <c r="C856" s="5" t="n">
        <f aca="false">PostPro4FW!M862</f>
        <v>800</v>
      </c>
      <c r="D856" s="5" t="n">
        <f aca="false">PostPro4FW!H862+PostPro4FW!I862</f>
        <v>900</v>
      </c>
      <c r="E856" s="5" t="n">
        <f aca="false">PostPro4FW!S862</f>
        <v>800</v>
      </c>
      <c r="F856" s="5" t="n">
        <f aca="false">PostPro4FW!Q862</f>
        <v>0</v>
      </c>
      <c r="G856" s="0" t="n">
        <f aca="false">PostPro4FW!R862</f>
        <v>0</v>
      </c>
    </row>
    <row r="857" customFormat="false" ht="14.35" hidden="false" customHeight="false" outlineLevel="0" collapsed="false">
      <c r="A857" s="4" t="n">
        <v>34000</v>
      </c>
      <c r="B857" s="5" t="n">
        <f aca="false">PostPro4FW!H863</f>
        <v>900</v>
      </c>
      <c r="C857" s="5" t="n">
        <f aca="false">PostPro4FW!M863</f>
        <v>800</v>
      </c>
      <c r="D857" s="5" t="n">
        <f aca="false">PostPro4FW!H863+PostPro4FW!I863</f>
        <v>900</v>
      </c>
      <c r="E857" s="5" t="n">
        <f aca="false">PostPro4FW!S863</f>
        <v>800</v>
      </c>
      <c r="F857" s="5" t="n">
        <f aca="false">PostPro4FW!Q863</f>
        <v>0</v>
      </c>
      <c r="G857" s="0" t="n">
        <f aca="false">PostPro4FW!R863</f>
        <v>0</v>
      </c>
    </row>
    <row r="858" customFormat="false" ht="14.35" hidden="false" customHeight="false" outlineLevel="0" collapsed="false">
      <c r="A858" s="4" t="n">
        <v>34028</v>
      </c>
      <c r="B858" s="5" t="n">
        <f aca="false">PostPro4FW!H864</f>
        <v>900</v>
      </c>
      <c r="C858" s="5" t="n">
        <f aca="false">PostPro4FW!M864</f>
        <v>800</v>
      </c>
      <c r="D858" s="5" t="n">
        <f aca="false">PostPro4FW!H864+PostPro4FW!I864</f>
        <v>900</v>
      </c>
      <c r="E858" s="5" t="n">
        <f aca="false">PostPro4FW!S864</f>
        <v>900</v>
      </c>
      <c r="F858" s="5" t="n">
        <f aca="false">PostPro4FW!Q864</f>
        <v>900</v>
      </c>
      <c r="G858" s="0" t="n">
        <f aca="false">PostPro4FW!R864</f>
        <v>28</v>
      </c>
    </row>
    <row r="859" customFormat="false" ht="14.35" hidden="false" customHeight="false" outlineLevel="0" collapsed="false">
      <c r="A859" s="4" t="n">
        <v>34059</v>
      </c>
      <c r="B859" s="5" t="n">
        <f aca="false">PostPro4FW!H865</f>
        <v>800</v>
      </c>
      <c r="C859" s="5" t="n">
        <f aca="false">PostPro4FW!M865</f>
        <v>800</v>
      </c>
      <c r="D859" s="5" t="n">
        <f aca="false">PostPro4FW!H865+PostPro4FW!I865</f>
        <v>800</v>
      </c>
      <c r="E859" s="5" t="n">
        <f aca="false">PostPro4FW!S865</f>
        <v>800</v>
      </c>
      <c r="F859" s="5" t="n">
        <f aca="false">PostPro4FW!Q865</f>
        <v>0</v>
      </c>
      <c r="G859" s="0" t="n">
        <f aca="false">PostPro4FW!R865</f>
        <v>0</v>
      </c>
    </row>
    <row r="860" customFormat="false" ht="14.35" hidden="false" customHeight="false" outlineLevel="0" collapsed="false">
      <c r="A860" s="4" t="n">
        <v>34089</v>
      </c>
      <c r="B860" s="5" t="n">
        <f aca="false">PostPro4FW!H866</f>
        <v>1614.14263036315</v>
      </c>
      <c r="C860" s="5" t="n">
        <f aca="false">PostPro4FW!M866</f>
        <v>700</v>
      </c>
      <c r="D860" s="5" t="n">
        <f aca="false">PostPro4FW!H866+PostPro4FW!I866</f>
        <v>2034.28151925204</v>
      </c>
      <c r="E860" s="5" t="n">
        <f aca="false">PostPro4FW!S866</f>
        <v>1306.66666666667</v>
      </c>
      <c r="F860" s="5" t="n">
        <f aca="false">PostPro4FW!Q866</f>
        <v>2000</v>
      </c>
      <c r="G860" s="0" t="n">
        <f aca="false">PostPro4FW!R866</f>
        <v>14</v>
      </c>
    </row>
    <row r="861" customFormat="false" ht="14.35" hidden="false" customHeight="false" outlineLevel="0" collapsed="false">
      <c r="A861" s="4" t="n">
        <v>34120</v>
      </c>
      <c r="B861" s="5" t="n">
        <f aca="false">PostPro4FW!H867</f>
        <v>7748.61489686635</v>
      </c>
      <c r="C861" s="5" t="n">
        <f aca="false">PostPro4FW!M867</f>
        <v>700</v>
      </c>
      <c r="D861" s="5" t="n">
        <f aca="false">PostPro4FW!H867+PostPro4FW!I867</f>
        <v>8155.20091837173</v>
      </c>
      <c r="E861" s="5" t="n">
        <f aca="false">PostPro4FW!S867</f>
        <v>700</v>
      </c>
      <c r="F861" s="5" t="n">
        <f aca="false">PostPro4FW!Q867</f>
        <v>0</v>
      </c>
      <c r="G861" s="0" t="n">
        <f aca="false">PostPro4FW!R867</f>
        <v>0</v>
      </c>
    </row>
    <row r="862" customFormat="false" ht="14.35" hidden="false" customHeight="false" outlineLevel="0" collapsed="false">
      <c r="A862" s="4" t="n">
        <v>34150</v>
      </c>
      <c r="B862" s="5" t="n">
        <f aca="false">PostPro4FW!H868</f>
        <v>4438.61382529986</v>
      </c>
      <c r="C862" s="5" t="n">
        <f aca="false">PostPro4FW!M868</f>
        <v>700</v>
      </c>
      <c r="D862" s="5" t="n">
        <f aca="false">PostPro4FW!H868+PostPro4FW!I868</f>
        <v>4438.61382529986</v>
      </c>
      <c r="E862" s="5" t="n">
        <f aca="false">PostPro4FW!S868</f>
        <v>700</v>
      </c>
      <c r="F862" s="5" t="n">
        <f aca="false">PostPro4FW!Q868</f>
        <v>0</v>
      </c>
      <c r="G862" s="0" t="n">
        <f aca="false">PostPro4FW!R868</f>
        <v>0</v>
      </c>
    </row>
    <row r="863" customFormat="false" ht="14.35" hidden="false" customHeight="false" outlineLevel="0" collapsed="false">
      <c r="A863" s="4" t="n">
        <v>34181</v>
      </c>
      <c r="B863" s="5" t="n">
        <f aca="false">PostPro4FW!H869</f>
        <v>8708.00302169375</v>
      </c>
      <c r="C863" s="5" t="n">
        <f aca="false">PostPro4FW!M869</f>
        <v>700</v>
      </c>
      <c r="D863" s="5" t="n">
        <f aca="false">PostPro4FW!H869+PostPro4FW!I869</f>
        <v>8708.00302169375</v>
      </c>
      <c r="E863" s="5" t="n">
        <f aca="false">PostPro4FW!S869</f>
        <v>700</v>
      </c>
      <c r="F863" s="5" t="n">
        <f aca="false">PostPro4FW!Q869</f>
        <v>0</v>
      </c>
      <c r="G863" s="0" t="n">
        <f aca="false">PostPro4FW!R869</f>
        <v>0</v>
      </c>
    </row>
    <row r="864" customFormat="false" ht="14.35" hidden="false" customHeight="false" outlineLevel="0" collapsed="false">
      <c r="A864" s="4" t="n">
        <v>34212</v>
      </c>
      <c r="B864" s="5" t="n">
        <f aca="false">PostPro4FW!H870</f>
        <v>7818.4249832596</v>
      </c>
      <c r="C864" s="5" t="n">
        <f aca="false">PostPro4FW!M870</f>
        <v>700</v>
      </c>
      <c r="D864" s="5" t="n">
        <f aca="false">PostPro4FW!H870+PostPro4FW!I870</f>
        <v>7818.4249832596</v>
      </c>
      <c r="E864" s="5" t="n">
        <f aca="false">PostPro4FW!S870</f>
        <v>700</v>
      </c>
      <c r="F864" s="5" t="n">
        <f aca="false">PostPro4FW!Q870</f>
        <v>0</v>
      </c>
      <c r="G864" s="0" t="n">
        <f aca="false">PostPro4FW!R870</f>
        <v>0</v>
      </c>
    </row>
    <row r="865" customFormat="false" ht="14.35" hidden="false" customHeight="false" outlineLevel="0" collapsed="false">
      <c r="A865" s="4" t="n">
        <v>34242</v>
      </c>
      <c r="B865" s="5" t="n">
        <f aca="false">PostPro4FW!H871</f>
        <v>7947.76447635057</v>
      </c>
      <c r="C865" s="5" t="n">
        <f aca="false">PostPro4FW!M871</f>
        <v>773.3333333</v>
      </c>
      <c r="D865" s="5" t="n">
        <f aca="false">PostPro4FW!H871+PostPro4FW!I871</f>
        <v>7947.76447635057</v>
      </c>
      <c r="E865" s="5" t="n">
        <f aca="false">PostPro4FW!S871</f>
        <v>773.3333333</v>
      </c>
      <c r="F865" s="5" t="n">
        <f aca="false">PostPro4FW!Q871</f>
        <v>0</v>
      </c>
      <c r="G865" s="0" t="n">
        <f aca="false">PostPro4FW!R871</f>
        <v>0</v>
      </c>
    </row>
    <row r="866" customFormat="false" ht="14.35" hidden="false" customHeight="false" outlineLevel="0" collapsed="false">
      <c r="A866" s="4" t="n">
        <v>34273</v>
      </c>
      <c r="B866" s="5" t="n">
        <f aca="false">PostPro4FW!H872</f>
        <v>4000</v>
      </c>
      <c r="C866" s="5" t="n">
        <f aca="false">PostPro4FW!M872</f>
        <v>800</v>
      </c>
      <c r="D866" s="5" t="n">
        <f aca="false">PostPro4FW!H872+PostPro4FW!I872</f>
        <v>4000</v>
      </c>
      <c r="E866" s="5" t="n">
        <f aca="false">PostPro4FW!S872</f>
        <v>800</v>
      </c>
      <c r="F866" s="5" t="n">
        <f aca="false">PostPro4FW!Q872</f>
        <v>0</v>
      </c>
      <c r="G866" s="0" t="n">
        <f aca="false">PostPro4FW!R872</f>
        <v>0</v>
      </c>
    </row>
    <row r="867" customFormat="false" ht="14.35" hidden="false" customHeight="false" outlineLevel="0" collapsed="false">
      <c r="A867" s="4" t="n">
        <v>34303</v>
      </c>
      <c r="B867" s="5" t="n">
        <f aca="false">PostPro4FW!H873</f>
        <v>2500</v>
      </c>
      <c r="C867" s="5" t="n">
        <f aca="false">PostPro4FW!M873</f>
        <v>800</v>
      </c>
      <c r="D867" s="5" t="n">
        <f aca="false">PostPro4FW!H873+PostPro4FW!I873</f>
        <v>2500</v>
      </c>
      <c r="E867" s="5" t="n">
        <f aca="false">PostPro4FW!S873</f>
        <v>800</v>
      </c>
      <c r="F867" s="5" t="n">
        <f aca="false">PostPro4FW!Q873</f>
        <v>0</v>
      </c>
      <c r="G867" s="0" t="n">
        <f aca="false">PostPro4FW!R873</f>
        <v>0</v>
      </c>
    </row>
    <row r="868" customFormat="false" ht="14.35" hidden="false" customHeight="false" outlineLevel="0" collapsed="false">
      <c r="A868" s="4" t="n">
        <v>34334</v>
      </c>
      <c r="B868" s="5" t="n">
        <f aca="false">PostPro4FW!H874</f>
        <v>3848.5710498722</v>
      </c>
      <c r="C868" s="5" t="n">
        <f aca="false">PostPro4FW!M874</f>
        <v>800</v>
      </c>
      <c r="D868" s="5" t="n">
        <f aca="false">PostPro4FW!H874+PostPro4FW!I874</f>
        <v>3848.5710498722</v>
      </c>
      <c r="E868" s="5" t="n">
        <f aca="false">PostPro4FW!S874</f>
        <v>800</v>
      </c>
      <c r="F868" s="5" t="n">
        <f aca="false">PostPro4FW!Q874</f>
        <v>0</v>
      </c>
      <c r="G868" s="0" t="n">
        <f aca="false">PostPro4FW!R874</f>
        <v>0</v>
      </c>
    </row>
    <row r="869" customFormat="false" ht="14.35" hidden="false" customHeight="false" outlineLevel="0" collapsed="false">
      <c r="A869" s="4" t="n">
        <v>34365</v>
      </c>
      <c r="B869" s="5" t="n">
        <f aca="false">PostPro4FW!H875</f>
        <v>1200</v>
      </c>
      <c r="C869" s="5" t="n">
        <f aca="false">PostPro4FW!M875</f>
        <v>800</v>
      </c>
      <c r="D869" s="5" t="n">
        <f aca="false">PostPro4FW!H875+PostPro4FW!I875</f>
        <v>1200</v>
      </c>
      <c r="E869" s="5" t="n">
        <f aca="false">PostPro4FW!S875</f>
        <v>800</v>
      </c>
      <c r="F869" s="5" t="n">
        <f aca="false">PostPro4FW!Q875</f>
        <v>0</v>
      </c>
      <c r="G869" s="0" t="n">
        <f aca="false">PostPro4FW!R875</f>
        <v>0</v>
      </c>
    </row>
    <row r="870" customFormat="false" ht="14.35" hidden="false" customHeight="false" outlineLevel="0" collapsed="false">
      <c r="A870" s="4" t="n">
        <v>34393</v>
      </c>
      <c r="B870" s="5" t="n">
        <f aca="false">PostPro4FW!H876</f>
        <v>1200</v>
      </c>
      <c r="C870" s="5" t="n">
        <f aca="false">PostPro4FW!M876</f>
        <v>800</v>
      </c>
      <c r="D870" s="5" t="n">
        <f aca="false">PostPro4FW!H876+PostPro4FW!I876</f>
        <v>1200</v>
      </c>
      <c r="E870" s="5" t="n">
        <f aca="false">PostPro4FW!S876</f>
        <v>800</v>
      </c>
      <c r="F870" s="5" t="n">
        <f aca="false">PostPro4FW!Q876</f>
        <v>0</v>
      </c>
      <c r="G870" s="0" t="n">
        <f aca="false">PostPro4FW!R876</f>
        <v>0</v>
      </c>
    </row>
    <row r="871" customFormat="false" ht="14.35" hidden="false" customHeight="false" outlineLevel="0" collapsed="false">
      <c r="A871" s="4" t="n">
        <v>34424</v>
      </c>
      <c r="B871" s="5" t="n">
        <f aca="false">PostPro4FW!H877</f>
        <v>1000</v>
      </c>
      <c r="C871" s="5" t="n">
        <f aca="false">PostPro4FW!M877</f>
        <v>800</v>
      </c>
      <c r="D871" s="5" t="n">
        <f aca="false">PostPro4FW!H877+PostPro4FW!I877</f>
        <v>1000</v>
      </c>
      <c r="E871" s="5" t="n">
        <f aca="false">PostPro4FW!S877</f>
        <v>800</v>
      </c>
      <c r="F871" s="5" t="n">
        <f aca="false">PostPro4FW!Q877</f>
        <v>0</v>
      </c>
      <c r="G871" s="0" t="n">
        <f aca="false">PostPro4FW!R877</f>
        <v>0</v>
      </c>
    </row>
    <row r="872" customFormat="false" ht="14.35" hidden="false" customHeight="false" outlineLevel="0" collapsed="false">
      <c r="A872" s="4" t="n">
        <v>34454</v>
      </c>
      <c r="B872" s="5" t="n">
        <f aca="false">PostPro4FW!H878</f>
        <v>999.999999999992</v>
      </c>
      <c r="C872" s="5" t="n">
        <f aca="false">PostPro4FW!M878</f>
        <v>700</v>
      </c>
      <c r="D872" s="5" t="n">
        <f aca="false">PostPro4FW!H878+PostPro4FW!I878</f>
        <v>999.999999999992</v>
      </c>
      <c r="E872" s="5" t="n">
        <f aca="false">PostPro4FW!S878</f>
        <v>700</v>
      </c>
      <c r="F872" s="5" t="n">
        <f aca="false">PostPro4FW!Q878</f>
        <v>0</v>
      </c>
      <c r="G872" s="0" t="n">
        <f aca="false">PostPro4FW!R878</f>
        <v>0</v>
      </c>
    </row>
    <row r="873" customFormat="false" ht="14.35" hidden="false" customHeight="false" outlineLevel="0" collapsed="false">
      <c r="A873" s="4" t="n">
        <v>34485</v>
      </c>
      <c r="B873" s="5" t="n">
        <f aca="false">PostPro4FW!H879</f>
        <v>999.999999999998</v>
      </c>
      <c r="C873" s="5" t="n">
        <f aca="false">PostPro4FW!M879</f>
        <v>700</v>
      </c>
      <c r="D873" s="5" t="n">
        <f aca="false">PostPro4FW!H879+PostPro4FW!I879</f>
        <v>999.999999999998</v>
      </c>
      <c r="E873" s="5" t="n">
        <f aca="false">PostPro4FW!S879</f>
        <v>700</v>
      </c>
      <c r="F873" s="5" t="n">
        <f aca="false">PostPro4FW!Q879</f>
        <v>0</v>
      </c>
      <c r="G873" s="0" t="n">
        <f aca="false">PostPro4FW!R879</f>
        <v>0</v>
      </c>
    </row>
    <row r="874" customFormat="false" ht="14.35" hidden="false" customHeight="false" outlineLevel="0" collapsed="false">
      <c r="A874" s="4" t="n">
        <v>34515</v>
      </c>
      <c r="B874" s="5" t="n">
        <f aca="false">PostPro4FW!H880</f>
        <v>4661.91332769234</v>
      </c>
      <c r="C874" s="5" t="n">
        <f aca="false">PostPro4FW!M880</f>
        <v>700</v>
      </c>
      <c r="D874" s="5" t="n">
        <f aca="false">PostPro4FW!H880+PostPro4FW!I880</f>
        <v>4661.91332769234</v>
      </c>
      <c r="E874" s="5" t="n">
        <f aca="false">PostPro4FW!S880</f>
        <v>700</v>
      </c>
      <c r="F874" s="5" t="n">
        <f aca="false">PostPro4FW!Q880</f>
        <v>0</v>
      </c>
      <c r="G874" s="0" t="n">
        <f aca="false">PostPro4FW!R880</f>
        <v>0</v>
      </c>
    </row>
    <row r="875" customFormat="false" ht="14.35" hidden="false" customHeight="false" outlineLevel="0" collapsed="false">
      <c r="A875" s="4" t="n">
        <v>34546</v>
      </c>
      <c r="B875" s="5" t="n">
        <f aca="false">PostPro4FW!H881</f>
        <v>3368.15629084208</v>
      </c>
      <c r="C875" s="5" t="n">
        <f aca="false">PostPro4FW!M881</f>
        <v>700</v>
      </c>
      <c r="D875" s="5" t="n">
        <f aca="false">PostPro4FW!H881+PostPro4FW!I881</f>
        <v>3368.15629084208</v>
      </c>
      <c r="E875" s="5" t="n">
        <f aca="false">PostPro4FW!S881</f>
        <v>700</v>
      </c>
      <c r="F875" s="5" t="n">
        <f aca="false">PostPro4FW!Q881</f>
        <v>0</v>
      </c>
      <c r="G875" s="0" t="n">
        <f aca="false">PostPro4FW!R881</f>
        <v>0</v>
      </c>
    </row>
    <row r="876" customFormat="false" ht="14.35" hidden="false" customHeight="false" outlineLevel="0" collapsed="false">
      <c r="A876" s="4" t="n">
        <v>34577</v>
      </c>
      <c r="B876" s="5" t="n">
        <f aca="false">PostPro4FW!H882</f>
        <v>1756.45766330784</v>
      </c>
      <c r="C876" s="5" t="n">
        <f aca="false">PostPro4FW!M882</f>
        <v>700</v>
      </c>
      <c r="D876" s="5" t="n">
        <f aca="false">PostPro4FW!H882+PostPro4FW!I882</f>
        <v>1756.45766330784</v>
      </c>
      <c r="E876" s="5" t="n">
        <f aca="false">PostPro4FW!S882</f>
        <v>700</v>
      </c>
      <c r="F876" s="5" t="n">
        <f aca="false">PostPro4FW!Q882</f>
        <v>0</v>
      </c>
      <c r="G876" s="0" t="n">
        <f aca="false">PostPro4FW!R882</f>
        <v>0</v>
      </c>
    </row>
    <row r="877" customFormat="false" ht="14.35" hidden="false" customHeight="false" outlineLevel="0" collapsed="false">
      <c r="A877" s="4" t="n">
        <v>34607</v>
      </c>
      <c r="B877" s="5" t="n">
        <f aca="false">PostPro4FW!H883</f>
        <v>2306.4538794238</v>
      </c>
      <c r="C877" s="5" t="n">
        <f aca="false">PostPro4FW!M883</f>
        <v>773.3333333</v>
      </c>
      <c r="D877" s="5" t="n">
        <f aca="false">PostPro4FW!H883+PostPro4FW!I883</f>
        <v>2306.4538794238</v>
      </c>
      <c r="E877" s="5" t="n">
        <f aca="false">PostPro4FW!S883</f>
        <v>773.3333333</v>
      </c>
      <c r="F877" s="5" t="n">
        <f aca="false">PostPro4FW!Q883</f>
        <v>0</v>
      </c>
      <c r="G877" s="0" t="n">
        <f aca="false">PostPro4FW!R883</f>
        <v>0</v>
      </c>
    </row>
    <row r="878" customFormat="false" ht="14.35" hidden="false" customHeight="false" outlineLevel="0" collapsed="false">
      <c r="A878" s="4" t="n">
        <v>34638</v>
      </c>
      <c r="B878" s="5" t="n">
        <f aca="false">PostPro4FW!H884</f>
        <v>1895.3853746163</v>
      </c>
      <c r="C878" s="5" t="n">
        <f aca="false">PostPro4FW!M884</f>
        <v>800</v>
      </c>
      <c r="D878" s="5" t="n">
        <f aca="false">PostPro4FW!H884+PostPro4FW!I884</f>
        <v>1895.3853746163</v>
      </c>
      <c r="E878" s="5" t="n">
        <f aca="false">PostPro4FW!S884</f>
        <v>800</v>
      </c>
      <c r="F878" s="5" t="n">
        <f aca="false">PostPro4FW!Q884</f>
        <v>0</v>
      </c>
      <c r="G878" s="0" t="n">
        <f aca="false">PostPro4FW!R884</f>
        <v>0</v>
      </c>
    </row>
    <row r="879" customFormat="false" ht="14.35" hidden="false" customHeight="false" outlineLevel="0" collapsed="false">
      <c r="A879" s="4" t="n">
        <v>34668</v>
      </c>
      <c r="B879" s="5" t="n">
        <f aca="false">PostPro4FW!H885</f>
        <v>1200</v>
      </c>
      <c r="C879" s="5" t="n">
        <f aca="false">PostPro4FW!M885</f>
        <v>800</v>
      </c>
      <c r="D879" s="5" t="n">
        <f aca="false">PostPro4FW!H885+PostPro4FW!I885</f>
        <v>1200</v>
      </c>
      <c r="E879" s="5" t="n">
        <f aca="false">PostPro4FW!S885</f>
        <v>800</v>
      </c>
      <c r="F879" s="5" t="n">
        <f aca="false">PostPro4FW!Q885</f>
        <v>0</v>
      </c>
      <c r="G879" s="0" t="n">
        <f aca="false">PostPro4FW!R885</f>
        <v>0</v>
      </c>
    </row>
    <row r="880" customFormat="false" ht="14.35" hidden="false" customHeight="false" outlineLevel="0" collapsed="false">
      <c r="A880" s="4" t="n">
        <v>34699</v>
      </c>
      <c r="B880" s="5" t="n">
        <f aca="false">PostPro4FW!H886</f>
        <v>1200</v>
      </c>
      <c r="C880" s="5" t="n">
        <f aca="false">PostPro4FW!M886</f>
        <v>800</v>
      </c>
      <c r="D880" s="5" t="n">
        <f aca="false">PostPro4FW!H886+PostPro4FW!I886</f>
        <v>1200</v>
      </c>
      <c r="E880" s="5" t="n">
        <f aca="false">PostPro4FW!S886</f>
        <v>800</v>
      </c>
      <c r="F880" s="5" t="n">
        <f aca="false">PostPro4FW!Q886</f>
        <v>0</v>
      </c>
      <c r="G880" s="0" t="n">
        <f aca="false">PostPro4FW!R886</f>
        <v>0</v>
      </c>
    </row>
    <row r="881" customFormat="false" ht="14.35" hidden="false" customHeight="false" outlineLevel="0" collapsed="false">
      <c r="A881" s="4" t="n">
        <v>34730</v>
      </c>
      <c r="B881" s="5" t="n">
        <f aca="false">PostPro4FW!H887</f>
        <v>1200</v>
      </c>
      <c r="C881" s="5" t="n">
        <f aca="false">PostPro4FW!M887</f>
        <v>800</v>
      </c>
      <c r="D881" s="5" t="n">
        <f aca="false">PostPro4FW!H887+PostPro4FW!I887</f>
        <v>1200</v>
      </c>
      <c r="E881" s="5" t="n">
        <f aca="false">PostPro4FW!S887</f>
        <v>800</v>
      </c>
      <c r="F881" s="5" t="n">
        <f aca="false">PostPro4FW!Q887</f>
        <v>0</v>
      </c>
      <c r="G881" s="0" t="n">
        <f aca="false">PostPro4FW!R887</f>
        <v>0</v>
      </c>
    </row>
    <row r="882" customFormat="false" ht="14.35" hidden="false" customHeight="false" outlineLevel="0" collapsed="false">
      <c r="A882" s="4" t="n">
        <v>34758</v>
      </c>
      <c r="B882" s="5" t="n">
        <f aca="false">PostPro4FW!H888</f>
        <v>1200</v>
      </c>
      <c r="C882" s="5" t="n">
        <f aca="false">PostPro4FW!M888</f>
        <v>800</v>
      </c>
      <c r="D882" s="5" t="n">
        <f aca="false">PostPro4FW!H888+PostPro4FW!I888</f>
        <v>1200</v>
      </c>
      <c r="E882" s="5" t="n">
        <f aca="false">PostPro4FW!S888</f>
        <v>800</v>
      </c>
      <c r="F882" s="5" t="n">
        <f aca="false">PostPro4FW!Q888</f>
        <v>0</v>
      </c>
      <c r="G882" s="0" t="n">
        <f aca="false">PostPro4FW!R888</f>
        <v>0</v>
      </c>
    </row>
    <row r="883" customFormat="false" ht="14.35" hidden="false" customHeight="false" outlineLevel="0" collapsed="false">
      <c r="A883" s="4" t="n">
        <v>34789</v>
      </c>
      <c r="B883" s="5" t="n">
        <f aca="false">PostPro4FW!H889</f>
        <v>33227.6876041039</v>
      </c>
      <c r="C883" s="5" t="n">
        <f aca="false">PostPro4FW!M889</f>
        <v>800</v>
      </c>
      <c r="D883" s="5" t="n">
        <f aca="false">PostPro4FW!H889+PostPro4FW!I889</f>
        <v>33227.6876041039</v>
      </c>
      <c r="E883" s="5" t="n">
        <f aca="false">PostPro4FW!S889</f>
        <v>800</v>
      </c>
      <c r="F883" s="5" t="n">
        <f aca="false">PostPro4FW!Q889</f>
        <v>0</v>
      </c>
      <c r="G883" s="0" t="n">
        <f aca="false">PostPro4FW!R889</f>
        <v>0</v>
      </c>
    </row>
    <row r="884" customFormat="false" ht="14.35" hidden="false" customHeight="false" outlineLevel="0" collapsed="false">
      <c r="A884" s="4" t="n">
        <v>34819</v>
      </c>
      <c r="B884" s="5" t="n">
        <f aca="false">PostPro4FW!H890</f>
        <v>12888.2071738022</v>
      </c>
      <c r="C884" s="5" t="n">
        <f aca="false">PostPro4FW!M890</f>
        <v>700</v>
      </c>
      <c r="D884" s="5" t="n">
        <f aca="false">PostPro4FW!H890+PostPro4FW!I890</f>
        <v>12888.2071738022</v>
      </c>
      <c r="E884" s="5" t="n">
        <f aca="false">PostPro4FW!S890</f>
        <v>700</v>
      </c>
      <c r="F884" s="5" t="n">
        <f aca="false">PostPro4FW!Q890</f>
        <v>0</v>
      </c>
      <c r="G884" s="0" t="n">
        <f aca="false">PostPro4FW!R890</f>
        <v>0</v>
      </c>
    </row>
    <row r="885" customFormat="false" ht="14.35" hidden="false" customHeight="false" outlineLevel="0" collapsed="false">
      <c r="A885" s="4" t="n">
        <v>34850</v>
      </c>
      <c r="B885" s="5" t="n">
        <f aca="false">PostPro4FW!H891</f>
        <v>18235.5025872454</v>
      </c>
      <c r="C885" s="5" t="n">
        <f aca="false">PostPro4FW!M891</f>
        <v>700</v>
      </c>
      <c r="D885" s="5" t="n">
        <f aca="false">PostPro4FW!H891+PostPro4FW!I891</f>
        <v>18235.5025872454</v>
      </c>
      <c r="E885" s="5" t="n">
        <f aca="false">PostPro4FW!S891</f>
        <v>700</v>
      </c>
      <c r="F885" s="5" t="n">
        <f aca="false">PostPro4FW!Q891</f>
        <v>0</v>
      </c>
      <c r="G885" s="0" t="n">
        <f aca="false">PostPro4FW!R891</f>
        <v>0</v>
      </c>
    </row>
    <row r="886" customFormat="false" ht="14.35" hidden="false" customHeight="false" outlineLevel="0" collapsed="false">
      <c r="A886" s="4" t="n">
        <v>34880</v>
      </c>
      <c r="B886" s="5" t="n">
        <f aca="false">PostPro4FW!H892</f>
        <v>10955.3663933271</v>
      </c>
      <c r="C886" s="5" t="n">
        <f aca="false">PostPro4FW!M892</f>
        <v>700</v>
      </c>
      <c r="D886" s="5" t="n">
        <f aca="false">PostPro4FW!H892+PostPro4FW!I892</f>
        <v>10955.3663933271</v>
      </c>
      <c r="E886" s="5" t="n">
        <f aca="false">PostPro4FW!S892</f>
        <v>700</v>
      </c>
      <c r="F886" s="5" t="n">
        <f aca="false">PostPro4FW!Q892</f>
        <v>0</v>
      </c>
      <c r="G886" s="0" t="n">
        <f aca="false">PostPro4FW!R892</f>
        <v>0</v>
      </c>
    </row>
    <row r="887" customFormat="false" ht="14.35" hidden="false" customHeight="false" outlineLevel="0" collapsed="false">
      <c r="A887" s="4" t="n">
        <v>34911</v>
      </c>
      <c r="B887" s="5" t="n">
        <f aca="false">PostPro4FW!H893</f>
        <v>2362.43406113248</v>
      </c>
      <c r="C887" s="5" t="n">
        <f aca="false">PostPro4FW!M893</f>
        <v>700</v>
      </c>
      <c r="D887" s="5" t="n">
        <f aca="false">PostPro4FW!H893+PostPro4FW!I893</f>
        <v>2362.43406113248</v>
      </c>
      <c r="E887" s="5" t="n">
        <f aca="false">PostPro4FW!S893</f>
        <v>700</v>
      </c>
      <c r="F887" s="5" t="n">
        <f aca="false">PostPro4FW!Q893</f>
        <v>0</v>
      </c>
      <c r="G887" s="0" t="n">
        <f aca="false">PostPro4FW!R893</f>
        <v>0</v>
      </c>
    </row>
    <row r="888" customFormat="false" ht="14.35" hidden="false" customHeight="false" outlineLevel="0" collapsed="false">
      <c r="A888" s="4" t="n">
        <v>34942</v>
      </c>
      <c r="B888" s="5" t="n">
        <f aca="false">PostPro4FW!H894</f>
        <v>1701.48748912356</v>
      </c>
      <c r="C888" s="5" t="n">
        <f aca="false">PostPro4FW!M894</f>
        <v>700</v>
      </c>
      <c r="D888" s="5" t="n">
        <f aca="false">PostPro4FW!H894+PostPro4FW!I894</f>
        <v>1701.48748912356</v>
      </c>
      <c r="E888" s="5" t="n">
        <f aca="false">PostPro4FW!S894</f>
        <v>700</v>
      </c>
      <c r="F888" s="5" t="n">
        <f aca="false">PostPro4FW!Q894</f>
        <v>0</v>
      </c>
      <c r="G888" s="0" t="n">
        <f aca="false">PostPro4FW!R894</f>
        <v>0</v>
      </c>
    </row>
    <row r="889" customFormat="false" ht="14.35" hidden="false" customHeight="false" outlineLevel="0" collapsed="false">
      <c r="A889" s="4" t="n">
        <v>34972</v>
      </c>
      <c r="B889" s="5" t="n">
        <f aca="false">PostPro4FW!H895</f>
        <v>7234.83769166153</v>
      </c>
      <c r="C889" s="5" t="n">
        <f aca="false">PostPro4FW!M895</f>
        <v>773.3333333</v>
      </c>
      <c r="D889" s="5" t="n">
        <f aca="false">PostPro4FW!H895+PostPro4FW!I895</f>
        <v>7234.83769166153</v>
      </c>
      <c r="E889" s="5" t="n">
        <f aca="false">PostPro4FW!S895</f>
        <v>773.3333333</v>
      </c>
      <c r="F889" s="5" t="n">
        <f aca="false">PostPro4FW!Q895</f>
        <v>0</v>
      </c>
      <c r="G889" s="0" t="n">
        <f aca="false">PostPro4FW!R895</f>
        <v>0</v>
      </c>
    </row>
    <row r="890" customFormat="false" ht="14.35" hidden="false" customHeight="false" outlineLevel="0" collapsed="false">
      <c r="A890" s="4" t="n">
        <v>35003</v>
      </c>
      <c r="B890" s="5" t="n">
        <f aca="false">PostPro4FW!H896</f>
        <v>4000</v>
      </c>
      <c r="C890" s="5" t="n">
        <f aca="false">PostPro4FW!M896</f>
        <v>800</v>
      </c>
      <c r="D890" s="5" t="n">
        <f aca="false">PostPro4FW!H896+PostPro4FW!I896</f>
        <v>4000</v>
      </c>
      <c r="E890" s="5" t="n">
        <f aca="false">PostPro4FW!S896</f>
        <v>800</v>
      </c>
      <c r="F890" s="5" t="n">
        <f aca="false">PostPro4FW!Q896</f>
        <v>0</v>
      </c>
      <c r="G890" s="0" t="n">
        <f aca="false">PostPro4FW!R896</f>
        <v>0</v>
      </c>
    </row>
    <row r="891" customFormat="false" ht="14.35" hidden="false" customHeight="false" outlineLevel="0" collapsed="false">
      <c r="A891" s="4" t="n">
        <v>35033</v>
      </c>
      <c r="B891" s="5" t="n">
        <f aca="false">PostPro4FW!H897</f>
        <v>2500</v>
      </c>
      <c r="C891" s="5" t="n">
        <f aca="false">PostPro4FW!M897</f>
        <v>800</v>
      </c>
      <c r="D891" s="5" t="n">
        <f aca="false">PostPro4FW!H897+PostPro4FW!I897</f>
        <v>2500</v>
      </c>
      <c r="E891" s="5" t="n">
        <f aca="false">PostPro4FW!S897</f>
        <v>800</v>
      </c>
      <c r="F891" s="5" t="n">
        <f aca="false">PostPro4FW!Q897</f>
        <v>0</v>
      </c>
      <c r="G891" s="0" t="n">
        <f aca="false">PostPro4FW!R897</f>
        <v>0</v>
      </c>
    </row>
    <row r="892" customFormat="false" ht="14.35" hidden="false" customHeight="false" outlineLevel="0" collapsed="false">
      <c r="A892" s="4" t="n">
        <v>35064</v>
      </c>
      <c r="B892" s="5" t="n">
        <f aca="false">PostPro4FW!H898</f>
        <v>1700</v>
      </c>
      <c r="C892" s="5" t="n">
        <f aca="false">PostPro4FW!M898</f>
        <v>800</v>
      </c>
      <c r="D892" s="5" t="n">
        <f aca="false">PostPro4FW!H898+PostPro4FW!I898</f>
        <v>1700</v>
      </c>
      <c r="E892" s="5" t="n">
        <f aca="false">PostPro4FW!S898</f>
        <v>800</v>
      </c>
      <c r="F892" s="5" t="n">
        <f aca="false">PostPro4FW!Q898</f>
        <v>0</v>
      </c>
      <c r="G892" s="0" t="n">
        <f aca="false">PostPro4FW!R898</f>
        <v>0</v>
      </c>
    </row>
    <row r="893" customFormat="false" ht="14.35" hidden="false" customHeight="false" outlineLevel="0" collapsed="false">
      <c r="A893" s="4" t="n">
        <v>35095</v>
      </c>
      <c r="B893" s="5" t="n">
        <f aca="false">PostPro4FW!H899</f>
        <v>8650.34009117156</v>
      </c>
      <c r="C893" s="5" t="n">
        <f aca="false">PostPro4FW!M899</f>
        <v>800</v>
      </c>
      <c r="D893" s="5" t="n">
        <f aca="false">PostPro4FW!H899+PostPro4FW!I899</f>
        <v>8650.34009117156</v>
      </c>
      <c r="E893" s="5" t="n">
        <f aca="false">PostPro4FW!S899</f>
        <v>800</v>
      </c>
      <c r="F893" s="5" t="n">
        <f aca="false">PostPro4FW!Q899</f>
        <v>0</v>
      </c>
      <c r="G893" s="0" t="n">
        <f aca="false">PostPro4FW!R899</f>
        <v>0</v>
      </c>
    </row>
    <row r="894" customFormat="false" ht="14.35" hidden="false" customHeight="false" outlineLevel="0" collapsed="false">
      <c r="A894" s="4" t="n">
        <v>35124</v>
      </c>
      <c r="B894" s="5" t="n">
        <f aca="false">PostPro4FW!H900</f>
        <v>21189.3437196751</v>
      </c>
      <c r="C894" s="5" t="n">
        <f aca="false">PostPro4FW!M900</f>
        <v>800</v>
      </c>
      <c r="D894" s="5" t="n">
        <f aca="false">PostPro4FW!H900+PostPro4FW!I900</f>
        <v>21189.3437196751</v>
      </c>
      <c r="E894" s="5" t="n">
        <f aca="false">PostPro4FW!S900</f>
        <v>800</v>
      </c>
      <c r="F894" s="5" t="n">
        <f aca="false">PostPro4FW!Q900</f>
        <v>0</v>
      </c>
      <c r="G894" s="0" t="n">
        <f aca="false">PostPro4FW!R900</f>
        <v>0</v>
      </c>
    </row>
    <row r="895" customFormat="false" ht="14.35" hidden="false" customHeight="false" outlineLevel="0" collapsed="false">
      <c r="A895" s="4" t="n">
        <v>35155</v>
      </c>
      <c r="B895" s="5" t="n">
        <f aca="false">PostPro4FW!H901</f>
        <v>10126.8199483875</v>
      </c>
      <c r="C895" s="5" t="n">
        <f aca="false">PostPro4FW!M901</f>
        <v>800</v>
      </c>
      <c r="D895" s="5" t="n">
        <f aca="false">PostPro4FW!H901+PostPro4FW!I901</f>
        <v>10126.8199483875</v>
      </c>
      <c r="E895" s="5" t="n">
        <f aca="false">PostPro4FW!S901</f>
        <v>800</v>
      </c>
      <c r="F895" s="5" t="n">
        <f aca="false">PostPro4FW!Q901</f>
        <v>0</v>
      </c>
      <c r="G895" s="0" t="n">
        <f aca="false">PostPro4FW!R901</f>
        <v>0</v>
      </c>
    </row>
    <row r="896" customFormat="false" ht="14.35" hidden="false" customHeight="false" outlineLevel="0" collapsed="false">
      <c r="A896" s="4" t="n">
        <v>35185</v>
      </c>
      <c r="B896" s="5" t="n">
        <f aca="false">PostPro4FW!H902</f>
        <v>6701.85977077552</v>
      </c>
      <c r="C896" s="5" t="n">
        <f aca="false">PostPro4FW!M902</f>
        <v>700</v>
      </c>
      <c r="D896" s="5" t="n">
        <f aca="false">PostPro4FW!H902+PostPro4FW!I902</f>
        <v>6701.85977077552</v>
      </c>
      <c r="E896" s="5" t="n">
        <f aca="false">PostPro4FW!S902</f>
        <v>700</v>
      </c>
      <c r="F896" s="5" t="n">
        <f aca="false">PostPro4FW!Q902</f>
        <v>0</v>
      </c>
      <c r="G896" s="0" t="n">
        <f aca="false">PostPro4FW!R902</f>
        <v>0</v>
      </c>
    </row>
    <row r="897" customFormat="false" ht="14.35" hidden="false" customHeight="false" outlineLevel="0" collapsed="false">
      <c r="A897" s="4" t="n">
        <v>35216</v>
      </c>
      <c r="B897" s="5" t="n">
        <f aca="false">PostPro4FW!H903</f>
        <v>10423.7961666891</v>
      </c>
      <c r="C897" s="5" t="n">
        <f aca="false">PostPro4FW!M903</f>
        <v>700</v>
      </c>
      <c r="D897" s="5" t="n">
        <f aca="false">PostPro4FW!H903+PostPro4FW!I903</f>
        <v>10423.7961666891</v>
      </c>
      <c r="E897" s="5" t="n">
        <f aca="false">PostPro4FW!S903</f>
        <v>700</v>
      </c>
      <c r="F897" s="5" t="n">
        <f aca="false">PostPro4FW!Q903</f>
        <v>0</v>
      </c>
      <c r="G897" s="0" t="n">
        <f aca="false">PostPro4FW!R903</f>
        <v>0</v>
      </c>
    </row>
    <row r="898" customFormat="false" ht="14.35" hidden="false" customHeight="false" outlineLevel="0" collapsed="false">
      <c r="A898" s="4" t="n">
        <v>35246</v>
      </c>
      <c r="B898" s="5" t="n">
        <f aca="false">PostPro4FW!H904</f>
        <v>2347.48218316849</v>
      </c>
      <c r="C898" s="5" t="n">
        <f aca="false">PostPro4FW!M904</f>
        <v>700</v>
      </c>
      <c r="D898" s="5" t="n">
        <f aca="false">PostPro4FW!H904+PostPro4FW!I904</f>
        <v>2347.48218316849</v>
      </c>
      <c r="E898" s="5" t="n">
        <f aca="false">PostPro4FW!S904</f>
        <v>700</v>
      </c>
      <c r="F898" s="5" t="n">
        <f aca="false">PostPro4FW!Q904</f>
        <v>0</v>
      </c>
      <c r="G898" s="0" t="n">
        <f aca="false">PostPro4FW!R904</f>
        <v>0</v>
      </c>
    </row>
    <row r="899" customFormat="false" ht="14.35" hidden="false" customHeight="false" outlineLevel="0" collapsed="false">
      <c r="A899" s="4" t="n">
        <v>35277</v>
      </c>
      <c r="B899" s="5" t="n">
        <f aca="false">PostPro4FW!H905</f>
        <v>8473.19410372385</v>
      </c>
      <c r="C899" s="5" t="n">
        <f aca="false">PostPro4FW!M905</f>
        <v>700</v>
      </c>
      <c r="D899" s="5" t="n">
        <f aca="false">PostPro4FW!H905+PostPro4FW!I905</f>
        <v>8473.19410372385</v>
      </c>
      <c r="E899" s="5" t="n">
        <f aca="false">PostPro4FW!S905</f>
        <v>700</v>
      </c>
      <c r="F899" s="5" t="n">
        <f aca="false">PostPro4FW!Q905</f>
        <v>0</v>
      </c>
      <c r="G899" s="0" t="n">
        <f aca="false">PostPro4FW!R905</f>
        <v>0</v>
      </c>
    </row>
    <row r="900" customFormat="false" ht="14.35" hidden="false" customHeight="false" outlineLevel="0" collapsed="false">
      <c r="A900" s="4" t="n">
        <v>35308</v>
      </c>
      <c r="B900" s="5" t="n">
        <f aca="false">PostPro4FW!H906</f>
        <v>5150.18879070058</v>
      </c>
      <c r="C900" s="5" t="n">
        <f aca="false">PostPro4FW!M906</f>
        <v>700</v>
      </c>
      <c r="D900" s="5" t="n">
        <f aca="false">PostPro4FW!H906+PostPro4FW!I906</f>
        <v>5150.18879070058</v>
      </c>
      <c r="E900" s="5" t="n">
        <f aca="false">PostPro4FW!S906</f>
        <v>700</v>
      </c>
      <c r="F900" s="5" t="n">
        <f aca="false">PostPro4FW!Q906</f>
        <v>0</v>
      </c>
      <c r="G900" s="0" t="n">
        <f aca="false">PostPro4FW!R906</f>
        <v>0</v>
      </c>
    </row>
    <row r="901" customFormat="false" ht="14.35" hidden="false" customHeight="false" outlineLevel="0" collapsed="false">
      <c r="A901" s="4" t="n">
        <v>35338</v>
      </c>
      <c r="B901" s="5" t="n">
        <f aca="false">PostPro4FW!H907</f>
        <v>8916.003920251</v>
      </c>
      <c r="C901" s="5" t="n">
        <f aca="false">PostPro4FW!M907</f>
        <v>773.3333333</v>
      </c>
      <c r="D901" s="5" t="n">
        <f aca="false">PostPro4FW!H907+PostPro4FW!I907</f>
        <v>8916.003920251</v>
      </c>
      <c r="E901" s="5" t="n">
        <f aca="false">PostPro4FW!S907</f>
        <v>773.3333333</v>
      </c>
      <c r="F901" s="5" t="n">
        <f aca="false">PostPro4FW!Q907</f>
        <v>0</v>
      </c>
      <c r="G901" s="0" t="n">
        <f aca="false">PostPro4FW!R907</f>
        <v>0</v>
      </c>
    </row>
    <row r="902" customFormat="false" ht="14.35" hidden="false" customHeight="false" outlineLevel="0" collapsed="false">
      <c r="A902" s="4" t="n">
        <v>35369</v>
      </c>
      <c r="B902" s="5" t="n">
        <f aca="false">PostPro4FW!H908</f>
        <v>4000</v>
      </c>
      <c r="C902" s="5" t="n">
        <f aca="false">PostPro4FW!M908</f>
        <v>800</v>
      </c>
      <c r="D902" s="5" t="n">
        <f aca="false">PostPro4FW!H908+PostPro4FW!I908</f>
        <v>4000</v>
      </c>
      <c r="E902" s="5" t="n">
        <f aca="false">PostPro4FW!S908</f>
        <v>800</v>
      </c>
      <c r="F902" s="5" t="n">
        <f aca="false">PostPro4FW!Q908</f>
        <v>0</v>
      </c>
      <c r="G902" s="0" t="n">
        <f aca="false">PostPro4FW!R908</f>
        <v>0</v>
      </c>
    </row>
    <row r="903" customFormat="false" ht="14.35" hidden="false" customHeight="false" outlineLevel="0" collapsed="false">
      <c r="A903" s="4" t="n">
        <v>35399</v>
      </c>
      <c r="B903" s="5" t="n">
        <f aca="false">PostPro4FW!H909</f>
        <v>2500</v>
      </c>
      <c r="C903" s="5" t="n">
        <f aca="false">PostPro4FW!M909</f>
        <v>800</v>
      </c>
      <c r="D903" s="5" t="n">
        <f aca="false">PostPro4FW!H909+PostPro4FW!I909</f>
        <v>2500</v>
      </c>
      <c r="E903" s="5" t="n">
        <f aca="false">PostPro4FW!S909</f>
        <v>800</v>
      </c>
      <c r="F903" s="5" t="n">
        <f aca="false">PostPro4FW!Q909</f>
        <v>0</v>
      </c>
      <c r="G903" s="0" t="n">
        <f aca="false">PostPro4FW!R909</f>
        <v>0</v>
      </c>
    </row>
    <row r="904" customFormat="false" ht="14.35" hidden="false" customHeight="false" outlineLevel="0" collapsed="false">
      <c r="A904" s="4" t="n">
        <v>35430</v>
      </c>
      <c r="B904" s="5" t="n">
        <f aca="false">PostPro4FW!H910</f>
        <v>9664.91392648856</v>
      </c>
      <c r="C904" s="5" t="n">
        <f aca="false">PostPro4FW!M910</f>
        <v>800</v>
      </c>
      <c r="D904" s="5" t="n">
        <f aca="false">PostPro4FW!H910+PostPro4FW!I910</f>
        <v>9664.91392648856</v>
      </c>
      <c r="E904" s="5" t="n">
        <f aca="false">PostPro4FW!S910</f>
        <v>800</v>
      </c>
      <c r="F904" s="5" t="n">
        <f aca="false">PostPro4FW!Q910</f>
        <v>0</v>
      </c>
      <c r="G904" s="0" t="n">
        <f aca="false">PostPro4FW!R910</f>
        <v>0</v>
      </c>
    </row>
    <row r="905" customFormat="false" ht="14.35" hidden="false" customHeight="false" outlineLevel="0" collapsed="false">
      <c r="A905" s="4" t="n">
        <v>35461</v>
      </c>
      <c r="B905" s="5" t="n">
        <f aca="false">PostPro4FW!H911</f>
        <v>40890.0183542848</v>
      </c>
      <c r="C905" s="5" t="n">
        <f aca="false">PostPro4FW!M911</f>
        <v>800</v>
      </c>
      <c r="D905" s="5" t="n">
        <f aca="false">PostPro4FW!H911+PostPro4FW!I911</f>
        <v>40890.0183542848</v>
      </c>
      <c r="E905" s="5" t="n">
        <f aca="false">PostPro4FW!S911</f>
        <v>800</v>
      </c>
      <c r="F905" s="5" t="n">
        <f aca="false">PostPro4FW!Q911</f>
        <v>0</v>
      </c>
      <c r="G905" s="0" t="n">
        <f aca="false">PostPro4FW!R911</f>
        <v>0</v>
      </c>
    </row>
    <row r="906" customFormat="false" ht="14.35" hidden="false" customHeight="false" outlineLevel="0" collapsed="false">
      <c r="A906" s="4" t="n">
        <v>35489</v>
      </c>
      <c r="B906" s="5" t="n">
        <f aca="false">PostPro4FW!H912</f>
        <v>10284.8186752877</v>
      </c>
      <c r="C906" s="5" t="n">
        <f aca="false">PostPro4FW!M912</f>
        <v>800</v>
      </c>
      <c r="D906" s="5" t="n">
        <f aca="false">PostPro4FW!H912+PostPro4FW!I912</f>
        <v>10284.8186752877</v>
      </c>
      <c r="E906" s="5" t="n">
        <f aca="false">PostPro4FW!S912</f>
        <v>800</v>
      </c>
      <c r="F906" s="5" t="n">
        <f aca="false">PostPro4FW!Q912</f>
        <v>0</v>
      </c>
      <c r="G906" s="0" t="n">
        <f aca="false">PostPro4FW!R912</f>
        <v>0</v>
      </c>
    </row>
    <row r="907" customFormat="false" ht="14.35" hidden="false" customHeight="false" outlineLevel="0" collapsed="false">
      <c r="A907" s="4" t="n">
        <v>35520</v>
      </c>
      <c r="B907" s="5" t="n">
        <f aca="false">PostPro4FW!H913</f>
        <v>5297.28315604152</v>
      </c>
      <c r="C907" s="5" t="n">
        <f aca="false">PostPro4FW!M913</f>
        <v>800</v>
      </c>
      <c r="D907" s="5" t="n">
        <f aca="false">PostPro4FW!H913+PostPro4FW!I913</f>
        <v>5297.28315604152</v>
      </c>
      <c r="E907" s="5" t="n">
        <f aca="false">PostPro4FW!S913</f>
        <v>800</v>
      </c>
      <c r="F907" s="5" t="n">
        <f aca="false">PostPro4FW!Q913</f>
        <v>0</v>
      </c>
      <c r="G907" s="0" t="n">
        <f aca="false">PostPro4FW!R913</f>
        <v>0</v>
      </c>
    </row>
    <row r="908" customFormat="false" ht="14.35" hidden="false" customHeight="false" outlineLevel="0" collapsed="false">
      <c r="A908" s="4" t="n">
        <v>35550</v>
      </c>
      <c r="B908" s="5" t="n">
        <f aca="false">PostPro4FW!H914</f>
        <v>1000</v>
      </c>
      <c r="C908" s="5" t="n">
        <f aca="false">PostPro4FW!M914</f>
        <v>700</v>
      </c>
      <c r="D908" s="5" t="n">
        <f aca="false">PostPro4FW!H914+PostPro4FW!I914</f>
        <v>1000</v>
      </c>
      <c r="E908" s="5" t="n">
        <f aca="false">PostPro4FW!S914</f>
        <v>700</v>
      </c>
      <c r="F908" s="5" t="n">
        <f aca="false">PostPro4FW!Q914</f>
        <v>0</v>
      </c>
      <c r="G908" s="0" t="n">
        <f aca="false">PostPro4FW!R914</f>
        <v>0</v>
      </c>
    </row>
    <row r="909" customFormat="false" ht="14.35" hidden="false" customHeight="false" outlineLevel="0" collapsed="false">
      <c r="A909" s="4" t="n">
        <v>35581</v>
      </c>
      <c r="B909" s="5" t="n">
        <f aca="false">PostPro4FW!H915</f>
        <v>1000</v>
      </c>
      <c r="C909" s="5" t="n">
        <f aca="false">PostPro4FW!M915</f>
        <v>700</v>
      </c>
      <c r="D909" s="5" t="n">
        <f aca="false">PostPro4FW!H915+PostPro4FW!I915</f>
        <v>1000</v>
      </c>
      <c r="E909" s="5" t="n">
        <f aca="false">PostPro4FW!S915</f>
        <v>700</v>
      </c>
      <c r="F909" s="5" t="n">
        <f aca="false">PostPro4FW!Q915</f>
        <v>0</v>
      </c>
      <c r="G909" s="0" t="n">
        <f aca="false">PostPro4FW!R915</f>
        <v>0</v>
      </c>
    </row>
    <row r="910" customFormat="false" ht="14.35" hidden="false" customHeight="false" outlineLevel="0" collapsed="false">
      <c r="A910" s="4" t="n">
        <v>35611</v>
      </c>
      <c r="B910" s="5" t="n">
        <f aca="false">PostPro4FW!H916</f>
        <v>2629.04191317341</v>
      </c>
      <c r="C910" s="5" t="n">
        <f aca="false">PostPro4FW!M916</f>
        <v>700</v>
      </c>
      <c r="D910" s="5" t="n">
        <f aca="false">PostPro4FW!H916+PostPro4FW!I916</f>
        <v>2629.04191317341</v>
      </c>
      <c r="E910" s="5" t="n">
        <f aca="false">PostPro4FW!S916</f>
        <v>700</v>
      </c>
      <c r="F910" s="5" t="n">
        <f aca="false">PostPro4FW!Q916</f>
        <v>0</v>
      </c>
      <c r="G910" s="0" t="n">
        <f aca="false">PostPro4FW!R916</f>
        <v>0</v>
      </c>
    </row>
    <row r="911" customFormat="false" ht="14.35" hidden="false" customHeight="false" outlineLevel="0" collapsed="false">
      <c r="A911" s="4" t="n">
        <v>35642</v>
      </c>
      <c r="B911" s="5" t="n">
        <f aca="false">PostPro4FW!H917</f>
        <v>7886.51147486741</v>
      </c>
      <c r="C911" s="5" t="n">
        <f aca="false">PostPro4FW!M917</f>
        <v>700</v>
      </c>
      <c r="D911" s="5" t="n">
        <f aca="false">PostPro4FW!H917+PostPro4FW!I917</f>
        <v>7886.51147486741</v>
      </c>
      <c r="E911" s="5" t="n">
        <f aca="false">PostPro4FW!S917</f>
        <v>700</v>
      </c>
      <c r="F911" s="5" t="n">
        <f aca="false">PostPro4FW!Q917</f>
        <v>0</v>
      </c>
      <c r="G911" s="0" t="n">
        <f aca="false">PostPro4FW!R917</f>
        <v>0</v>
      </c>
    </row>
    <row r="912" customFormat="false" ht="14.35" hidden="false" customHeight="false" outlineLevel="0" collapsed="false">
      <c r="A912" s="4" t="n">
        <v>35673</v>
      </c>
      <c r="B912" s="5" t="n">
        <f aca="false">PostPro4FW!H918</f>
        <v>5124.78733954267</v>
      </c>
      <c r="C912" s="5" t="n">
        <f aca="false">PostPro4FW!M918</f>
        <v>700</v>
      </c>
      <c r="D912" s="5" t="n">
        <f aca="false">PostPro4FW!H918+PostPro4FW!I918</f>
        <v>5124.78733954267</v>
      </c>
      <c r="E912" s="5" t="n">
        <f aca="false">PostPro4FW!S918</f>
        <v>700</v>
      </c>
      <c r="F912" s="5" t="n">
        <f aca="false">PostPro4FW!Q918</f>
        <v>0</v>
      </c>
      <c r="G912" s="0" t="n">
        <f aca="false">PostPro4FW!R918</f>
        <v>0</v>
      </c>
    </row>
    <row r="913" customFormat="false" ht="14.35" hidden="false" customHeight="false" outlineLevel="0" collapsed="false">
      <c r="A913" s="4" t="n">
        <v>35703</v>
      </c>
      <c r="B913" s="5" t="n">
        <f aca="false">PostPro4FW!H919</f>
        <v>8772.9371328707</v>
      </c>
      <c r="C913" s="5" t="n">
        <f aca="false">PostPro4FW!M919</f>
        <v>773.3333333</v>
      </c>
      <c r="D913" s="5" t="n">
        <f aca="false">PostPro4FW!H919+PostPro4FW!I919</f>
        <v>8772.9371328707</v>
      </c>
      <c r="E913" s="5" t="n">
        <f aca="false">PostPro4FW!S919</f>
        <v>773.3333333</v>
      </c>
      <c r="F913" s="5" t="n">
        <f aca="false">PostPro4FW!Q919</f>
        <v>0</v>
      </c>
      <c r="G913" s="0" t="n">
        <f aca="false">PostPro4FW!R919</f>
        <v>0</v>
      </c>
    </row>
    <row r="914" customFormat="false" ht="14.35" hidden="false" customHeight="false" outlineLevel="0" collapsed="false">
      <c r="A914" s="4" t="n">
        <v>35734</v>
      </c>
      <c r="B914" s="5" t="n">
        <f aca="false">PostPro4FW!H920</f>
        <v>4000</v>
      </c>
      <c r="C914" s="5" t="n">
        <f aca="false">PostPro4FW!M920</f>
        <v>800</v>
      </c>
      <c r="D914" s="5" t="n">
        <f aca="false">PostPro4FW!H920+PostPro4FW!I920</f>
        <v>4000</v>
      </c>
      <c r="E914" s="5" t="n">
        <f aca="false">PostPro4FW!S920</f>
        <v>800</v>
      </c>
      <c r="F914" s="5" t="n">
        <f aca="false">PostPro4FW!Q920</f>
        <v>0</v>
      </c>
      <c r="G914" s="0" t="n">
        <f aca="false">PostPro4FW!R920</f>
        <v>0</v>
      </c>
    </row>
    <row r="915" customFormat="false" ht="14.35" hidden="false" customHeight="false" outlineLevel="0" collapsed="false">
      <c r="A915" s="4" t="n">
        <v>35764</v>
      </c>
      <c r="B915" s="5" t="n">
        <f aca="false">PostPro4FW!H921</f>
        <v>2500</v>
      </c>
      <c r="C915" s="5" t="n">
        <f aca="false">PostPro4FW!M921</f>
        <v>800</v>
      </c>
      <c r="D915" s="5" t="n">
        <f aca="false">PostPro4FW!H921+PostPro4FW!I921</f>
        <v>2500</v>
      </c>
      <c r="E915" s="5" t="n">
        <f aca="false">PostPro4FW!S921</f>
        <v>800</v>
      </c>
      <c r="F915" s="5" t="n">
        <f aca="false">PostPro4FW!Q921</f>
        <v>0</v>
      </c>
      <c r="G915" s="0" t="n">
        <f aca="false">PostPro4FW!R921</f>
        <v>0</v>
      </c>
    </row>
    <row r="916" customFormat="false" ht="14.35" hidden="false" customHeight="false" outlineLevel="0" collapsed="false">
      <c r="A916" s="4" t="n">
        <v>35795</v>
      </c>
      <c r="B916" s="5" t="n">
        <f aca="false">PostPro4FW!H922</f>
        <v>2371.8966121257</v>
      </c>
      <c r="C916" s="5" t="n">
        <f aca="false">PostPro4FW!M922</f>
        <v>800</v>
      </c>
      <c r="D916" s="5" t="n">
        <f aca="false">PostPro4FW!H922+PostPro4FW!I922</f>
        <v>2371.8966121257</v>
      </c>
      <c r="E916" s="5" t="n">
        <f aca="false">PostPro4FW!S922</f>
        <v>800</v>
      </c>
      <c r="F916" s="5" t="n">
        <f aca="false">PostPro4FW!Q922</f>
        <v>0</v>
      </c>
      <c r="G916" s="0" t="n">
        <f aca="false">PostPro4FW!R922</f>
        <v>0</v>
      </c>
    </row>
    <row r="917" customFormat="false" ht="14.35" hidden="false" customHeight="false" outlineLevel="0" collapsed="false">
      <c r="A917" s="4" t="n">
        <v>35826</v>
      </c>
      <c r="B917" s="5" t="n">
        <f aca="false">PostPro4FW!H923</f>
        <v>1700</v>
      </c>
      <c r="C917" s="5" t="n">
        <f aca="false">PostPro4FW!M923</f>
        <v>800</v>
      </c>
      <c r="D917" s="5" t="n">
        <f aca="false">PostPro4FW!H923+PostPro4FW!I923</f>
        <v>1700</v>
      </c>
      <c r="E917" s="5" t="n">
        <f aca="false">PostPro4FW!S923</f>
        <v>800</v>
      </c>
      <c r="F917" s="5" t="n">
        <f aca="false">PostPro4FW!Q923</f>
        <v>0</v>
      </c>
      <c r="G917" s="0" t="n">
        <f aca="false">PostPro4FW!R923</f>
        <v>0</v>
      </c>
    </row>
    <row r="918" customFormat="false" ht="14.35" hidden="false" customHeight="false" outlineLevel="0" collapsed="false">
      <c r="A918" s="4" t="n">
        <v>35854</v>
      </c>
      <c r="B918" s="5" t="n">
        <f aca="false">PostPro4FW!H924</f>
        <v>12977.0481838932</v>
      </c>
      <c r="C918" s="5" t="n">
        <f aca="false">PostPro4FW!M924</f>
        <v>800</v>
      </c>
      <c r="D918" s="5" t="n">
        <f aca="false">PostPro4FW!H924+PostPro4FW!I924</f>
        <v>12977.0481838932</v>
      </c>
      <c r="E918" s="5" t="n">
        <f aca="false">PostPro4FW!S924</f>
        <v>800</v>
      </c>
      <c r="F918" s="5" t="n">
        <f aca="false">PostPro4FW!Q924</f>
        <v>0</v>
      </c>
      <c r="G918" s="0" t="n">
        <f aca="false">PostPro4FW!R924</f>
        <v>0</v>
      </c>
    </row>
    <row r="919" customFormat="false" ht="14.35" hidden="false" customHeight="false" outlineLevel="0" collapsed="false">
      <c r="A919" s="4" t="n">
        <v>35885</v>
      </c>
      <c r="B919" s="5" t="n">
        <f aca="false">PostPro4FW!H925</f>
        <v>14265.145246881</v>
      </c>
      <c r="C919" s="5" t="n">
        <f aca="false">PostPro4FW!M925</f>
        <v>800</v>
      </c>
      <c r="D919" s="5" t="n">
        <f aca="false">PostPro4FW!H925+PostPro4FW!I925</f>
        <v>14265.145246881</v>
      </c>
      <c r="E919" s="5" t="n">
        <f aca="false">PostPro4FW!S925</f>
        <v>800</v>
      </c>
      <c r="F919" s="5" t="n">
        <f aca="false">PostPro4FW!Q925</f>
        <v>0</v>
      </c>
      <c r="G919" s="0" t="n">
        <f aca="false">PostPro4FW!R925</f>
        <v>0</v>
      </c>
    </row>
    <row r="920" customFormat="false" ht="14.35" hidden="false" customHeight="false" outlineLevel="0" collapsed="false">
      <c r="A920" s="4" t="n">
        <v>35915</v>
      </c>
      <c r="B920" s="5" t="n">
        <f aca="false">PostPro4FW!H926</f>
        <v>2962.4976813454</v>
      </c>
      <c r="C920" s="5" t="n">
        <f aca="false">PostPro4FW!M926</f>
        <v>700</v>
      </c>
      <c r="D920" s="5" t="n">
        <f aca="false">PostPro4FW!H926+PostPro4FW!I926</f>
        <v>2962.4976813454</v>
      </c>
      <c r="E920" s="5" t="n">
        <f aca="false">PostPro4FW!S926</f>
        <v>700</v>
      </c>
      <c r="F920" s="5" t="n">
        <f aca="false">PostPro4FW!Q926</f>
        <v>0</v>
      </c>
      <c r="G920" s="0" t="n">
        <f aca="false">PostPro4FW!R926</f>
        <v>0</v>
      </c>
    </row>
    <row r="921" customFormat="false" ht="14.35" hidden="false" customHeight="false" outlineLevel="0" collapsed="false">
      <c r="A921" s="4" t="n">
        <v>35946</v>
      </c>
      <c r="B921" s="5" t="n">
        <f aca="false">PostPro4FW!H927</f>
        <v>9225.71605766523</v>
      </c>
      <c r="C921" s="5" t="n">
        <f aca="false">PostPro4FW!M927</f>
        <v>700</v>
      </c>
      <c r="D921" s="5" t="n">
        <f aca="false">PostPro4FW!H927+PostPro4FW!I927</f>
        <v>9225.71605766523</v>
      </c>
      <c r="E921" s="5" t="n">
        <f aca="false">PostPro4FW!S927</f>
        <v>700</v>
      </c>
      <c r="F921" s="5" t="n">
        <f aca="false">PostPro4FW!Q927</f>
        <v>0</v>
      </c>
      <c r="G921" s="0" t="n">
        <f aca="false">PostPro4FW!R927</f>
        <v>0</v>
      </c>
    </row>
    <row r="922" customFormat="false" ht="14.35" hidden="false" customHeight="false" outlineLevel="0" collapsed="false">
      <c r="A922" s="4" t="n">
        <v>35976</v>
      </c>
      <c r="B922" s="5" t="n">
        <f aca="false">PostPro4FW!H928</f>
        <v>11257.5542833057</v>
      </c>
      <c r="C922" s="5" t="n">
        <f aca="false">PostPro4FW!M928</f>
        <v>700</v>
      </c>
      <c r="D922" s="5" t="n">
        <f aca="false">PostPro4FW!H928+PostPro4FW!I928</f>
        <v>11257.5542833057</v>
      </c>
      <c r="E922" s="5" t="n">
        <f aca="false">PostPro4FW!S928</f>
        <v>700</v>
      </c>
      <c r="F922" s="5" t="n">
        <f aca="false">PostPro4FW!Q928</f>
        <v>0</v>
      </c>
      <c r="G922" s="0" t="n">
        <f aca="false">PostPro4FW!R928</f>
        <v>0</v>
      </c>
    </row>
    <row r="923" customFormat="false" ht="14.35" hidden="false" customHeight="false" outlineLevel="0" collapsed="false">
      <c r="A923" s="4" t="n">
        <v>36007</v>
      </c>
      <c r="B923" s="5" t="n">
        <f aca="false">PostPro4FW!H929</f>
        <v>2535.44684165424</v>
      </c>
      <c r="C923" s="5" t="n">
        <f aca="false">PostPro4FW!M929</f>
        <v>700</v>
      </c>
      <c r="D923" s="5" t="n">
        <f aca="false">PostPro4FW!H929+PostPro4FW!I929</f>
        <v>2535.44684165424</v>
      </c>
      <c r="E923" s="5" t="n">
        <f aca="false">PostPro4FW!S929</f>
        <v>700</v>
      </c>
      <c r="F923" s="5" t="n">
        <f aca="false">PostPro4FW!Q929</f>
        <v>0</v>
      </c>
      <c r="G923" s="0" t="n">
        <f aca="false">PostPro4FW!R929</f>
        <v>0</v>
      </c>
    </row>
    <row r="924" customFormat="false" ht="14.35" hidden="false" customHeight="false" outlineLevel="0" collapsed="false">
      <c r="A924" s="4" t="n">
        <v>36038</v>
      </c>
      <c r="B924" s="5" t="n">
        <f aca="false">PostPro4FW!H930</f>
        <v>1163.74967736684</v>
      </c>
      <c r="C924" s="5" t="n">
        <f aca="false">PostPro4FW!M930</f>
        <v>700</v>
      </c>
      <c r="D924" s="5" t="n">
        <f aca="false">PostPro4FW!H930+PostPro4FW!I930</f>
        <v>1163.74967736684</v>
      </c>
      <c r="E924" s="5" t="n">
        <f aca="false">PostPro4FW!S930</f>
        <v>700</v>
      </c>
      <c r="F924" s="5" t="n">
        <f aca="false">PostPro4FW!Q930</f>
        <v>0</v>
      </c>
      <c r="G924" s="0" t="n">
        <f aca="false">PostPro4FW!R930</f>
        <v>0</v>
      </c>
    </row>
    <row r="925" customFormat="false" ht="14.35" hidden="false" customHeight="false" outlineLevel="0" collapsed="false">
      <c r="A925" s="4" t="n">
        <v>36068</v>
      </c>
      <c r="B925" s="5" t="n">
        <f aca="false">PostPro4FW!H931</f>
        <v>4619.98096521088</v>
      </c>
      <c r="C925" s="5" t="n">
        <f aca="false">PostPro4FW!M931</f>
        <v>773.3333333</v>
      </c>
      <c r="D925" s="5" t="n">
        <f aca="false">PostPro4FW!H931+PostPro4FW!I931</f>
        <v>4619.98096521088</v>
      </c>
      <c r="E925" s="5" t="n">
        <f aca="false">PostPro4FW!S931</f>
        <v>773.3333333</v>
      </c>
      <c r="F925" s="5" t="n">
        <f aca="false">PostPro4FW!Q931</f>
        <v>0</v>
      </c>
      <c r="G925" s="0" t="n">
        <f aca="false">PostPro4FW!R931</f>
        <v>0</v>
      </c>
    </row>
    <row r="926" customFormat="false" ht="14.35" hidden="false" customHeight="false" outlineLevel="0" collapsed="false">
      <c r="A926" s="4" t="n">
        <v>36099</v>
      </c>
      <c r="B926" s="5" t="n">
        <f aca="false">PostPro4FW!H932</f>
        <v>4000</v>
      </c>
      <c r="C926" s="5" t="n">
        <f aca="false">PostPro4FW!M932</f>
        <v>800</v>
      </c>
      <c r="D926" s="5" t="n">
        <f aca="false">PostPro4FW!H932+PostPro4FW!I932</f>
        <v>4000</v>
      </c>
      <c r="E926" s="5" t="n">
        <f aca="false">PostPro4FW!S932</f>
        <v>800</v>
      </c>
      <c r="F926" s="5" t="n">
        <f aca="false">PostPro4FW!Q932</f>
        <v>0</v>
      </c>
      <c r="G926" s="0" t="n">
        <f aca="false">PostPro4FW!R932</f>
        <v>0</v>
      </c>
    </row>
    <row r="927" customFormat="false" ht="14.35" hidden="false" customHeight="false" outlineLevel="0" collapsed="false">
      <c r="A927" s="4" t="n">
        <v>36129</v>
      </c>
      <c r="B927" s="5" t="n">
        <f aca="false">PostPro4FW!H933</f>
        <v>6660.68562730436</v>
      </c>
      <c r="C927" s="5" t="n">
        <f aca="false">PostPro4FW!M933</f>
        <v>800</v>
      </c>
      <c r="D927" s="5" t="n">
        <f aca="false">PostPro4FW!H933+PostPro4FW!I933</f>
        <v>6660.68562730436</v>
      </c>
      <c r="E927" s="5" t="n">
        <f aca="false">PostPro4FW!S933</f>
        <v>800</v>
      </c>
      <c r="F927" s="5" t="n">
        <f aca="false">PostPro4FW!Q933</f>
        <v>0</v>
      </c>
      <c r="G927" s="0" t="n">
        <f aca="false">PostPro4FW!R933</f>
        <v>0</v>
      </c>
    </row>
    <row r="928" customFormat="false" ht="14.35" hidden="false" customHeight="false" outlineLevel="0" collapsed="false">
      <c r="A928" s="4" t="n">
        <v>36160</v>
      </c>
      <c r="B928" s="5" t="n">
        <f aca="false">PostPro4FW!H934</f>
        <v>4749.65621752564</v>
      </c>
      <c r="C928" s="5" t="n">
        <f aca="false">PostPro4FW!M934</f>
        <v>800</v>
      </c>
      <c r="D928" s="5" t="n">
        <f aca="false">PostPro4FW!H934+PostPro4FW!I934</f>
        <v>4749.65621752564</v>
      </c>
      <c r="E928" s="5" t="n">
        <f aca="false">PostPro4FW!S934</f>
        <v>800</v>
      </c>
      <c r="F928" s="5" t="n">
        <f aca="false">PostPro4FW!Q934</f>
        <v>0</v>
      </c>
      <c r="G928" s="0" t="n">
        <f aca="false">PostPro4FW!R934</f>
        <v>0</v>
      </c>
    </row>
    <row r="929" customFormat="false" ht="14.35" hidden="false" customHeight="false" outlineLevel="0" collapsed="false">
      <c r="A929" s="4" t="n">
        <v>36191</v>
      </c>
      <c r="B929" s="5" t="n">
        <f aca="false">PostPro4FW!H935</f>
        <v>13307.3849549814</v>
      </c>
      <c r="C929" s="5" t="n">
        <f aca="false">PostPro4FW!M935</f>
        <v>800</v>
      </c>
      <c r="D929" s="5" t="n">
        <f aca="false">PostPro4FW!H935+PostPro4FW!I935</f>
        <v>13307.3849549814</v>
      </c>
      <c r="E929" s="5" t="n">
        <f aca="false">PostPro4FW!S935</f>
        <v>800</v>
      </c>
      <c r="F929" s="5" t="n">
        <f aca="false">PostPro4FW!Q935</f>
        <v>0</v>
      </c>
      <c r="G929" s="0" t="n">
        <f aca="false">PostPro4FW!R935</f>
        <v>0</v>
      </c>
    </row>
    <row r="930" customFormat="false" ht="14.35" hidden="false" customHeight="false" outlineLevel="0" collapsed="false">
      <c r="A930" s="4" t="n">
        <v>36219</v>
      </c>
      <c r="B930" s="5" t="n">
        <f aca="false">PostPro4FW!H936</f>
        <v>16570.8642036046</v>
      </c>
      <c r="C930" s="5" t="n">
        <f aca="false">PostPro4FW!M936</f>
        <v>800</v>
      </c>
      <c r="D930" s="5" t="n">
        <f aca="false">PostPro4FW!H936+PostPro4FW!I936</f>
        <v>16570.8642036046</v>
      </c>
      <c r="E930" s="5" t="n">
        <f aca="false">PostPro4FW!S936</f>
        <v>800</v>
      </c>
      <c r="F930" s="5" t="n">
        <f aca="false">PostPro4FW!Q936</f>
        <v>0</v>
      </c>
      <c r="G930" s="0" t="n">
        <f aca="false">PostPro4FW!R936</f>
        <v>0</v>
      </c>
    </row>
    <row r="931" customFormat="false" ht="14.35" hidden="false" customHeight="false" outlineLevel="0" collapsed="false">
      <c r="A931" s="4" t="n">
        <v>36250</v>
      </c>
      <c r="B931" s="5" t="n">
        <f aca="false">PostPro4FW!H937</f>
        <v>11340.5273068638</v>
      </c>
      <c r="C931" s="5" t="n">
        <f aca="false">PostPro4FW!M937</f>
        <v>800</v>
      </c>
      <c r="D931" s="5" t="n">
        <f aca="false">PostPro4FW!H937+PostPro4FW!I937</f>
        <v>11340.5273068638</v>
      </c>
      <c r="E931" s="5" t="n">
        <f aca="false">PostPro4FW!S937</f>
        <v>800</v>
      </c>
      <c r="F931" s="5" t="n">
        <f aca="false">PostPro4FW!Q937</f>
        <v>0</v>
      </c>
      <c r="G931" s="0" t="n">
        <f aca="false">PostPro4FW!R937</f>
        <v>0</v>
      </c>
    </row>
    <row r="932" customFormat="false" ht="14.35" hidden="false" customHeight="false" outlineLevel="0" collapsed="false">
      <c r="A932" s="4" t="n">
        <v>36280</v>
      </c>
      <c r="B932" s="5" t="n">
        <f aca="false">PostPro4FW!H938</f>
        <v>1000</v>
      </c>
      <c r="C932" s="5" t="n">
        <f aca="false">PostPro4FW!M938</f>
        <v>700</v>
      </c>
      <c r="D932" s="5" t="n">
        <f aca="false">PostPro4FW!H938+PostPro4FW!I938</f>
        <v>1000</v>
      </c>
      <c r="E932" s="5" t="n">
        <f aca="false">PostPro4FW!S938</f>
        <v>700</v>
      </c>
      <c r="F932" s="5" t="n">
        <f aca="false">PostPro4FW!Q938</f>
        <v>0</v>
      </c>
      <c r="G932" s="0" t="n">
        <f aca="false">PostPro4FW!R938</f>
        <v>0</v>
      </c>
    </row>
    <row r="933" customFormat="false" ht="14.35" hidden="false" customHeight="false" outlineLevel="0" collapsed="false">
      <c r="A933" s="4" t="n">
        <v>36311</v>
      </c>
      <c r="B933" s="5" t="n">
        <f aca="false">PostPro4FW!H939</f>
        <v>1000</v>
      </c>
      <c r="C933" s="5" t="n">
        <f aca="false">PostPro4FW!M939</f>
        <v>700</v>
      </c>
      <c r="D933" s="5" t="n">
        <f aca="false">PostPro4FW!H939+PostPro4FW!I939</f>
        <v>1000</v>
      </c>
      <c r="E933" s="5" t="n">
        <f aca="false">PostPro4FW!S939</f>
        <v>700</v>
      </c>
      <c r="F933" s="5" t="n">
        <f aca="false">PostPro4FW!Q939</f>
        <v>0</v>
      </c>
      <c r="G933" s="0" t="n">
        <f aca="false">PostPro4FW!R939</f>
        <v>0</v>
      </c>
    </row>
    <row r="934" customFormat="false" ht="14.35" hidden="false" customHeight="false" outlineLevel="0" collapsed="false">
      <c r="A934" s="4" t="n">
        <v>36341</v>
      </c>
      <c r="B934" s="5" t="n">
        <f aca="false">PostPro4FW!H940</f>
        <v>1693.62323528577</v>
      </c>
      <c r="C934" s="5" t="n">
        <f aca="false">PostPro4FW!M940</f>
        <v>700</v>
      </c>
      <c r="D934" s="5" t="n">
        <f aca="false">PostPro4FW!H940+PostPro4FW!I940</f>
        <v>1693.62323528577</v>
      </c>
      <c r="E934" s="5" t="n">
        <f aca="false">PostPro4FW!S940</f>
        <v>700</v>
      </c>
      <c r="F934" s="5" t="n">
        <f aca="false">PostPro4FW!Q940</f>
        <v>0</v>
      </c>
      <c r="G934" s="0" t="n">
        <f aca="false">PostPro4FW!R940</f>
        <v>0</v>
      </c>
    </row>
    <row r="935" customFormat="false" ht="14.35" hidden="false" customHeight="false" outlineLevel="0" collapsed="false">
      <c r="A935" s="4" t="n">
        <v>36372</v>
      </c>
      <c r="B935" s="5" t="n">
        <f aca="false">PostPro4FW!H941</f>
        <v>8452.92158199072</v>
      </c>
      <c r="C935" s="5" t="n">
        <f aca="false">PostPro4FW!M941</f>
        <v>700</v>
      </c>
      <c r="D935" s="5" t="n">
        <f aca="false">PostPro4FW!H941+PostPro4FW!I941</f>
        <v>8452.92158199072</v>
      </c>
      <c r="E935" s="5" t="n">
        <f aca="false">PostPro4FW!S941</f>
        <v>700</v>
      </c>
      <c r="F935" s="5" t="n">
        <f aca="false">PostPro4FW!Q941</f>
        <v>0</v>
      </c>
      <c r="G935" s="0" t="n">
        <f aca="false">PostPro4FW!R941</f>
        <v>0</v>
      </c>
    </row>
    <row r="936" customFormat="false" ht="14.35" hidden="false" customHeight="false" outlineLevel="0" collapsed="false">
      <c r="A936" s="4" t="n">
        <v>36403</v>
      </c>
      <c r="B936" s="5" t="n">
        <f aca="false">PostPro4FW!H942</f>
        <v>4434.87113867867</v>
      </c>
      <c r="C936" s="5" t="n">
        <f aca="false">PostPro4FW!M942</f>
        <v>700</v>
      </c>
      <c r="D936" s="5" t="n">
        <f aca="false">PostPro4FW!H942+PostPro4FW!I942</f>
        <v>4434.87113867867</v>
      </c>
      <c r="E936" s="5" t="n">
        <f aca="false">PostPro4FW!S942</f>
        <v>700</v>
      </c>
      <c r="F936" s="5" t="n">
        <f aca="false">PostPro4FW!Q942</f>
        <v>0</v>
      </c>
      <c r="G936" s="0" t="n">
        <f aca="false">PostPro4FW!R942</f>
        <v>0</v>
      </c>
    </row>
    <row r="937" customFormat="false" ht="14.35" hidden="false" customHeight="false" outlineLevel="0" collapsed="false">
      <c r="A937" s="4" t="n">
        <v>36433</v>
      </c>
      <c r="B937" s="5" t="n">
        <f aca="false">PostPro4FW!H943</f>
        <v>8450.28504838013</v>
      </c>
      <c r="C937" s="5" t="n">
        <f aca="false">PostPro4FW!M943</f>
        <v>773.3333333</v>
      </c>
      <c r="D937" s="5" t="n">
        <f aca="false">PostPro4FW!H943+PostPro4FW!I943</f>
        <v>8450.28504838013</v>
      </c>
      <c r="E937" s="5" t="n">
        <f aca="false">PostPro4FW!S943</f>
        <v>773.3333333</v>
      </c>
      <c r="F937" s="5" t="n">
        <f aca="false">PostPro4FW!Q943</f>
        <v>0</v>
      </c>
      <c r="G937" s="0" t="n">
        <f aca="false">PostPro4FW!R943</f>
        <v>0</v>
      </c>
    </row>
    <row r="938" customFormat="false" ht="14.35" hidden="false" customHeight="false" outlineLevel="0" collapsed="false">
      <c r="A938" s="4" t="n">
        <v>36464</v>
      </c>
      <c r="B938" s="5" t="n">
        <f aca="false">PostPro4FW!H944</f>
        <v>4000</v>
      </c>
      <c r="C938" s="5" t="n">
        <f aca="false">PostPro4FW!M944</f>
        <v>800</v>
      </c>
      <c r="D938" s="5" t="n">
        <f aca="false">PostPro4FW!H944+PostPro4FW!I944</f>
        <v>4000</v>
      </c>
      <c r="E938" s="5" t="n">
        <f aca="false">PostPro4FW!S944</f>
        <v>800</v>
      </c>
      <c r="F938" s="5" t="n">
        <f aca="false">PostPro4FW!Q944</f>
        <v>0</v>
      </c>
      <c r="G938" s="0" t="n">
        <f aca="false">PostPro4FW!R944</f>
        <v>0</v>
      </c>
    </row>
    <row r="939" customFormat="false" ht="14.35" hidden="false" customHeight="false" outlineLevel="0" collapsed="false">
      <c r="A939" s="4" t="n">
        <v>36494</v>
      </c>
      <c r="B939" s="5" t="n">
        <f aca="false">PostPro4FW!H945</f>
        <v>3016.6407795485</v>
      </c>
      <c r="C939" s="5" t="n">
        <f aca="false">PostPro4FW!M945</f>
        <v>800</v>
      </c>
      <c r="D939" s="5" t="n">
        <f aca="false">PostPro4FW!H945+PostPro4FW!I945</f>
        <v>3016.6407795485</v>
      </c>
      <c r="E939" s="5" t="n">
        <f aca="false">PostPro4FW!S945</f>
        <v>800</v>
      </c>
      <c r="F939" s="5" t="n">
        <f aca="false">PostPro4FW!Q945</f>
        <v>0</v>
      </c>
      <c r="G939" s="0" t="n">
        <f aca="false">PostPro4FW!R945</f>
        <v>0</v>
      </c>
    </row>
    <row r="940" customFormat="false" ht="14.35" hidden="false" customHeight="false" outlineLevel="0" collapsed="false">
      <c r="A940" s="4" t="n">
        <v>36525</v>
      </c>
      <c r="B940" s="5" t="n">
        <f aca="false">PostPro4FW!H946</f>
        <v>5367.55554463363</v>
      </c>
      <c r="C940" s="5" t="n">
        <f aca="false">PostPro4FW!M946</f>
        <v>800</v>
      </c>
      <c r="D940" s="5" t="n">
        <f aca="false">PostPro4FW!H946+PostPro4FW!I946</f>
        <v>5367.55554463363</v>
      </c>
      <c r="E940" s="5" t="n">
        <f aca="false">PostPro4FW!S946</f>
        <v>800</v>
      </c>
      <c r="F940" s="5" t="n">
        <f aca="false">PostPro4FW!Q946</f>
        <v>0</v>
      </c>
      <c r="G940" s="0" t="n">
        <f aca="false">PostPro4FW!R946</f>
        <v>0</v>
      </c>
    </row>
    <row r="941" customFormat="false" ht="14.35" hidden="false" customHeight="false" outlineLevel="0" collapsed="false">
      <c r="A941" s="4" t="n">
        <v>36556</v>
      </c>
      <c r="B941" s="5" t="n">
        <f aca="false">PostPro4FW!H947</f>
        <v>1700</v>
      </c>
      <c r="C941" s="5" t="n">
        <f aca="false">PostPro4FW!M947</f>
        <v>800</v>
      </c>
      <c r="D941" s="5" t="n">
        <f aca="false">PostPro4FW!H947+PostPro4FW!I947</f>
        <v>1700</v>
      </c>
      <c r="E941" s="5" t="n">
        <f aca="false">PostPro4FW!S947</f>
        <v>800</v>
      </c>
      <c r="F941" s="5" t="n">
        <f aca="false">PostPro4FW!Q947</f>
        <v>0</v>
      </c>
      <c r="G941" s="0" t="n">
        <f aca="false">PostPro4FW!R947</f>
        <v>0</v>
      </c>
    </row>
    <row r="942" customFormat="false" ht="14.35" hidden="false" customHeight="false" outlineLevel="0" collapsed="false">
      <c r="A942" s="4" t="n">
        <v>36585</v>
      </c>
      <c r="B942" s="5" t="n">
        <f aca="false">PostPro4FW!H948</f>
        <v>1700.00000000001</v>
      </c>
      <c r="C942" s="5" t="n">
        <f aca="false">PostPro4FW!M948</f>
        <v>800</v>
      </c>
      <c r="D942" s="5" t="n">
        <f aca="false">PostPro4FW!H948+PostPro4FW!I948</f>
        <v>1700.00000000001</v>
      </c>
      <c r="E942" s="5" t="n">
        <f aca="false">PostPro4FW!S948</f>
        <v>1544.82758620691</v>
      </c>
      <c r="F942" s="5" t="n">
        <f aca="false">PostPro4FW!Q948</f>
        <v>1700.00000000001</v>
      </c>
      <c r="G942" s="0" t="n">
        <f aca="false">PostPro4FW!R948</f>
        <v>24</v>
      </c>
    </row>
    <row r="943" customFormat="false" ht="14.35" hidden="false" customHeight="false" outlineLevel="0" collapsed="false">
      <c r="A943" s="4" t="n">
        <v>36616</v>
      </c>
      <c r="B943" s="5" t="n">
        <f aca="false">PostPro4FW!H949</f>
        <v>7242.19601034793</v>
      </c>
      <c r="C943" s="5" t="n">
        <f aca="false">PostPro4FW!M949</f>
        <v>800</v>
      </c>
      <c r="D943" s="5" t="n">
        <f aca="false">PostPro4FW!H949+PostPro4FW!I949</f>
        <v>7242.19601034793</v>
      </c>
      <c r="E943" s="5" t="n">
        <f aca="false">PostPro4FW!S949</f>
        <v>800</v>
      </c>
      <c r="F943" s="5" t="n">
        <f aca="false">PostPro4FW!Q949</f>
        <v>0</v>
      </c>
      <c r="G943" s="0" t="n">
        <f aca="false">PostPro4FW!R949</f>
        <v>0</v>
      </c>
    </row>
    <row r="944" customFormat="false" ht="14.35" hidden="false" customHeight="false" outlineLevel="0" collapsed="false">
      <c r="A944" s="4" t="n">
        <v>36646</v>
      </c>
      <c r="B944" s="5" t="n">
        <f aca="false">PostPro4FW!H950</f>
        <v>1000</v>
      </c>
      <c r="C944" s="5" t="n">
        <f aca="false">PostPro4FW!M950</f>
        <v>700</v>
      </c>
      <c r="D944" s="5" t="n">
        <f aca="false">PostPro4FW!H950+PostPro4FW!I950</f>
        <v>1420.13888888889</v>
      </c>
      <c r="E944" s="5" t="n">
        <f aca="false">PostPro4FW!S950</f>
        <v>700</v>
      </c>
      <c r="F944" s="5" t="n">
        <f aca="false">PostPro4FW!Q950</f>
        <v>0</v>
      </c>
      <c r="G944" s="0" t="n">
        <f aca="false">PostPro4FW!R950</f>
        <v>0</v>
      </c>
    </row>
    <row r="945" customFormat="false" ht="14.35" hidden="false" customHeight="false" outlineLevel="0" collapsed="false">
      <c r="A945" s="4" t="n">
        <v>36677</v>
      </c>
      <c r="B945" s="5" t="n">
        <f aca="false">PostPro4FW!H951</f>
        <v>1492.35079442335</v>
      </c>
      <c r="C945" s="5" t="n">
        <f aca="false">PostPro4FW!M951</f>
        <v>700</v>
      </c>
      <c r="D945" s="5" t="n">
        <f aca="false">PostPro4FW!H951+PostPro4FW!I951</f>
        <v>1898.93681592873</v>
      </c>
      <c r="E945" s="5" t="n">
        <f aca="false">PostPro4FW!S951</f>
        <v>700</v>
      </c>
      <c r="F945" s="5" t="n">
        <f aca="false">PostPro4FW!Q951</f>
        <v>0</v>
      </c>
      <c r="G945" s="0" t="n">
        <f aca="false">PostPro4FW!R951</f>
        <v>0</v>
      </c>
    </row>
    <row r="946" customFormat="false" ht="14.35" hidden="false" customHeight="false" outlineLevel="0" collapsed="false">
      <c r="A946" s="4" t="n">
        <v>36707</v>
      </c>
      <c r="B946" s="5" t="n">
        <f aca="false">PostPro4FW!H952</f>
        <v>2788.2896571143</v>
      </c>
      <c r="C946" s="5" t="n">
        <f aca="false">PostPro4FW!M952</f>
        <v>700</v>
      </c>
      <c r="D946" s="5" t="n">
        <f aca="false">PostPro4FW!H952+PostPro4FW!I952</f>
        <v>2788.2896571143</v>
      </c>
      <c r="E946" s="5" t="n">
        <f aca="false">PostPro4FW!S952</f>
        <v>700</v>
      </c>
      <c r="F946" s="5" t="n">
        <f aca="false">PostPro4FW!Q952</f>
        <v>0</v>
      </c>
      <c r="G946" s="0" t="n">
        <f aca="false">PostPro4FW!R952</f>
        <v>0</v>
      </c>
    </row>
    <row r="947" customFormat="false" ht="14.35" hidden="false" customHeight="false" outlineLevel="0" collapsed="false">
      <c r="A947" s="4" t="n">
        <v>36738</v>
      </c>
      <c r="B947" s="5" t="n">
        <f aca="false">PostPro4FW!H953</f>
        <v>9981.06092369035</v>
      </c>
      <c r="C947" s="5" t="n">
        <f aca="false">PostPro4FW!M953</f>
        <v>700</v>
      </c>
      <c r="D947" s="5" t="n">
        <f aca="false">PostPro4FW!H953+PostPro4FW!I953</f>
        <v>9981.06092369035</v>
      </c>
      <c r="E947" s="5" t="n">
        <f aca="false">PostPro4FW!S953</f>
        <v>700</v>
      </c>
      <c r="F947" s="5" t="n">
        <f aca="false">PostPro4FW!Q953</f>
        <v>0</v>
      </c>
      <c r="G947" s="0" t="n">
        <f aca="false">PostPro4FW!R953</f>
        <v>0</v>
      </c>
    </row>
    <row r="948" customFormat="false" ht="14.35" hidden="false" customHeight="false" outlineLevel="0" collapsed="false">
      <c r="A948" s="4" t="n">
        <v>36769</v>
      </c>
      <c r="B948" s="5" t="n">
        <f aca="false">PostPro4FW!H954</f>
        <v>7441.41289464259</v>
      </c>
      <c r="C948" s="5" t="n">
        <f aca="false">PostPro4FW!M954</f>
        <v>700</v>
      </c>
      <c r="D948" s="5" t="n">
        <f aca="false">PostPro4FW!H954+PostPro4FW!I954</f>
        <v>7441.41289464259</v>
      </c>
      <c r="E948" s="5" t="n">
        <f aca="false">PostPro4FW!S954</f>
        <v>700</v>
      </c>
      <c r="F948" s="5" t="n">
        <f aca="false">PostPro4FW!Q954</f>
        <v>0</v>
      </c>
      <c r="G948" s="0" t="n">
        <f aca="false">PostPro4FW!R954</f>
        <v>0</v>
      </c>
    </row>
    <row r="949" customFormat="false" ht="14.35" hidden="false" customHeight="false" outlineLevel="0" collapsed="false">
      <c r="A949" s="4" t="n">
        <v>36799</v>
      </c>
      <c r="B949" s="5" t="n">
        <f aca="false">PostPro4FW!H955</f>
        <v>7541.87102557168</v>
      </c>
      <c r="C949" s="5" t="n">
        <f aca="false">PostPro4FW!M955</f>
        <v>773.3333333</v>
      </c>
      <c r="D949" s="5" t="n">
        <f aca="false">PostPro4FW!H955+PostPro4FW!I955</f>
        <v>7541.87102557168</v>
      </c>
      <c r="E949" s="5" t="n">
        <f aca="false">PostPro4FW!S955</f>
        <v>773.3333333</v>
      </c>
      <c r="F949" s="5" t="n">
        <f aca="false">PostPro4FW!Q955</f>
        <v>0</v>
      </c>
      <c r="G949" s="0" t="n">
        <f aca="false">PostPro4FW!R955</f>
        <v>0</v>
      </c>
    </row>
    <row r="950" customFormat="false" ht="14.35" hidden="false" customHeight="false" outlineLevel="0" collapsed="false">
      <c r="A950" s="4" t="n">
        <v>36830</v>
      </c>
      <c r="B950" s="5" t="n">
        <f aca="false">PostPro4FW!H956</f>
        <v>4000</v>
      </c>
      <c r="C950" s="5" t="n">
        <f aca="false">PostPro4FW!M956</f>
        <v>800</v>
      </c>
      <c r="D950" s="5" t="n">
        <f aca="false">PostPro4FW!H956+PostPro4FW!I956</f>
        <v>4000</v>
      </c>
      <c r="E950" s="5" t="n">
        <f aca="false">PostPro4FW!S956</f>
        <v>800</v>
      </c>
      <c r="F950" s="5" t="n">
        <f aca="false">PostPro4FW!Q956</f>
        <v>0</v>
      </c>
      <c r="G950" s="0" t="n">
        <f aca="false">PostPro4FW!R956</f>
        <v>0</v>
      </c>
    </row>
    <row r="951" customFormat="false" ht="14.35" hidden="false" customHeight="false" outlineLevel="0" collapsed="false">
      <c r="A951" s="4" t="n">
        <v>36860</v>
      </c>
      <c r="B951" s="5" t="n">
        <f aca="false">PostPro4FW!H957</f>
        <v>2500</v>
      </c>
      <c r="C951" s="5" t="n">
        <f aca="false">PostPro4FW!M957</f>
        <v>800</v>
      </c>
      <c r="D951" s="5" t="n">
        <f aca="false">PostPro4FW!H957+PostPro4FW!I957</f>
        <v>2500</v>
      </c>
      <c r="E951" s="5" t="n">
        <f aca="false">PostPro4FW!S957</f>
        <v>800</v>
      </c>
      <c r="F951" s="5" t="n">
        <f aca="false">PostPro4FW!Q957</f>
        <v>0</v>
      </c>
      <c r="G951" s="0" t="n">
        <f aca="false">PostPro4FW!R957</f>
        <v>0</v>
      </c>
    </row>
    <row r="952" customFormat="false" ht="14.35" hidden="false" customHeight="false" outlineLevel="0" collapsed="false">
      <c r="A952" s="4" t="n">
        <v>36891</v>
      </c>
      <c r="B952" s="5" t="n">
        <f aca="false">PostPro4FW!H958</f>
        <v>2877.3207876843</v>
      </c>
      <c r="C952" s="5" t="n">
        <f aca="false">PostPro4FW!M958</f>
        <v>800</v>
      </c>
      <c r="D952" s="5" t="n">
        <f aca="false">PostPro4FW!H958+PostPro4FW!I958</f>
        <v>2877.3207876843</v>
      </c>
      <c r="E952" s="5" t="n">
        <f aca="false">PostPro4FW!S958</f>
        <v>800</v>
      </c>
      <c r="F952" s="5" t="n">
        <f aca="false">PostPro4FW!Q958</f>
        <v>0</v>
      </c>
      <c r="G952" s="0" t="n">
        <f aca="false">PostPro4FW!R958</f>
        <v>0</v>
      </c>
    </row>
    <row r="953" customFormat="false" ht="14.35" hidden="false" customHeight="false" outlineLevel="0" collapsed="false">
      <c r="A953" s="4" t="n">
        <v>36922</v>
      </c>
      <c r="B953" s="5" t="n">
        <f aca="false">PostPro4FW!H959</f>
        <v>1700</v>
      </c>
      <c r="C953" s="5" t="n">
        <f aca="false">PostPro4FW!M959</f>
        <v>800</v>
      </c>
      <c r="D953" s="5" t="n">
        <f aca="false">PostPro4FW!H959+PostPro4FW!I959</f>
        <v>1700</v>
      </c>
      <c r="E953" s="5" t="n">
        <f aca="false">PostPro4FW!S959</f>
        <v>800</v>
      </c>
      <c r="F953" s="5" t="n">
        <f aca="false">PostPro4FW!Q959</f>
        <v>0</v>
      </c>
      <c r="G953" s="0" t="n">
        <f aca="false">PostPro4FW!R959</f>
        <v>0</v>
      </c>
    </row>
    <row r="954" customFormat="false" ht="14.35" hidden="false" customHeight="false" outlineLevel="0" collapsed="false">
      <c r="A954" s="4" t="n">
        <v>36950</v>
      </c>
      <c r="B954" s="5" t="n">
        <f aca="false">PostPro4FW!H960</f>
        <v>1700</v>
      </c>
      <c r="C954" s="5" t="n">
        <f aca="false">PostPro4FW!M960</f>
        <v>800</v>
      </c>
      <c r="D954" s="5" t="n">
        <f aca="false">PostPro4FW!H960+PostPro4FW!I960</f>
        <v>1700</v>
      </c>
      <c r="E954" s="5" t="n">
        <f aca="false">PostPro4FW!S960</f>
        <v>1571.42857142857</v>
      </c>
      <c r="F954" s="5" t="n">
        <f aca="false">PostPro4FW!Q960</f>
        <v>1700</v>
      </c>
      <c r="G954" s="0" t="n">
        <f aca="false">PostPro4FW!R960</f>
        <v>24</v>
      </c>
    </row>
    <row r="955" customFormat="false" ht="14.35" hidden="false" customHeight="false" outlineLevel="0" collapsed="false">
      <c r="A955" s="4" t="n">
        <v>36981</v>
      </c>
      <c r="B955" s="5" t="n">
        <f aca="false">PostPro4FW!H961</f>
        <v>1700</v>
      </c>
      <c r="C955" s="5" t="n">
        <f aca="false">PostPro4FW!M961</f>
        <v>800</v>
      </c>
      <c r="D955" s="5" t="n">
        <f aca="false">PostPro4FW!H961+PostPro4FW!I961</f>
        <v>1700</v>
      </c>
      <c r="E955" s="5" t="n">
        <f aca="false">PostPro4FW!S961</f>
        <v>800</v>
      </c>
      <c r="F955" s="5" t="n">
        <f aca="false">PostPro4FW!Q961</f>
        <v>0</v>
      </c>
      <c r="G955" s="0" t="n">
        <f aca="false">PostPro4FW!R961</f>
        <v>0</v>
      </c>
    </row>
    <row r="956" customFormat="false" ht="14.35" hidden="false" customHeight="false" outlineLevel="0" collapsed="false">
      <c r="A956" s="4" t="n">
        <v>37011</v>
      </c>
      <c r="B956" s="5" t="n">
        <f aca="false">PostPro4FW!H962</f>
        <v>1000</v>
      </c>
      <c r="C956" s="5" t="n">
        <f aca="false">PostPro4FW!M962</f>
        <v>700</v>
      </c>
      <c r="D956" s="5" t="n">
        <f aca="false">PostPro4FW!H962+PostPro4FW!I962</f>
        <v>1420.13888888889</v>
      </c>
      <c r="E956" s="5" t="n">
        <f aca="false">PostPro4FW!S962</f>
        <v>700</v>
      </c>
      <c r="F956" s="5" t="n">
        <f aca="false">PostPro4FW!Q962</f>
        <v>0</v>
      </c>
      <c r="G956" s="0" t="n">
        <f aca="false">PostPro4FW!R962</f>
        <v>0</v>
      </c>
    </row>
    <row r="957" customFormat="false" ht="14.35" hidden="false" customHeight="false" outlineLevel="0" collapsed="false">
      <c r="A957" s="4" t="n">
        <v>37042</v>
      </c>
      <c r="B957" s="5" t="n">
        <f aca="false">PostPro4FW!H963</f>
        <v>1921.56200127218</v>
      </c>
      <c r="C957" s="5" t="n">
        <f aca="false">PostPro4FW!M963</f>
        <v>700</v>
      </c>
      <c r="D957" s="5" t="n">
        <f aca="false">PostPro4FW!H963+PostPro4FW!I963</f>
        <v>2328.14802277755</v>
      </c>
      <c r="E957" s="5" t="n">
        <f aca="false">PostPro4FW!S963</f>
        <v>700</v>
      </c>
      <c r="F957" s="5" t="n">
        <f aca="false">PostPro4FW!Q963</f>
        <v>0</v>
      </c>
      <c r="G957" s="0" t="n">
        <f aca="false">PostPro4FW!R963</f>
        <v>0</v>
      </c>
    </row>
    <row r="958" customFormat="false" ht="14.35" hidden="false" customHeight="false" outlineLevel="0" collapsed="false">
      <c r="A958" s="4" t="n">
        <v>37072</v>
      </c>
      <c r="B958" s="5" t="n">
        <f aca="false">PostPro4FW!H964</f>
        <v>4613.15993772446</v>
      </c>
      <c r="C958" s="5" t="n">
        <f aca="false">PostPro4FW!M964</f>
        <v>700</v>
      </c>
      <c r="D958" s="5" t="n">
        <f aca="false">PostPro4FW!H964+PostPro4FW!I964</f>
        <v>4613.15993772446</v>
      </c>
      <c r="E958" s="5" t="n">
        <f aca="false">PostPro4FW!S964</f>
        <v>700</v>
      </c>
      <c r="F958" s="5" t="n">
        <f aca="false">PostPro4FW!Q964</f>
        <v>0</v>
      </c>
      <c r="G958" s="0" t="n">
        <f aca="false">PostPro4FW!R964</f>
        <v>0</v>
      </c>
    </row>
    <row r="959" customFormat="false" ht="14.35" hidden="false" customHeight="false" outlineLevel="0" collapsed="false">
      <c r="A959" s="4" t="n">
        <v>37103</v>
      </c>
      <c r="B959" s="5" t="n">
        <f aca="false">PostPro4FW!H965</f>
        <v>2286.70698104515</v>
      </c>
      <c r="C959" s="5" t="n">
        <f aca="false">PostPro4FW!M965</f>
        <v>700</v>
      </c>
      <c r="D959" s="5" t="n">
        <f aca="false">PostPro4FW!H965+PostPro4FW!I965</f>
        <v>2286.70698104515</v>
      </c>
      <c r="E959" s="5" t="n">
        <f aca="false">PostPro4FW!S965</f>
        <v>700</v>
      </c>
      <c r="F959" s="5" t="n">
        <f aca="false">PostPro4FW!Q965</f>
        <v>0</v>
      </c>
      <c r="G959" s="0" t="n">
        <f aca="false">PostPro4FW!R965</f>
        <v>0</v>
      </c>
    </row>
    <row r="960" customFormat="false" ht="14.35" hidden="false" customHeight="false" outlineLevel="0" collapsed="false">
      <c r="A960" s="4" t="n">
        <v>37134</v>
      </c>
      <c r="B960" s="5" t="n">
        <f aca="false">PostPro4FW!H966</f>
        <v>1000</v>
      </c>
      <c r="C960" s="5" t="n">
        <f aca="false">PostPro4FW!M966</f>
        <v>700</v>
      </c>
      <c r="D960" s="5" t="n">
        <f aca="false">PostPro4FW!H966+PostPro4FW!I966</f>
        <v>1000</v>
      </c>
      <c r="E960" s="5" t="n">
        <f aca="false">PostPro4FW!S966</f>
        <v>700</v>
      </c>
      <c r="F960" s="5" t="n">
        <f aca="false">PostPro4FW!Q966</f>
        <v>0</v>
      </c>
      <c r="G960" s="0" t="n">
        <f aca="false">PostPro4FW!R966</f>
        <v>0</v>
      </c>
    </row>
    <row r="961" customFormat="false" ht="14.35" hidden="false" customHeight="false" outlineLevel="0" collapsed="false">
      <c r="A961" s="4" t="n">
        <v>37164</v>
      </c>
      <c r="B961" s="5" t="n">
        <f aca="false">PostPro4FW!H967</f>
        <v>1000</v>
      </c>
      <c r="C961" s="5" t="n">
        <f aca="false">PostPro4FW!M967</f>
        <v>773.3333333</v>
      </c>
      <c r="D961" s="5" t="n">
        <f aca="false">PostPro4FW!H967+PostPro4FW!I967</f>
        <v>1000</v>
      </c>
      <c r="E961" s="5" t="n">
        <f aca="false">PostPro4FW!S967</f>
        <v>773.3333333</v>
      </c>
      <c r="F961" s="5" t="n">
        <f aca="false">PostPro4FW!Q967</f>
        <v>0</v>
      </c>
      <c r="G961" s="0" t="n">
        <f aca="false">PostPro4FW!R967</f>
        <v>0</v>
      </c>
    </row>
    <row r="962" customFormat="false" ht="14.35" hidden="false" customHeight="false" outlineLevel="0" collapsed="false">
      <c r="A962" s="4" t="n">
        <v>37195</v>
      </c>
      <c r="B962" s="5" t="n">
        <f aca="false">PostPro4FW!H968</f>
        <v>2388.4875419092</v>
      </c>
      <c r="C962" s="5" t="n">
        <f aca="false">PostPro4FW!M968</f>
        <v>800</v>
      </c>
      <c r="D962" s="5" t="n">
        <f aca="false">PostPro4FW!H968+PostPro4FW!I968</f>
        <v>2388.4875419092</v>
      </c>
      <c r="E962" s="5" t="n">
        <f aca="false">PostPro4FW!S968</f>
        <v>800</v>
      </c>
      <c r="F962" s="5" t="n">
        <f aca="false">PostPro4FW!Q968</f>
        <v>0</v>
      </c>
      <c r="G962" s="0" t="n">
        <f aca="false">PostPro4FW!R968</f>
        <v>0</v>
      </c>
    </row>
    <row r="963" customFormat="false" ht="14.35" hidden="false" customHeight="false" outlineLevel="0" collapsed="false">
      <c r="A963" s="4" t="n">
        <v>37225</v>
      </c>
      <c r="B963" s="5" t="n">
        <f aca="false">PostPro4FW!H969</f>
        <v>1200</v>
      </c>
      <c r="C963" s="5" t="n">
        <f aca="false">PostPro4FW!M969</f>
        <v>800</v>
      </c>
      <c r="D963" s="5" t="n">
        <f aca="false">PostPro4FW!H969+PostPro4FW!I969</f>
        <v>1200</v>
      </c>
      <c r="E963" s="5" t="n">
        <f aca="false">PostPro4FW!S969</f>
        <v>800</v>
      </c>
      <c r="F963" s="5" t="n">
        <f aca="false">PostPro4FW!Q969</f>
        <v>0</v>
      </c>
      <c r="G963" s="0" t="n">
        <f aca="false">PostPro4FW!R969</f>
        <v>0</v>
      </c>
    </row>
    <row r="964" customFormat="false" ht="14.35" hidden="false" customHeight="false" outlineLevel="0" collapsed="false">
      <c r="A964" s="4" t="n">
        <v>37256</v>
      </c>
      <c r="B964" s="5" t="n">
        <f aca="false">PostPro4FW!H970</f>
        <v>1200</v>
      </c>
      <c r="C964" s="5" t="n">
        <f aca="false">PostPro4FW!M970</f>
        <v>800</v>
      </c>
      <c r="D964" s="5" t="n">
        <f aca="false">PostPro4FW!H970+PostPro4FW!I970</f>
        <v>1200</v>
      </c>
      <c r="E964" s="5" t="n">
        <f aca="false">PostPro4FW!S970</f>
        <v>800</v>
      </c>
      <c r="F964" s="5" t="n">
        <f aca="false">PostPro4FW!Q970</f>
        <v>0</v>
      </c>
      <c r="G964" s="0" t="n">
        <f aca="false">PostPro4FW!R970</f>
        <v>0</v>
      </c>
    </row>
    <row r="965" customFormat="false" ht="14.35" hidden="false" customHeight="false" outlineLevel="0" collapsed="false">
      <c r="A965" s="4" t="n">
        <v>37287</v>
      </c>
      <c r="B965" s="5" t="n">
        <f aca="false">PostPro4FW!H971</f>
        <v>1200</v>
      </c>
      <c r="C965" s="5" t="n">
        <f aca="false">PostPro4FW!M971</f>
        <v>800</v>
      </c>
      <c r="D965" s="5" t="n">
        <f aca="false">PostPro4FW!H971+PostPro4FW!I971</f>
        <v>1200</v>
      </c>
      <c r="E965" s="5" t="n">
        <f aca="false">PostPro4FW!S971</f>
        <v>800</v>
      </c>
      <c r="F965" s="5" t="n">
        <f aca="false">PostPro4FW!Q971</f>
        <v>0</v>
      </c>
      <c r="G965" s="0" t="n">
        <f aca="false">PostPro4FW!R971</f>
        <v>0</v>
      </c>
    </row>
    <row r="966" customFormat="false" ht="14.35" hidden="false" customHeight="false" outlineLevel="0" collapsed="false">
      <c r="A966" s="4" t="n">
        <v>37315</v>
      </c>
      <c r="B966" s="5" t="n">
        <f aca="false">PostPro4FW!H972</f>
        <v>1200</v>
      </c>
      <c r="C966" s="5" t="n">
        <f aca="false">PostPro4FW!M972</f>
        <v>800</v>
      </c>
      <c r="D966" s="5" t="n">
        <f aca="false">PostPro4FW!H972+PostPro4FW!I972</f>
        <v>1200</v>
      </c>
      <c r="E966" s="5" t="n">
        <f aca="false">PostPro4FW!S972</f>
        <v>1200</v>
      </c>
      <c r="F966" s="5" t="n">
        <f aca="false">PostPro4FW!Q972</f>
        <v>1200</v>
      </c>
      <c r="G966" s="0" t="n">
        <f aca="false">PostPro4FW!R972</f>
        <v>28</v>
      </c>
    </row>
    <row r="967" customFormat="false" ht="14.35" hidden="false" customHeight="false" outlineLevel="0" collapsed="false">
      <c r="A967" s="4" t="n">
        <v>37346</v>
      </c>
      <c r="B967" s="5" t="n">
        <f aca="false">PostPro4FW!H973</f>
        <v>1000</v>
      </c>
      <c r="C967" s="5" t="n">
        <f aca="false">PostPro4FW!M973</f>
        <v>800</v>
      </c>
      <c r="D967" s="5" t="n">
        <f aca="false">PostPro4FW!H973+PostPro4FW!I973</f>
        <v>1000</v>
      </c>
      <c r="E967" s="5" t="n">
        <f aca="false">PostPro4FW!S973</f>
        <v>1000</v>
      </c>
      <c r="F967" s="5" t="n">
        <f aca="false">PostPro4FW!Q973</f>
        <v>1000</v>
      </c>
      <c r="G967" s="0" t="n">
        <f aca="false">PostPro4FW!R973</f>
        <v>31</v>
      </c>
    </row>
    <row r="968" customFormat="false" ht="14.35" hidden="false" customHeight="false" outlineLevel="0" collapsed="false">
      <c r="A968" s="4" t="n">
        <v>37376</v>
      </c>
      <c r="B968" s="5" t="n">
        <f aca="false">PostPro4FW!H974</f>
        <v>1000</v>
      </c>
      <c r="C968" s="5" t="n">
        <f aca="false">PostPro4FW!M974</f>
        <v>700</v>
      </c>
      <c r="D968" s="5" t="n">
        <f aca="false">PostPro4FW!H974+PostPro4FW!I974</f>
        <v>1420.13888888889</v>
      </c>
      <c r="E968" s="5" t="n">
        <f aca="false">PostPro4FW!S974</f>
        <v>820.023148148148</v>
      </c>
      <c r="F968" s="5" t="n">
        <f aca="false">PostPro4FW!Q974</f>
        <v>1420.13888888889</v>
      </c>
      <c r="G968" s="0" t="n">
        <f aca="false">PostPro4FW!R974</f>
        <v>5</v>
      </c>
    </row>
    <row r="969" customFormat="false" ht="14.35" hidden="false" customHeight="false" outlineLevel="0" collapsed="false">
      <c r="A969" s="4" t="n">
        <v>37407</v>
      </c>
      <c r="B969" s="5" t="n">
        <f aca="false">PostPro4FW!H975</f>
        <v>1000</v>
      </c>
      <c r="C969" s="5" t="n">
        <f aca="false">PostPro4FW!M975</f>
        <v>700</v>
      </c>
      <c r="D969" s="5" t="n">
        <f aca="false">PostPro4FW!H975+PostPro4FW!I975</f>
        <v>1406.58602150538</v>
      </c>
      <c r="E969" s="5" t="n">
        <f aca="false">PostPro4FW!S975</f>
        <v>700</v>
      </c>
      <c r="F969" s="5" t="n">
        <f aca="false">PostPro4FW!Q975</f>
        <v>0</v>
      </c>
      <c r="G969" s="0" t="n">
        <f aca="false">PostPro4FW!R975</f>
        <v>0</v>
      </c>
    </row>
    <row r="970" customFormat="false" ht="14.35" hidden="false" customHeight="false" outlineLevel="0" collapsed="false">
      <c r="A970" s="4" t="n">
        <v>37437</v>
      </c>
      <c r="B970" s="5" t="n">
        <f aca="false">PostPro4FW!H976</f>
        <v>3106.78368804022</v>
      </c>
      <c r="C970" s="5" t="n">
        <f aca="false">PostPro4FW!M976</f>
        <v>700</v>
      </c>
      <c r="D970" s="5" t="n">
        <f aca="false">PostPro4FW!H976+PostPro4FW!I976</f>
        <v>3106.78368804022</v>
      </c>
      <c r="E970" s="5" t="n">
        <f aca="false">PostPro4FW!S976</f>
        <v>700</v>
      </c>
      <c r="F970" s="5" t="n">
        <f aca="false">PostPro4FW!Q976</f>
        <v>0</v>
      </c>
      <c r="G970" s="0" t="n">
        <f aca="false">PostPro4FW!R976</f>
        <v>0</v>
      </c>
    </row>
    <row r="971" customFormat="false" ht="14.35" hidden="false" customHeight="false" outlineLevel="0" collapsed="false">
      <c r="A971" s="4" t="n">
        <v>37468</v>
      </c>
      <c r="B971" s="5" t="n">
        <f aca="false">PostPro4FW!H977</f>
        <v>5823.79884109694</v>
      </c>
      <c r="C971" s="5" t="n">
        <f aca="false">PostPro4FW!M977</f>
        <v>700</v>
      </c>
      <c r="D971" s="5" t="n">
        <f aca="false">PostPro4FW!H977+PostPro4FW!I977</f>
        <v>5823.79884109694</v>
      </c>
      <c r="E971" s="5" t="n">
        <f aca="false">PostPro4FW!S977</f>
        <v>700</v>
      </c>
      <c r="F971" s="5" t="n">
        <f aca="false">PostPro4FW!Q977</f>
        <v>0</v>
      </c>
      <c r="G971" s="0" t="n">
        <f aca="false">PostPro4FW!R977</f>
        <v>0</v>
      </c>
    </row>
    <row r="972" customFormat="false" ht="14.35" hidden="false" customHeight="false" outlineLevel="0" collapsed="false">
      <c r="A972" s="4" t="n">
        <v>37499</v>
      </c>
      <c r="B972" s="5" t="n">
        <f aca="false">PostPro4FW!H978</f>
        <v>1000</v>
      </c>
      <c r="C972" s="5" t="n">
        <f aca="false">PostPro4FW!M978</f>
        <v>700</v>
      </c>
      <c r="D972" s="5" t="n">
        <f aca="false">PostPro4FW!H978+PostPro4FW!I978</f>
        <v>1000</v>
      </c>
      <c r="E972" s="5" t="n">
        <f aca="false">PostPro4FW!S978</f>
        <v>700</v>
      </c>
      <c r="F972" s="5" t="n">
        <f aca="false">PostPro4FW!Q978</f>
        <v>0</v>
      </c>
      <c r="G972" s="0" t="n">
        <f aca="false">PostPro4FW!R978</f>
        <v>0</v>
      </c>
    </row>
    <row r="973" customFormat="false" ht="14.35" hidden="false" customHeight="false" outlineLevel="0" collapsed="false">
      <c r="A973" s="4" t="n">
        <v>37529</v>
      </c>
      <c r="B973" s="5" t="n">
        <f aca="false">PostPro4FW!H979</f>
        <v>1111.92277383245</v>
      </c>
      <c r="C973" s="5" t="n">
        <f aca="false">PostPro4FW!M979</f>
        <v>773.3333333</v>
      </c>
      <c r="D973" s="5" t="n">
        <f aca="false">PostPro4FW!H979+PostPro4FW!I979</f>
        <v>1111.92277383245</v>
      </c>
      <c r="E973" s="5" t="n">
        <f aca="false">PostPro4FW!S979</f>
        <v>773.3333333</v>
      </c>
      <c r="F973" s="5" t="n">
        <f aca="false">PostPro4FW!Q979</f>
        <v>0</v>
      </c>
      <c r="G973" s="0" t="n">
        <f aca="false">PostPro4FW!R979</f>
        <v>0</v>
      </c>
    </row>
    <row r="974" customFormat="false" ht="14.35" hidden="false" customHeight="false" outlineLevel="0" collapsed="false">
      <c r="A974" s="4" t="n">
        <v>37560</v>
      </c>
      <c r="B974" s="5" t="n">
        <f aca="false">PostPro4FW!H980</f>
        <v>1717.57737275244</v>
      </c>
      <c r="C974" s="5" t="n">
        <f aca="false">PostPro4FW!M980</f>
        <v>800</v>
      </c>
      <c r="D974" s="5" t="n">
        <f aca="false">PostPro4FW!H980+PostPro4FW!I980</f>
        <v>1717.57737275244</v>
      </c>
      <c r="E974" s="5" t="n">
        <f aca="false">PostPro4FW!S980</f>
        <v>800</v>
      </c>
      <c r="F974" s="5" t="n">
        <f aca="false">PostPro4FW!Q980</f>
        <v>0</v>
      </c>
      <c r="G974" s="0" t="n">
        <f aca="false">PostPro4FW!R980</f>
        <v>0</v>
      </c>
    </row>
    <row r="975" customFormat="false" ht="14.35" hidden="false" customHeight="false" outlineLevel="0" collapsed="false">
      <c r="A975" s="4" t="n">
        <v>37590</v>
      </c>
      <c r="B975" s="5" t="n">
        <f aca="false">PostPro4FW!H981</f>
        <v>1700</v>
      </c>
      <c r="C975" s="5" t="n">
        <f aca="false">PostPro4FW!M981</f>
        <v>800</v>
      </c>
      <c r="D975" s="5" t="n">
        <f aca="false">PostPro4FW!H981+PostPro4FW!I981</f>
        <v>1700</v>
      </c>
      <c r="E975" s="5" t="n">
        <f aca="false">PostPro4FW!S981</f>
        <v>800</v>
      </c>
      <c r="F975" s="5" t="n">
        <f aca="false">PostPro4FW!Q981</f>
        <v>0</v>
      </c>
      <c r="G975" s="0" t="n">
        <f aca="false">PostPro4FW!R981</f>
        <v>0</v>
      </c>
    </row>
    <row r="976" customFormat="false" ht="14.35" hidden="false" customHeight="false" outlineLevel="0" collapsed="false">
      <c r="A976" s="4" t="n">
        <v>37621</v>
      </c>
      <c r="B976" s="5" t="n">
        <f aca="false">PostPro4FW!H982</f>
        <v>1700</v>
      </c>
      <c r="C976" s="5" t="n">
        <f aca="false">PostPro4FW!M982</f>
        <v>800</v>
      </c>
      <c r="D976" s="5" t="n">
        <f aca="false">PostPro4FW!H982+PostPro4FW!I982</f>
        <v>1700</v>
      </c>
      <c r="E976" s="5" t="n">
        <f aca="false">PostPro4FW!S982</f>
        <v>800</v>
      </c>
      <c r="F976" s="5" t="n">
        <f aca="false">PostPro4FW!Q982</f>
        <v>0</v>
      </c>
      <c r="G976" s="0" t="n">
        <f aca="false">PostPro4FW!R982</f>
        <v>0</v>
      </c>
    </row>
    <row r="977" customFormat="false" ht="14.35" hidden="false" customHeight="false" outlineLevel="0" collapsed="false">
      <c r="A977" s="4" t="n">
        <v>37652</v>
      </c>
      <c r="B977" s="5" t="n">
        <f aca="false">PostPro4FW!H983</f>
        <v>1700</v>
      </c>
      <c r="C977" s="5" t="n">
        <f aca="false">PostPro4FW!M983</f>
        <v>800</v>
      </c>
      <c r="D977" s="5" t="n">
        <f aca="false">PostPro4FW!H983+PostPro4FW!I983</f>
        <v>1700</v>
      </c>
      <c r="E977" s="5" t="n">
        <f aca="false">PostPro4FW!S983</f>
        <v>800</v>
      </c>
      <c r="F977" s="5" t="n">
        <f aca="false">PostPro4FW!Q983</f>
        <v>0</v>
      </c>
      <c r="G977" s="0" t="n">
        <f aca="false">PostPro4FW!R983</f>
        <v>0</v>
      </c>
    </row>
    <row r="978" customFormat="false" ht="14.35" hidden="false" customHeight="false" outlineLevel="0" collapsed="false">
      <c r="A978" s="4" t="n">
        <v>37680</v>
      </c>
      <c r="B978" s="5" t="n">
        <f aca="false">PostPro4FW!H984</f>
        <v>1700.00000000001</v>
      </c>
      <c r="C978" s="5" t="n">
        <f aca="false">PostPro4FW!M984</f>
        <v>800</v>
      </c>
      <c r="D978" s="5" t="n">
        <f aca="false">PostPro4FW!H984+PostPro4FW!I984</f>
        <v>1700.00000000001</v>
      </c>
      <c r="E978" s="5" t="n">
        <f aca="false">PostPro4FW!S984</f>
        <v>1571.42857142858</v>
      </c>
      <c r="F978" s="5" t="n">
        <f aca="false">PostPro4FW!Q984</f>
        <v>1700.00000000001</v>
      </c>
      <c r="G978" s="0" t="n">
        <f aca="false">PostPro4FW!R984</f>
        <v>24</v>
      </c>
    </row>
    <row r="979" customFormat="false" ht="14.35" hidden="false" customHeight="false" outlineLevel="0" collapsed="false">
      <c r="A979" s="4" t="n">
        <v>37711</v>
      </c>
      <c r="B979" s="5" t="n">
        <f aca="false">PostPro4FW!H985</f>
        <v>1700</v>
      </c>
      <c r="C979" s="5" t="n">
        <f aca="false">PostPro4FW!M985</f>
        <v>800</v>
      </c>
      <c r="D979" s="5" t="n">
        <f aca="false">PostPro4FW!H985+PostPro4FW!I985</f>
        <v>1700</v>
      </c>
      <c r="E979" s="5" t="n">
        <f aca="false">PostPro4FW!S985</f>
        <v>800</v>
      </c>
      <c r="F979" s="5" t="n">
        <f aca="false">PostPro4FW!Q985</f>
        <v>0</v>
      </c>
      <c r="G979" s="0" t="n">
        <f aca="false">PostPro4FW!R985</f>
        <v>0</v>
      </c>
    </row>
    <row r="980" customFormat="false" ht="14.35" hidden="false" customHeight="false" outlineLevel="0" collapsed="false">
      <c r="A980" s="4" t="n">
        <v>37741</v>
      </c>
      <c r="B980" s="5" t="n">
        <f aca="false">PostPro4FW!H986</f>
        <v>1000</v>
      </c>
      <c r="C980" s="5" t="n">
        <f aca="false">PostPro4FW!M986</f>
        <v>700</v>
      </c>
      <c r="D980" s="5" t="n">
        <f aca="false">PostPro4FW!H986+PostPro4FW!I986</f>
        <v>1420.13888888889</v>
      </c>
      <c r="E980" s="5" t="n">
        <f aca="false">PostPro4FW!S986</f>
        <v>700</v>
      </c>
      <c r="F980" s="5" t="n">
        <f aca="false">PostPro4FW!Q986</f>
        <v>0</v>
      </c>
      <c r="G980" s="0" t="n">
        <f aca="false">PostPro4FW!R986</f>
        <v>0</v>
      </c>
    </row>
    <row r="981" customFormat="false" ht="14.35" hidden="false" customHeight="false" outlineLevel="0" collapsed="false">
      <c r="A981" s="4" t="n">
        <v>37772</v>
      </c>
      <c r="B981" s="5" t="n">
        <f aca="false">PostPro4FW!H987</f>
        <v>2579.77918839194</v>
      </c>
      <c r="C981" s="5" t="n">
        <f aca="false">PostPro4FW!M987</f>
        <v>700</v>
      </c>
      <c r="D981" s="5" t="n">
        <f aca="false">PostPro4FW!H987+PostPro4FW!I987</f>
        <v>2986.36520989732</v>
      </c>
      <c r="E981" s="5" t="n">
        <f aca="false">PostPro4FW!S987</f>
        <v>700</v>
      </c>
      <c r="F981" s="5" t="n">
        <f aca="false">PostPro4FW!Q987</f>
        <v>0</v>
      </c>
      <c r="G981" s="0" t="n">
        <f aca="false">PostPro4FW!R987</f>
        <v>0</v>
      </c>
    </row>
    <row r="982" customFormat="false" ht="14.35" hidden="false" customHeight="false" outlineLevel="0" collapsed="false">
      <c r="A982" s="4" t="n">
        <v>37802</v>
      </c>
      <c r="B982" s="5" t="n">
        <f aca="false">PostPro4FW!H988</f>
        <v>2045.5433120856</v>
      </c>
      <c r="C982" s="5" t="n">
        <f aca="false">PostPro4FW!M988</f>
        <v>700</v>
      </c>
      <c r="D982" s="5" t="n">
        <f aca="false">PostPro4FW!H988+PostPro4FW!I988</f>
        <v>2045.5433120856</v>
      </c>
      <c r="E982" s="5" t="n">
        <f aca="false">PostPro4FW!S988</f>
        <v>700</v>
      </c>
      <c r="F982" s="5" t="n">
        <f aca="false">PostPro4FW!Q988</f>
        <v>0</v>
      </c>
      <c r="G982" s="0" t="n">
        <f aca="false">PostPro4FW!R988</f>
        <v>0</v>
      </c>
    </row>
    <row r="983" customFormat="false" ht="14.35" hidden="false" customHeight="false" outlineLevel="0" collapsed="false">
      <c r="A983" s="4" t="n">
        <v>37833</v>
      </c>
      <c r="B983" s="5" t="n">
        <f aca="false">PostPro4FW!H989</f>
        <v>9379.77825802294</v>
      </c>
      <c r="C983" s="5" t="n">
        <f aca="false">PostPro4FW!M989</f>
        <v>700</v>
      </c>
      <c r="D983" s="5" t="n">
        <f aca="false">PostPro4FW!H989+PostPro4FW!I989</f>
        <v>9379.77825802294</v>
      </c>
      <c r="E983" s="5" t="n">
        <f aca="false">PostPro4FW!S989</f>
        <v>700</v>
      </c>
      <c r="F983" s="5" t="n">
        <f aca="false">PostPro4FW!Q989</f>
        <v>0</v>
      </c>
      <c r="G983" s="0" t="n">
        <f aca="false">PostPro4FW!R989</f>
        <v>0</v>
      </c>
    </row>
    <row r="984" customFormat="false" ht="14.35" hidden="false" customHeight="false" outlineLevel="0" collapsed="false">
      <c r="A984" s="4" t="n">
        <v>37864</v>
      </c>
      <c r="B984" s="5" t="n">
        <f aca="false">PostPro4FW!H990</f>
        <v>7584.47432126626</v>
      </c>
      <c r="C984" s="5" t="n">
        <f aca="false">PostPro4FW!M990</f>
        <v>700</v>
      </c>
      <c r="D984" s="5" t="n">
        <f aca="false">PostPro4FW!H990+PostPro4FW!I990</f>
        <v>7584.47432126626</v>
      </c>
      <c r="E984" s="5" t="n">
        <f aca="false">PostPro4FW!S990</f>
        <v>700</v>
      </c>
      <c r="F984" s="5" t="n">
        <f aca="false">PostPro4FW!Q990</f>
        <v>0</v>
      </c>
      <c r="G984" s="0" t="n">
        <f aca="false">PostPro4FW!R990</f>
        <v>0</v>
      </c>
    </row>
    <row r="985" customFormat="false" ht="14.35" hidden="false" customHeight="false" outlineLevel="0" collapsed="false">
      <c r="A985" s="4" t="n">
        <v>37894</v>
      </c>
      <c r="B985" s="5" t="n">
        <f aca="false">PostPro4FW!H991</f>
        <v>8231.03007648708</v>
      </c>
      <c r="C985" s="5" t="n">
        <f aca="false">PostPro4FW!M991</f>
        <v>773.3333333</v>
      </c>
      <c r="D985" s="5" t="n">
        <f aca="false">PostPro4FW!H991+PostPro4FW!I991</f>
        <v>8231.03007648708</v>
      </c>
      <c r="E985" s="5" t="n">
        <f aca="false">PostPro4FW!S991</f>
        <v>773.3333333</v>
      </c>
      <c r="F985" s="5" t="n">
        <f aca="false">PostPro4FW!Q991</f>
        <v>0</v>
      </c>
      <c r="G985" s="0" t="n">
        <f aca="false">PostPro4FW!R991</f>
        <v>0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2018-09-12T15:03:05Z</dcterms:created>
  <dc:creator>Miller, Aaron@DWR</dc:creator>
  <dc:description/>
  <dc:language>en-US</dc:language>
  <cp:lastModifiedBy/>
  <dcterms:modified xsi:type="dcterms:W3CDTF">2019-05-22T14:21:45Z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