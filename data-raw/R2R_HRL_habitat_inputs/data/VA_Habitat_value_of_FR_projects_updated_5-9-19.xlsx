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ason" sheetId="1" state="visible" r:id="rId2"/>
    <sheet name="sadie" sheetId="2" state="visible" r:id="rId3"/>
  </sheets>
  <definedNames>
    <definedName function="false" hidden="false" localSheetId="0" name="_ftn1" vbProcedure="false">sheet1!#ref!</definedName>
    <definedName function="false" hidden="false" localSheetId="0" name="_ftnref1" vbProcedure="false">jason!$B$19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<sst xmlns="http://schemas.openxmlformats.org/spreadsheetml/2006/main" count="292" uniqueCount="131">
  <si>
    <t xml:space="preserve">ID</t>
  </si>
  <si>
    <t xml:space="preserve">Project</t>
  </si>
  <si>
    <t xml:space="preserve">Description</t>
  </si>
  <si>
    <t xml:space="preserve">Targeted Habitat</t>
  </si>
  <si>
    <t xml:space="preserve"># Total Targeted Acres</t>
  </si>
  <si>
    <t xml:space="preserve">Reach</t>
  </si>
  <si>
    <t xml:space="preserve">Target (Ideal) Flow</t>
  </si>
  <si>
    <t xml:space="preserve">% Suitable at target (ideal) flow and # acres created</t>
  </si>
  <si>
    <t xml:space="preserve">Minimum/ Threshold Flow </t>
  </si>
  <si>
    <t xml:space="preserve">% Suitable at target minimum flow and # acres created</t>
  </si>
  <si>
    <t xml:space="preserve">Maximum Flow </t>
  </si>
  <si>
    <t xml:space="preserve">% Suitable at target maxium flow and # acres created</t>
  </si>
  <si>
    <t xml:space="preserve">Years</t>
  </si>
  <si>
    <t xml:space="preserve">Life Stage</t>
  </si>
  <si>
    <t xml:space="preserve">Wet</t>
  </si>
  <si>
    <t xml:space="preserve">Above Normal</t>
  </si>
  <si>
    <t xml:space="preserve">Below Normal</t>
  </si>
  <si>
    <t xml:space="preserve">Dry</t>
  </si>
  <si>
    <t xml:space="preserve">Critical</t>
  </si>
  <si>
    <t xml:space="preserve">Gravel augmentation</t>
  </si>
  <si>
    <t xml:space="preserve">Improve substrate conditions for spawning salmonids at key riffles</t>
  </si>
  <si>
    <t xml:space="preserve">25,000 cu. yd. </t>
  </si>
  <si>
    <t xml:space="preserve">LFC</t>
  </si>
  <si>
    <t xml:space="preserve">0-5 years</t>
  </si>
  <si>
    <t xml:space="preserve">S</t>
  </si>
  <si>
    <t xml:space="preserve">Approximately 2/3 of the rock would be placed below the segregation weir</t>
  </si>
  <si>
    <t xml:space="preserve">#Acres Suitable by Category</t>
  </si>
  <si>
    <t xml:space="preserve">**Remove Sunset Pumps and associated rock dam</t>
  </si>
  <si>
    <t xml:space="preserve">Remove barrier/entrainment risk for upstream salmonid and sturgeon passage</t>
  </si>
  <si>
    <t xml:space="preserve">29 miles </t>
  </si>
  <si>
    <t xml:space="preserve">HFC</t>
  </si>
  <si>
    <t xml:space="preserve">0 – 5 years</t>
  </si>
  <si>
    <t xml:space="preserve">AM, M</t>
  </si>
  <si>
    <t xml:space="preserve">*100</t>
  </si>
  <si>
    <t xml:space="preserve">All fish will currently pass over barrier but at different stages of inundation</t>
  </si>
  <si>
    <t xml:space="preserve">Oroville Wildlife Flood Stage Reduction Project</t>
  </si>
  <si>
    <t xml:space="preserve">Weir improvements and ecosystem restoration and Oroville Wildlife Area to allow floodplain access</t>
  </si>
  <si>
    <t xml:space="preserve">100 – 600 acres</t>
  </si>
  <si>
    <t xml:space="preserve">100 – 600 </t>
  </si>
  <si>
    <t xml:space="preserve">3 – 8 years</t>
  </si>
  <si>
    <t xml:space="preserve">R</t>
  </si>
  <si>
    <t xml:space="preserve">all depends on timing of inundation and better understanding of spring run emigration</t>
  </si>
  <si>
    <t xml:space="preserve">^^^Nelson Slough Floodplain Restoration</t>
  </si>
  <si>
    <t xml:space="preserve">Provide optimal habitat for floodplain rearing and reduce stranding during high flow events</t>
  </si>
  <si>
    <t xml:space="preserve">20 acres</t>
  </si>
  <si>
    <t xml:space="preserve">3 – 15 years</t>
  </si>
  <si>
    <t xml:space="preserve">20-40</t>
  </si>
  <si>
    <t xml:space="preserve">10-20</t>
  </si>
  <si>
    <t xml:space="preserve">^5-10</t>
  </si>
  <si>
    <t xml:space="preserve">^0-5</t>
  </si>
  <si>
    <t xml:space="preserve">^^^Abbott Lake Re-Connection/Restoration</t>
  </si>
  <si>
    <t xml:space="preserve">440 acres</t>
  </si>
  <si>
    <t xml:space="preserve">^^^Star bend Setback Levee</t>
  </si>
  <si>
    <t xml:space="preserve">50 acres</t>
  </si>
  <si>
    <t xml:space="preserve">^^^Feather River Setback Levee below Yuba River on River Left Floodplain</t>
  </si>
  <si>
    <t xml:space="preserve">1,100 acres</t>
  </si>
  <si>
    <t xml:space="preserve">#Identification of Predation Hot Spots and Adaptive Management for Predator Reduction</t>
  </si>
  <si>
    <t xml:space="preserve">Improve rearing and migration conditions by reducing predation</t>
  </si>
  <si>
    <t xml:space="preserve">30 acres</t>
  </si>
  <si>
    <t xml:space="preserve">0 – 15 years</t>
  </si>
  <si>
    <t xml:space="preserve">R, M</t>
  </si>
  <si>
    <t xml:space="preserve">gill netting and fishing derbys can impact predator abundance</t>
  </si>
  <si>
    <t xml:space="preserve">% of SR population using habitat (by water year type)</t>
  </si>
  <si>
    <t xml:space="preserve">% Suitable at target (ideal) flow</t>
  </si>
  <si>
    <t xml:space="preserve">% Suitable at minimum flow</t>
  </si>
  <si>
    <t xml:space="preserve">% Suitable at maximum flow</t>
  </si>
  <si>
    <t xml:space="preserve">Years after FERC License</t>
  </si>
  <si>
    <t xml:space="preserve">Gravel Supplementation Improvement Program (A102)</t>
  </si>
  <si>
    <t xml:space="preserve">File a gravel supplementation and improvement plan to respond to restoration project feedback</t>
  </si>
  <si>
    <r>
      <rPr>
        <sz val="11"/>
        <color rgb="FF000000"/>
        <rFont val="Times New Roman"/>
        <family val="1"/>
        <charset val="1"/>
      </rPr>
      <t xml:space="preserve">94,000m</t>
    </r>
    <r>
      <rPr>
        <vertAlign val="superscript"/>
        <sz val="11"/>
        <color rgb="FF000000"/>
        <rFont val="Times New Roman"/>
        <family val="1"/>
        <charset val="1"/>
      </rPr>
      <t xml:space="preserve">2</t>
    </r>
    <r>
      <rPr>
        <sz val="11"/>
        <color rgb="FF000000"/>
        <rFont val="Times New Roman"/>
        <family val="1"/>
        <charset val="1"/>
      </rPr>
      <t xml:space="preserve"> </t>
    </r>
  </si>
  <si>
    <t xml:space="preserve">2 projects within 2 years; 5 within 5; 10 within 10</t>
  </si>
  <si>
    <t xml:space="preserve">based on rough mapping done in 2014</t>
  </si>
  <si>
    <r>
      <rPr>
        <vertAlign val="superscript"/>
        <sz val="11"/>
        <color rgb="FF000000"/>
        <rFont val="Times New Roman"/>
        <family val="1"/>
        <charset val="1"/>
      </rPr>
      <t xml:space="preserve">$</t>
    </r>
    <r>
      <rPr>
        <sz val="11"/>
        <color rgb="FF000000"/>
        <rFont val="Times New Roman"/>
        <family val="1"/>
        <charset val="1"/>
      </rPr>
      <t xml:space="preserve">Channel Improvement Program (A103)</t>
    </r>
  </si>
  <si>
    <t xml:space="preserve">Creation and improvement of side channel habitat</t>
  </si>
  <si>
    <t xml:space="preserve">1.0 acre of improved habitat; 5 acres of new</t>
  </si>
  <si>
    <t xml:space="preserve">Develop plan within 2 years; 3 channels in 5; all channels within 7</t>
  </si>
  <si>
    <t xml:space="preserve">S, R</t>
  </si>
  <si>
    <t xml:space="preserve">improve 2 existing channels, create 5 new channels</t>
  </si>
  <si>
    <t xml:space="preserve">Structural Habitat Program (A104)</t>
  </si>
  <si>
    <t xml:space="preserve">Installation of large woody debris, boulders, etc. and filing a plan for implementation</t>
  </si>
  <si>
    <t xml:space="preserve">100 pieces LWD and 25 boulders</t>
  </si>
  <si>
    <t xml:space="preserve">Submit plan within 1 year; implement within 2 years</t>
  </si>
  <si>
    <t xml:space="preserve">SA calls for min of 50 and up to 500 pieces of structure but unlikely to implement that many</t>
  </si>
  <si>
    <t xml:space="preserve">Fish Weir Program (A105)</t>
  </si>
  <si>
    <t xml:space="preserve">Filing plans for weir installation, installation of monitoring and segregation weirs</t>
  </si>
  <si>
    <t xml:space="preserve">67 acres (spring-run habitat after seg weir install)</t>
  </si>
  <si>
    <t xml:space="preserve">Install count weir within 1 year and segregation weir within 3</t>
  </si>
  <si>
    <t xml:space="preserve">AM, S</t>
  </si>
  <si>
    <t xml:space="preserve">all adults have protected holding and spawning habitat</t>
  </si>
  <si>
    <t xml:space="preserve">^^Riparian Floodplain Program (A106)</t>
  </si>
  <si>
    <t xml:space="preserve">Filing of recommendations for riparian projects, physical completion of projects</t>
  </si>
  <si>
    <t xml:space="preserve">1100 acres</t>
  </si>
  <si>
    <t xml:space="preserve">LFC/HFC</t>
  </si>
  <si>
    <t xml:space="preserve">Screening level within 3 years; 1 project within 10; 2 projects within 15</t>
  </si>
  <si>
    <t xml:space="preserve">2-3 projects in the FERC boundary</t>
  </si>
  <si>
    <t xml:space="preserve">Hatchery Improvement Implementation (A107)</t>
  </si>
  <si>
    <t xml:space="preserve">Implementation of temperature targets, filing a hatchery genetics management plan (HGMP), data collection – minimize straying</t>
  </si>
  <si>
    <t xml:space="preserve">no increase in habitat, HGMP will significantly improve genetic fitness of SR over time</t>
  </si>
  <si>
    <t xml:space="preserve">n/a</t>
  </si>
  <si>
    <t xml:space="preserve">Target hatchery temperatures and data collection immediately; HGMP within 1 year</t>
  </si>
  <si>
    <t xml:space="preserve">these temps will continue to keep spawning temperatures adequate in September for SR</t>
  </si>
  <si>
    <t xml:space="preserve">Total Acres</t>
  </si>
  <si>
    <t xml:space="preserve">**Awkward to apply acreage: benefits green strurgeon the most because passage is 100% impaired at lower flows (3000 or less). Target flow is for sturgeon passage, minimum flow is for salmon/steelhed passge</t>
  </si>
  <si>
    <t xml:space="preserve">*Signigicant survival advantage expected in these water year types</t>
  </si>
  <si>
    <t xml:space="preserve">^Yuba River flows will increase opportunity for inundation in all water year types, especially in dry and critical years</t>
  </si>
  <si>
    <t xml:space="preserve">#Assumes a % benefit to survival (not necessarily utilization) from reduced predation. Habitat values were added based on the assumption that predator removal will add additional valuable habitat</t>
  </si>
  <si>
    <r>
      <rPr>
        <vertAlign val="superscript"/>
        <sz val="11"/>
        <color rgb="FF000000"/>
        <rFont val="Calibri"/>
        <family val="2"/>
        <charset val="1"/>
      </rPr>
      <t xml:space="preserve">$</t>
    </r>
    <r>
      <rPr>
        <sz val="11"/>
        <color rgb="FF000000"/>
        <rFont val="Calibri"/>
        <family val="2"/>
        <charset val="1"/>
      </rPr>
      <t xml:space="preserve">Benefits for Steelhead will be closer to 100%</t>
    </r>
  </si>
  <si>
    <t xml:space="preserve">^^Project needs to be built to proper elevation to accept Minimum Flow </t>
  </si>
  <si>
    <t xml:space="preserve">^^^big WAG</t>
  </si>
  <si>
    <t xml:space="preserve">id</t>
  </si>
  <si>
    <t xml:space="preserve">project</t>
  </si>
  <si>
    <t xml:space="preserve">description</t>
  </si>
  <si>
    <t xml:space="preserve">reach</t>
  </si>
  <si>
    <t xml:space="preserve">habitat_type</t>
  </si>
  <si>
    <t xml:space="preserve">acres</t>
  </si>
  <si>
    <t xml:space="preserve">min_flow</t>
  </si>
  <si>
    <t xml:space="preserve">target_flow</t>
  </si>
  <si>
    <t xml:space="preserve">max_flow</t>
  </si>
  <si>
    <t xml:space="preserve">min_flow_suitability</t>
  </si>
  <si>
    <t xml:space="preserve">target_flow_suitability</t>
  </si>
  <si>
    <t xml:space="preserve">max_flow_suitability</t>
  </si>
  <si>
    <t xml:space="preserve">questions</t>
  </si>
  <si>
    <t xml:space="preserve">spawning</t>
  </si>
  <si>
    <t xml:space="preserve">rearing</t>
  </si>
  <si>
    <t xml:space="preserve">conversion of 100 LWD and 25 boulders?</t>
  </si>
  <si>
    <t xml:space="preserve">floodplain rearing</t>
  </si>
  <si>
    <t xml:space="preserve">what proportion of acres is in LFC? 800 acres LFC</t>
  </si>
  <si>
    <t xml:space="preserve">100-600</t>
  </si>
  <si>
    <t xml:space="preserve">NA</t>
  </si>
  <si>
    <t xml:space="preserve">qualitative due to spring run focus</t>
  </si>
  <si>
    <t xml:space="preserve">qualitative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</si>
</sst>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vertAlign val="superscript"/>
      <sz val="11"/>
      <color rgb="FF000000"/>
      <name val="Times New Roman"/>
      <family val="1"/>
      <charset val="1"/>
    </font>
    <font>
      <vertAlign val="superscript"/>
      <sz val="11"/>
      <color rgb="FF000000"/>
      <name val="Calibri"/>
      <family val="2"/>
      <charset val="1"/>
    </font>
    <font>
      <sz val="11"/>
      <color rgb="FF000000"/>
      <name val="Lato Mediu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BFBFBF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RowHeight="13.8" zeroHeight="false" outlineLevelRow="0" outlineLevelCol="0"/>
  <cols>
    <col collapsed="false" customWidth="true" hidden="false" outlineLevel="0" max="1" min="1" style="0" width="8.05"/>
    <col collapsed="false" customWidth="true" hidden="false" outlineLevel="0" max="2" min="2" style="0" width="56.42"/>
    <col collapsed="false" customWidth="true" hidden="false" outlineLevel="0" max="3" min="3" style="0" width="33.14"/>
    <col collapsed="false" customWidth="true" hidden="false" outlineLevel="0" max="8" min="4" style="0" width="18.14"/>
    <col collapsed="false" customWidth="true" hidden="false" outlineLevel="0" max="9" min="9" style="0" width="19.57"/>
    <col collapsed="false" customWidth="true" hidden="false" outlineLevel="0" max="12" min="10" style="0" width="18.14"/>
    <col collapsed="false" customWidth="true" hidden="true" outlineLevel="0" max="13" min="13" style="0" width="16.71"/>
    <col collapsed="false" customWidth="true" hidden="false" outlineLevel="0" max="14" min="14" style="0" width="8.53"/>
    <col collapsed="false" customWidth="true" hidden="true" outlineLevel="0" max="19" min="15" style="0" width="10.85"/>
    <col collapsed="false" customWidth="true" hidden="false" outlineLevel="0" max="1025" min="20" style="0" width="8.53"/>
  </cols>
  <sheetData>
    <row r="1" customFormat="false" ht="37.3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</row>
    <row r="2" customFormat="false" ht="45" hidden="false" customHeight="true" outlineLevel="0" collapsed="false">
      <c r="A2" s="5" t="n">
        <v>1</v>
      </c>
      <c r="B2" s="5" t="s">
        <v>19</v>
      </c>
      <c r="C2" s="6" t="s">
        <v>20</v>
      </c>
      <c r="D2" s="6" t="s">
        <v>21</v>
      </c>
      <c r="E2" s="6" t="n">
        <v>7.5</v>
      </c>
      <c r="F2" s="6" t="s">
        <v>22</v>
      </c>
      <c r="G2" s="6" t="n">
        <v>850</v>
      </c>
      <c r="H2" s="6" t="n">
        <v>0.9</v>
      </c>
      <c r="I2" s="6" t="n">
        <v>650</v>
      </c>
      <c r="J2" s="6" t="n">
        <v>0.7</v>
      </c>
      <c r="K2" s="6" t="n">
        <v>1100</v>
      </c>
      <c r="L2" s="6" t="n">
        <v>0.8</v>
      </c>
      <c r="M2" s="6" t="s">
        <v>23</v>
      </c>
      <c r="N2" s="7" t="s">
        <v>24</v>
      </c>
      <c r="O2" s="8" t="n">
        <v>95</v>
      </c>
      <c r="P2" s="8" t="n">
        <v>95</v>
      </c>
      <c r="Q2" s="8" t="n">
        <v>95</v>
      </c>
      <c r="R2" s="8" t="n">
        <v>95</v>
      </c>
      <c r="S2" s="9" t="n">
        <v>95</v>
      </c>
      <c r="T2" s="10" t="s">
        <v>25</v>
      </c>
    </row>
    <row r="3" customFormat="false" ht="18.75" hidden="false" customHeight="true" outlineLevel="0" collapsed="false">
      <c r="A3" s="5"/>
      <c r="B3" s="5" t="s">
        <v>26</v>
      </c>
      <c r="C3" s="6"/>
      <c r="D3" s="6"/>
      <c r="E3" s="11" t="n">
        <v>7.5</v>
      </c>
      <c r="F3" s="11"/>
      <c r="G3" s="11"/>
      <c r="H3" s="11" t="n">
        <f aca="false">E3*H2</f>
        <v>6.75</v>
      </c>
      <c r="I3" s="11"/>
      <c r="J3" s="11" t="n">
        <f aca="false">E3*J2</f>
        <v>5.25</v>
      </c>
      <c r="K3" s="11"/>
      <c r="L3" s="11" t="n">
        <f aca="false">E3*L2</f>
        <v>6</v>
      </c>
      <c r="M3" s="6"/>
      <c r="N3" s="7"/>
      <c r="O3" s="8"/>
      <c r="P3" s="8"/>
      <c r="Q3" s="8"/>
      <c r="R3" s="8"/>
      <c r="S3" s="9"/>
      <c r="T3" s="10"/>
    </row>
    <row r="4" customFormat="false" ht="45" hidden="false" customHeight="true" outlineLevel="0" collapsed="false">
      <c r="A4" s="5" t="n">
        <v>2</v>
      </c>
      <c r="B4" s="5" t="s">
        <v>27</v>
      </c>
      <c r="C4" s="6" t="s">
        <v>28</v>
      </c>
      <c r="D4" s="12" t="s">
        <v>29</v>
      </c>
      <c r="E4" s="12" t="n">
        <v>780</v>
      </c>
      <c r="F4" s="6" t="s">
        <v>30</v>
      </c>
      <c r="G4" s="6" t="n">
        <v>7000</v>
      </c>
      <c r="H4" s="6" t="n">
        <v>0.7</v>
      </c>
      <c r="I4" s="6" t="n">
        <v>900</v>
      </c>
      <c r="J4" s="6" t="n">
        <v>0.25</v>
      </c>
      <c r="K4" s="6" t="n">
        <v>25000</v>
      </c>
      <c r="L4" s="6" t="n">
        <v>0.4</v>
      </c>
      <c r="M4" s="6" t="s">
        <v>31</v>
      </c>
      <c r="N4" s="7" t="s">
        <v>32</v>
      </c>
      <c r="O4" s="8" t="n">
        <v>100</v>
      </c>
      <c r="P4" s="8" t="n">
        <v>100</v>
      </c>
      <c r="Q4" s="8" t="s">
        <v>33</v>
      </c>
      <c r="R4" s="8" t="s">
        <v>33</v>
      </c>
      <c r="S4" s="9" t="s">
        <v>33</v>
      </c>
      <c r="T4" s="13" t="s">
        <v>34</v>
      </c>
    </row>
    <row r="5" customFormat="false" ht="18.75" hidden="false" customHeight="true" outlineLevel="0" collapsed="false">
      <c r="A5" s="5"/>
      <c r="B5" s="5" t="s">
        <v>26</v>
      </c>
      <c r="C5" s="6"/>
      <c r="D5" s="14"/>
      <c r="E5" s="15"/>
      <c r="F5" s="16"/>
      <c r="G5" s="16"/>
      <c r="H5" s="16" t="n">
        <f aca="false">E4*H4</f>
        <v>546</v>
      </c>
      <c r="I5" s="16"/>
      <c r="J5" s="16" t="n">
        <f aca="false">E4*J4</f>
        <v>195</v>
      </c>
      <c r="K5" s="16"/>
      <c r="L5" s="16" t="n">
        <f aca="false">E4*L4</f>
        <v>312</v>
      </c>
      <c r="M5" s="6"/>
      <c r="N5" s="7"/>
      <c r="O5" s="8"/>
      <c r="P5" s="8"/>
      <c r="Q5" s="8"/>
      <c r="R5" s="8"/>
      <c r="S5" s="5"/>
      <c r="T5" s="17"/>
    </row>
    <row r="6" customFormat="false" ht="45" hidden="false" customHeight="true" outlineLevel="0" collapsed="false">
      <c r="A6" s="5" t="n">
        <v>3</v>
      </c>
      <c r="B6" s="5" t="s">
        <v>35</v>
      </c>
      <c r="C6" s="6" t="s">
        <v>36</v>
      </c>
      <c r="D6" s="6" t="s">
        <v>37</v>
      </c>
      <c r="E6" s="6" t="s">
        <v>38</v>
      </c>
      <c r="F6" s="6" t="s">
        <v>30</v>
      </c>
      <c r="G6" s="6" t="n">
        <v>25000</v>
      </c>
      <c r="H6" s="6" t="n">
        <v>0.8</v>
      </c>
      <c r="I6" s="6" t="n">
        <v>4000</v>
      </c>
      <c r="J6" s="6" t="n">
        <v>0.8</v>
      </c>
      <c r="K6" s="6" t="n">
        <v>25000</v>
      </c>
      <c r="L6" s="6" t="n">
        <v>0.8</v>
      </c>
      <c r="M6" s="6" t="s">
        <v>39</v>
      </c>
      <c r="N6" s="7" t="s">
        <v>40</v>
      </c>
      <c r="O6" s="8" t="n">
        <v>30</v>
      </c>
      <c r="P6" s="8" t="n">
        <v>20</v>
      </c>
      <c r="Q6" s="8" t="n">
        <v>5</v>
      </c>
      <c r="R6" s="8" t="n">
        <v>0</v>
      </c>
      <c r="S6" s="5" t="n">
        <v>0</v>
      </c>
      <c r="T6" s="10" t="s">
        <v>41</v>
      </c>
    </row>
    <row r="7" customFormat="false" ht="18.75" hidden="false" customHeight="true" outlineLevel="0" collapsed="false">
      <c r="A7" s="5"/>
      <c r="B7" s="5" t="s">
        <v>26</v>
      </c>
      <c r="C7" s="6"/>
      <c r="D7" s="6"/>
      <c r="E7" s="16"/>
      <c r="F7" s="16"/>
      <c r="G7" s="16"/>
      <c r="H7" s="16" t="n">
        <f aca="false">600*H6</f>
        <v>480</v>
      </c>
      <c r="I7" s="16"/>
      <c r="J7" s="16" t="n">
        <f aca="false">100*J6</f>
        <v>80</v>
      </c>
      <c r="K7" s="16"/>
      <c r="L7" s="16" t="n">
        <f aca="false">600*L6</f>
        <v>480</v>
      </c>
      <c r="M7" s="6"/>
      <c r="N7" s="6"/>
      <c r="O7" s="8"/>
      <c r="P7" s="8"/>
      <c r="Q7" s="8"/>
      <c r="R7" s="8"/>
      <c r="S7" s="5"/>
      <c r="T7" s="10"/>
    </row>
    <row r="8" customFormat="false" ht="45" hidden="false" customHeight="true" outlineLevel="0" collapsed="false">
      <c r="A8" s="5" t="n">
        <v>4</v>
      </c>
      <c r="B8" s="5" t="s">
        <v>42</v>
      </c>
      <c r="C8" s="6" t="s">
        <v>43</v>
      </c>
      <c r="D8" s="6" t="s">
        <v>44</v>
      </c>
      <c r="E8" s="6" t="n">
        <v>20</v>
      </c>
      <c r="F8" s="6" t="s">
        <v>30</v>
      </c>
      <c r="G8" s="6" t="n">
        <v>35000</v>
      </c>
      <c r="H8" s="6" t="n">
        <v>0.9</v>
      </c>
      <c r="I8" s="6" t="n">
        <v>30000</v>
      </c>
      <c r="J8" s="6" t="n">
        <v>0.8</v>
      </c>
      <c r="K8" s="6" t="n">
        <v>50000</v>
      </c>
      <c r="L8" s="6" t="n">
        <v>0.5</v>
      </c>
      <c r="M8" s="6" t="s">
        <v>45</v>
      </c>
      <c r="N8" s="7" t="s">
        <v>40</v>
      </c>
      <c r="O8" s="8" t="s">
        <v>46</v>
      </c>
      <c r="P8" s="18" t="s">
        <v>47</v>
      </c>
      <c r="Q8" s="18" t="s">
        <v>48</v>
      </c>
      <c r="R8" s="18" t="s">
        <v>49</v>
      </c>
      <c r="S8" s="19" t="s">
        <v>49</v>
      </c>
      <c r="T8" s="10" t="s">
        <v>41</v>
      </c>
      <c r="U8" s="20"/>
      <c r="V8" s="20"/>
      <c r="W8" s="20"/>
    </row>
    <row r="9" customFormat="false" ht="18.75" hidden="false" customHeight="true" outlineLevel="0" collapsed="false">
      <c r="A9" s="5"/>
      <c r="B9" s="5" t="s">
        <v>26</v>
      </c>
      <c r="C9" s="6"/>
      <c r="D9" s="6"/>
      <c r="E9" s="16"/>
      <c r="F9" s="16"/>
      <c r="G9" s="16"/>
      <c r="H9" s="11" t="n">
        <f aca="false">E8*H8</f>
        <v>18</v>
      </c>
      <c r="I9" s="16"/>
      <c r="J9" s="11" t="n">
        <f aca="false">E8*J8</f>
        <v>16</v>
      </c>
      <c r="K9" s="16"/>
      <c r="L9" s="11" t="n">
        <f aca="false">E8*L8</f>
        <v>10</v>
      </c>
      <c r="M9" s="6"/>
      <c r="N9" s="6"/>
      <c r="O9" s="8"/>
      <c r="P9" s="8"/>
      <c r="Q9" s="8"/>
      <c r="R9" s="8"/>
      <c r="S9" s="5"/>
      <c r="T9" s="10"/>
    </row>
    <row r="10" customFormat="false" ht="45" hidden="false" customHeight="true" outlineLevel="0" collapsed="false">
      <c r="A10" s="5" t="n">
        <v>5</v>
      </c>
      <c r="B10" s="5" t="s">
        <v>50</v>
      </c>
      <c r="C10" s="6" t="s">
        <v>43</v>
      </c>
      <c r="D10" s="6" t="s">
        <v>51</v>
      </c>
      <c r="E10" s="6" t="n">
        <v>440</v>
      </c>
      <c r="F10" s="6" t="s">
        <v>30</v>
      </c>
      <c r="G10" s="6" t="n">
        <v>35000</v>
      </c>
      <c r="H10" s="6" t="n">
        <v>0.9</v>
      </c>
      <c r="I10" s="6" t="n">
        <v>30000</v>
      </c>
      <c r="J10" s="6" t="n">
        <v>0.8</v>
      </c>
      <c r="K10" s="6" t="n">
        <v>50000</v>
      </c>
      <c r="L10" s="6" t="n">
        <v>0.5</v>
      </c>
      <c r="M10" s="6" t="s">
        <v>45</v>
      </c>
      <c r="N10" s="7" t="s">
        <v>40</v>
      </c>
      <c r="O10" s="8" t="s">
        <v>46</v>
      </c>
      <c r="P10" s="18" t="s">
        <v>47</v>
      </c>
      <c r="Q10" s="18" t="s">
        <v>48</v>
      </c>
      <c r="R10" s="18" t="s">
        <v>49</v>
      </c>
      <c r="S10" s="21" t="s">
        <v>49</v>
      </c>
      <c r="T10" s="10" t="s">
        <v>41</v>
      </c>
      <c r="U10" s="20"/>
      <c r="V10" s="20"/>
      <c r="W10" s="20"/>
    </row>
    <row r="11" customFormat="false" ht="18.75" hidden="false" customHeight="true" outlineLevel="0" collapsed="false">
      <c r="A11" s="5"/>
      <c r="B11" s="5" t="s">
        <v>26</v>
      </c>
      <c r="C11" s="6"/>
      <c r="D11" s="6"/>
      <c r="E11" s="16"/>
      <c r="F11" s="16"/>
      <c r="G11" s="16"/>
      <c r="H11" s="11" t="n">
        <f aca="false">E10*H10</f>
        <v>396</v>
      </c>
      <c r="I11" s="16"/>
      <c r="J11" s="11" t="n">
        <f aca="false">E10*J10</f>
        <v>352</v>
      </c>
      <c r="K11" s="16"/>
      <c r="L11" s="11" t="n">
        <f aca="false">E10*L10</f>
        <v>220</v>
      </c>
      <c r="M11" s="6"/>
      <c r="N11" s="6"/>
      <c r="O11" s="8"/>
      <c r="P11" s="8"/>
      <c r="Q11" s="8"/>
      <c r="R11" s="8"/>
      <c r="S11" s="5"/>
      <c r="T11" s="10"/>
    </row>
    <row r="12" customFormat="false" ht="45" hidden="false" customHeight="true" outlineLevel="0" collapsed="false">
      <c r="A12" s="5" t="n">
        <v>6</v>
      </c>
      <c r="B12" s="5" t="s">
        <v>52</v>
      </c>
      <c r="C12" s="6" t="s">
        <v>43</v>
      </c>
      <c r="D12" s="6" t="s">
        <v>53</v>
      </c>
      <c r="E12" s="6" t="n">
        <v>50</v>
      </c>
      <c r="F12" s="6" t="s">
        <v>30</v>
      </c>
      <c r="G12" s="6" t="n">
        <v>35000</v>
      </c>
      <c r="H12" s="6" t="n">
        <v>0.9</v>
      </c>
      <c r="I12" s="6" t="n">
        <v>30000</v>
      </c>
      <c r="J12" s="6" t="n">
        <v>0.8</v>
      </c>
      <c r="K12" s="6" t="n">
        <v>50000</v>
      </c>
      <c r="L12" s="6" t="n">
        <v>0.5</v>
      </c>
      <c r="M12" s="6" t="s">
        <v>45</v>
      </c>
      <c r="N12" s="7" t="s">
        <v>40</v>
      </c>
      <c r="O12" s="8" t="s">
        <v>46</v>
      </c>
      <c r="P12" s="18" t="s">
        <v>47</v>
      </c>
      <c r="Q12" s="18" t="s">
        <v>48</v>
      </c>
      <c r="R12" s="18" t="s">
        <v>49</v>
      </c>
      <c r="S12" s="21" t="s">
        <v>49</v>
      </c>
      <c r="T12" s="10" t="s">
        <v>41</v>
      </c>
      <c r="U12" s="20"/>
      <c r="V12" s="20"/>
      <c r="W12" s="20"/>
    </row>
    <row r="13" customFormat="false" ht="18.75" hidden="false" customHeight="true" outlineLevel="0" collapsed="false">
      <c r="A13" s="5"/>
      <c r="B13" s="5" t="s">
        <v>26</v>
      </c>
      <c r="C13" s="6"/>
      <c r="D13" s="6"/>
      <c r="E13" s="16"/>
      <c r="F13" s="16"/>
      <c r="G13" s="16"/>
      <c r="H13" s="11" t="n">
        <f aca="false">E12*H12</f>
        <v>45</v>
      </c>
      <c r="I13" s="16"/>
      <c r="J13" s="11" t="n">
        <f aca="false">E12*J12</f>
        <v>40</v>
      </c>
      <c r="K13" s="16"/>
      <c r="L13" s="11" t="n">
        <f aca="false">E12*L12</f>
        <v>25</v>
      </c>
      <c r="M13" s="6"/>
      <c r="N13" s="6"/>
      <c r="O13" s="8"/>
      <c r="P13" s="8"/>
      <c r="Q13" s="8"/>
      <c r="R13" s="8"/>
      <c r="S13" s="5"/>
      <c r="T13" s="10"/>
    </row>
    <row r="14" customFormat="false" ht="45" hidden="false" customHeight="true" outlineLevel="0" collapsed="false">
      <c r="A14" s="5" t="n">
        <v>7</v>
      </c>
      <c r="B14" s="5" t="s">
        <v>54</v>
      </c>
      <c r="C14" s="6" t="s">
        <v>43</v>
      </c>
      <c r="D14" s="6" t="s">
        <v>55</v>
      </c>
      <c r="E14" s="6" t="n">
        <v>1100</v>
      </c>
      <c r="F14" s="6" t="s">
        <v>30</v>
      </c>
      <c r="G14" s="6" t="n">
        <v>35000</v>
      </c>
      <c r="H14" s="6" t="n">
        <v>0.9</v>
      </c>
      <c r="I14" s="6" t="n">
        <v>30000</v>
      </c>
      <c r="J14" s="6" t="n">
        <v>0.8</v>
      </c>
      <c r="K14" s="6" t="n">
        <v>50000</v>
      </c>
      <c r="L14" s="6" t="n">
        <v>0.5</v>
      </c>
      <c r="M14" s="6" t="s">
        <v>45</v>
      </c>
      <c r="N14" s="7" t="s">
        <v>40</v>
      </c>
      <c r="O14" s="8" t="s">
        <v>46</v>
      </c>
      <c r="P14" s="18" t="s">
        <v>47</v>
      </c>
      <c r="Q14" s="18" t="s">
        <v>48</v>
      </c>
      <c r="R14" s="18" t="s">
        <v>49</v>
      </c>
      <c r="S14" s="21" t="s">
        <v>49</v>
      </c>
      <c r="T14" s="10" t="s">
        <v>41</v>
      </c>
      <c r="U14" s="20"/>
      <c r="V14" s="20"/>
      <c r="W14" s="20"/>
    </row>
    <row r="15" customFormat="false" ht="18.75" hidden="false" customHeight="true" outlineLevel="0" collapsed="false">
      <c r="A15" s="5"/>
      <c r="B15" s="5" t="s">
        <v>26</v>
      </c>
      <c r="C15" s="6"/>
      <c r="D15" s="6"/>
      <c r="E15" s="16"/>
      <c r="F15" s="16"/>
      <c r="G15" s="16"/>
      <c r="H15" s="11" t="n">
        <f aca="false">E14*H14</f>
        <v>990</v>
      </c>
      <c r="I15" s="16"/>
      <c r="J15" s="11" t="n">
        <f aca="false">E14*J14</f>
        <v>880</v>
      </c>
      <c r="K15" s="16"/>
      <c r="L15" s="11" t="n">
        <f aca="false">E14*L14</f>
        <v>550</v>
      </c>
      <c r="M15" s="6"/>
      <c r="N15" s="6"/>
      <c r="O15" s="8"/>
      <c r="P15" s="8"/>
      <c r="Q15" s="8"/>
      <c r="R15" s="8"/>
      <c r="S15" s="5"/>
      <c r="T15" s="10"/>
    </row>
    <row r="16" customFormat="false" ht="45" hidden="false" customHeight="true" outlineLevel="0" collapsed="false">
      <c r="A16" s="5" t="n">
        <v>8</v>
      </c>
      <c r="B16" s="5" t="s">
        <v>56</v>
      </c>
      <c r="C16" s="6" t="s">
        <v>57</v>
      </c>
      <c r="D16" s="6" t="s">
        <v>58</v>
      </c>
      <c r="E16" s="6" t="n">
        <v>30</v>
      </c>
      <c r="F16" s="6" t="s">
        <v>30</v>
      </c>
      <c r="G16" s="6" t="n">
        <v>10000</v>
      </c>
      <c r="H16" s="6" t="n">
        <v>0.7</v>
      </c>
      <c r="I16" s="6" t="n">
        <v>3000</v>
      </c>
      <c r="J16" s="6" t="n">
        <v>0.3</v>
      </c>
      <c r="K16" s="6" t="n">
        <v>25000</v>
      </c>
      <c r="L16" s="6" t="n">
        <v>0.8</v>
      </c>
      <c r="M16" s="6" t="s">
        <v>59</v>
      </c>
      <c r="N16" s="7" t="s">
        <v>60</v>
      </c>
      <c r="O16" s="8" t="n">
        <v>10</v>
      </c>
      <c r="P16" s="8" t="n">
        <v>15</v>
      </c>
      <c r="Q16" s="8" t="n">
        <v>20</v>
      </c>
      <c r="R16" s="8" t="n">
        <v>25</v>
      </c>
      <c r="S16" s="5" t="n">
        <v>30</v>
      </c>
      <c r="T16" s="10" t="s">
        <v>61</v>
      </c>
      <c r="U16" s="20"/>
      <c r="V16" s="20"/>
      <c r="W16" s="20"/>
    </row>
    <row r="17" customFormat="false" ht="13.8" hidden="false" customHeight="false" outlineLevel="0" collapsed="false">
      <c r="A17" s="22"/>
      <c r="B17" s="22"/>
      <c r="E17" s="16"/>
      <c r="F17" s="16"/>
      <c r="G17" s="16"/>
      <c r="H17" s="11" t="n">
        <f aca="false">E16*H16</f>
        <v>21</v>
      </c>
      <c r="I17" s="16"/>
      <c r="J17" s="11" t="n">
        <f aca="false">E16*J16</f>
        <v>9</v>
      </c>
      <c r="K17" s="16"/>
      <c r="L17" s="11" t="n">
        <f aca="false">E16*L16</f>
        <v>24</v>
      </c>
      <c r="T17" s="10"/>
    </row>
    <row r="18" customFormat="false" ht="13.8" hidden="false" customHeight="false" outlineLevel="0" collapsed="false">
      <c r="A18" s="22"/>
      <c r="B18" s="22"/>
      <c r="O18" s="23" t="s">
        <v>62</v>
      </c>
      <c r="P18" s="23"/>
      <c r="Q18" s="23"/>
      <c r="R18" s="23"/>
      <c r="S18" s="23"/>
      <c r="T18" s="10"/>
    </row>
    <row r="19" customFormat="false" ht="25.35" hidden="false" customHeight="false" outlineLevel="0" collapsed="false">
      <c r="A19" s="1"/>
      <c r="B19" s="1"/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63</v>
      </c>
      <c r="I19" s="2" t="s">
        <v>8</v>
      </c>
      <c r="J19" s="2" t="s">
        <v>64</v>
      </c>
      <c r="K19" s="2" t="s">
        <v>10</v>
      </c>
      <c r="L19" s="2" t="s">
        <v>65</v>
      </c>
      <c r="M19" s="2" t="s">
        <v>66</v>
      </c>
      <c r="N19" s="2" t="s">
        <v>13</v>
      </c>
      <c r="O19" s="1" t="s">
        <v>14</v>
      </c>
      <c r="P19" s="1" t="s">
        <v>15</v>
      </c>
      <c r="Q19" s="1" t="s">
        <v>16</v>
      </c>
      <c r="R19" s="1" t="s">
        <v>17</v>
      </c>
      <c r="S19" s="4" t="s">
        <v>18</v>
      </c>
      <c r="T19" s="10"/>
    </row>
    <row r="20" customFormat="false" ht="68.25" hidden="false" customHeight="true" outlineLevel="0" collapsed="false">
      <c r="A20" s="5" t="n">
        <v>9</v>
      </c>
      <c r="B20" s="5" t="s">
        <v>67</v>
      </c>
      <c r="C20" s="6" t="s">
        <v>68</v>
      </c>
      <c r="D20" s="6" t="s">
        <v>69</v>
      </c>
      <c r="E20" s="6" t="n">
        <v>23.2</v>
      </c>
      <c r="F20" s="6" t="s">
        <v>22</v>
      </c>
      <c r="G20" s="6" t="n">
        <v>850</v>
      </c>
      <c r="H20" s="6" t="n">
        <v>0.9</v>
      </c>
      <c r="I20" s="6" t="n">
        <v>650</v>
      </c>
      <c r="J20" s="6" t="n">
        <v>0.7</v>
      </c>
      <c r="K20" s="6" t="n">
        <v>1100</v>
      </c>
      <c r="L20" s="6" t="n">
        <v>0.8</v>
      </c>
      <c r="M20" s="6" t="s">
        <v>70</v>
      </c>
      <c r="N20" s="6" t="s">
        <v>24</v>
      </c>
      <c r="O20" s="8" t="n">
        <v>95</v>
      </c>
      <c r="P20" s="8" t="n">
        <v>95</v>
      </c>
      <c r="Q20" s="8" t="n">
        <v>95</v>
      </c>
      <c r="R20" s="8" t="n">
        <v>95</v>
      </c>
      <c r="S20" s="5" t="n">
        <v>95</v>
      </c>
      <c r="T20" s="10" t="s">
        <v>71</v>
      </c>
    </row>
    <row r="21" customFormat="false" ht="18.75" hidden="false" customHeight="true" outlineLevel="0" collapsed="false">
      <c r="A21" s="5"/>
      <c r="B21" s="5" t="s">
        <v>26</v>
      </c>
      <c r="C21" s="6"/>
      <c r="D21" s="6"/>
      <c r="E21" s="16"/>
      <c r="F21" s="16"/>
      <c r="G21" s="16"/>
      <c r="H21" s="11" t="n">
        <f aca="false">E20*H20</f>
        <v>20.88</v>
      </c>
      <c r="I21" s="16"/>
      <c r="J21" s="11" t="n">
        <f aca="false">E20*J20</f>
        <v>16.24</v>
      </c>
      <c r="K21" s="16"/>
      <c r="L21" s="11" t="n">
        <f aca="false">E20*L20</f>
        <v>18.56</v>
      </c>
      <c r="M21" s="6"/>
      <c r="N21" s="6"/>
      <c r="O21" s="8"/>
      <c r="P21" s="8"/>
      <c r="Q21" s="8"/>
      <c r="R21" s="8"/>
      <c r="S21" s="5"/>
      <c r="T21" s="10"/>
    </row>
    <row r="22" customFormat="false" ht="68.25" hidden="false" customHeight="true" outlineLevel="0" collapsed="false">
      <c r="A22" s="5" t="n">
        <v>10</v>
      </c>
      <c r="B22" s="24" t="s">
        <v>72</v>
      </c>
      <c r="C22" s="6" t="s">
        <v>73</v>
      </c>
      <c r="D22" s="6" t="s">
        <v>74</v>
      </c>
      <c r="E22" s="6" t="n">
        <v>6</v>
      </c>
      <c r="F22" s="6" t="s">
        <v>22</v>
      </c>
      <c r="G22" s="6" t="n">
        <v>725</v>
      </c>
      <c r="H22" s="6" t="n">
        <v>0.9</v>
      </c>
      <c r="I22" s="6" t="n">
        <v>650</v>
      </c>
      <c r="J22" s="6" t="n">
        <v>0.85</v>
      </c>
      <c r="K22" s="6" t="n">
        <v>3000</v>
      </c>
      <c r="L22" s="6" t="n">
        <v>0.7</v>
      </c>
      <c r="M22" s="6" t="s">
        <v>75</v>
      </c>
      <c r="N22" s="6" t="s">
        <v>76</v>
      </c>
      <c r="O22" s="8" t="n">
        <v>80</v>
      </c>
      <c r="P22" s="8" t="n">
        <v>85</v>
      </c>
      <c r="Q22" s="8" t="n">
        <v>90</v>
      </c>
      <c r="R22" s="8" t="n">
        <v>90</v>
      </c>
      <c r="S22" s="9" t="n">
        <v>90</v>
      </c>
      <c r="T22" s="10" t="s">
        <v>77</v>
      </c>
    </row>
    <row r="23" customFormat="false" ht="18.75" hidden="false" customHeight="true" outlineLevel="0" collapsed="false">
      <c r="A23" s="5"/>
      <c r="B23" s="5" t="s">
        <v>26</v>
      </c>
      <c r="C23" s="6"/>
      <c r="D23" s="6"/>
      <c r="E23" s="16"/>
      <c r="F23" s="16"/>
      <c r="G23" s="16"/>
      <c r="H23" s="11" t="n">
        <f aca="false">E22*H22</f>
        <v>5.4</v>
      </c>
      <c r="I23" s="16"/>
      <c r="J23" s="11" t="n">
        <f aca="false">E22*J22</f>
        <v>5.1</v>
      </c>
      <c r="K23" s="16"/>
      <c r="L23" s="11" t="n">
        <f aca="false">E22*L22</f>
        <v>4.2</v>
      </c>
      <c r="M23" s="6"/>
      <c r="N23" s="6"/>
      <c r="O23" s="8"/>
      <c r="P23" s="8"/>
      <c r="Q23" s="8"/>
      <c r="R23" s="8"/>
      <c r="S23" s="5"/>
      <c r="T23" s="10"/>
    </row>
    <row r="24" customFormat="false" ht="68.25" hidden="false" customHeight="true" outlineLevel="0" collapsed="false">
      <c r="A24" s="5" t="n">
        <v>11</v>
      </c>
      <c r="B24" s="5" t="s">
        <v>78</v>
      </c>
      <c r="C24" s="6" t="s">
        <v>79</v>
      </c>
      <c r="D24" s="12" t="s">
        <v>80</v>
      </c>
      <c r="E24" s="12" t="n">
        <v>4.5</v>
      </c>
      <c r="F24" s="6" t="s">
        <v>22</v>
      </c>
      <c r="G24" s="6" t="n">
        <v>725</v>
      </c>
      <c r="H24" s="6" t="n">
        <v>0.9</v>
      </c>
      <c r="I24" s="6" t="n">
        <v>600</v>
      </c>
      <c r="J24" s="6" t="n">
        <v>0.75</v>
      </c>
      <c r="K24" s="6" t="n">
        <v>5000</v>
      </c>
      <c r="L24" s="6" t="n">
        <v>0.4</v>
      </c>
      <c r="M24" s="6" t="s">
        <v>81</v>
      </c>
      <c r="N24" s="6" t="s">
        <v>40</v>
      </c>
      <c r="O24" s="8" t="n">
        <v>60</v>
      </c>
      <c r="P24" s="8" t="n">
        <v>70</v>
      </c>
      <c r="Q24" s="8" t="n">
        <v>90</v>
      </c>
      <c r="R24" s="8" t="n">
        <v>90</v>
      </c>
      <c r="S24" s="9" t="n">
        <v>90</v>
      </c>
      <c r="T24" s="10" t="s">
        <v>82</v>
      </c>
    </row>
    <row r="25" customFormat="false" ht="18.75" hidden="false" customHeight="true" outlineLevel="0" collapsed="false">
      <c r="A25" s="5"/>
      <c r="B25" s="5" t="s">
        <v>26</v>
      </c>
      <c r="C25" s="6"/>
      <c r="D25" s="6"/>
      <c r="E25" s="16"/>
      <c r="F25" s="16"/>
      <c r="G25" s="16"/>
      <c r="H25" s="11" t="n">
        <f aca="false">E24*H24</f>
        <v>4.05</v>
      </c>
      <c r="I25" s="16"/>
      <c r="J25" s="11" t="n">
        <f aca="false">E24*J24</f>
        <v>3.375</v>
      </c>
      <c r="K25" s="16"/>
      <c r="L25" s="11" t="n">
        <f aca="false">E24*L24</f>
        <v>1.8</v>
      </c>
      <c r="M25" s="6"/>
      <c r="N25" s="6"/>
      <c r="O25" s="8"/>
      <c r="P25" s="8"/>
      <c r="Q25" s="8"/>
      <c r="R25" s="8"/>
      <c r="S25" s="5"/>
      <c r="T25" s="10"/>
    </row>
    <row r="26" customFormat="false" ht="68.25" hidden="false" customHeight="true" outlineLevel="0" collapsed="false">
      <c r="A26" s="5" t="n">
        <v>12</v>
      </c>
      <c r="B26" s="5" t="s">
        <v>83</v>
      </c>
      <c r="C26" s="6" t="s">
        <v>84</v>
      </c>
      <c r="D26" s="6" t="s">
        <v>85</v>
      </c>
      <c r="E26" s="6" t="n">
        <v>67</v>
      </c>
      <c r="F26" s="6" t="s">
        <v>22</v>
      </c>
      <c r="G26" s="6" t="n">
        <v>900</v>
      </c>
      <c r="H26" s="6" t="n">
        <v>0.5</v>
      </c>
      <c r="I26" s="6" t="n">
        <v>700</v>
      </c>
      <c r="J26" s="6" t="n">
        <v>0.35</v>
      </c>
      <c r="K26" s="6" t="n">
        <v>3500</v>
      </c>
      <c r="L26" s="6" t="n">
        <v>0.6</v>
      </c>
      <c r="M26" s="6" t="s">
        <v>86</v>
      </c>
      <c r="N26" s="6" t="s">
        <v>87</v>
      </c>
      <c r="O26" s="8" t="n">
        <v>100</v>
      </c>
      <c r="P26" s="8" t="n">
        <v>100</v>
      </c>
      <c r="Q26" s="8" t="n">
        <v>100</v>
      </c>
      <c r="R26" s="8" t="n">
        <v>100</v>
      </c>
      <c r="S26" s="9" t="n">
        <v>100</v>
      </c>
      <c r="T26" s="10" t="s">
        <v>88</v>
      </c>
    </row>
    <row r="27" customFormat="false" ht="18.75" hidden="false" customHeight="true" outlineLevel="0" collapsed="false">
      <c r="A27" s="5"/>
      <c r="B27" s="5" t="s">
        <v>26</v>
      </c>
      <c r="C27" s="6"/>
      <c r="D27" s="6"/>
      <c r="E27" s="16"/>
      <c r="F27" s="16"/>
      <c r="G27" s="16"/>
      <c r="H27" s="11" t="n">
        <f aca="false">E26*H26</f>
        <v>33.5</v>
      </c>
      <c r="I27" s="16"/>
      <c r="J27" s="11" t="n">
        <f aca="false">E26*J26</f>
        <v>23.45</v>
      </c>
      <c r="K27" s="16"/>
      <c r="L27" s="11" t="n">
        <f aca="false">E26*L26</f>
        <v>40.2</v>
      </c>
      <c r="M27" s="6"/>
      <c r="N27" s="6"/>
      <c r="O27" s="8"/>
      <c r="P27" s="8"/>
      <c r="Q27" s="8"/>
      <c r="R27" s="8"/>
      <c r="S27" s="5"/>
      <c r="T27" s="10"/>
    </row>
    <row r="28" customFormat="false" ht="68.25" hidden="false" customHeight="true" outlineLevel="0" collapsed="false">
      <c r="A28" s="5" t="n">
        <v>13</v>
      </c>
      <c r="B28" s="5" t="s">
        <v>89</v>
      </c>
      <c r="C28" s="6" t="s">
        <v>90</v>
      </c>
      <c r="D28" s="6" t="s">
        <v>91</v>
      </c>
      <c r="E28" s="6" t="n">
        <v>1100</v>
      </c>
      <c r="F28" s="6" t="s">
        <v>92</v>
      </c>
      <c r="G28" s="6" t="n">
        <v>4000</v>
      </c>
      <c r="H28" s="6" t="n">
        <v>0.9</v>
      </c>
      <c r="I28" s="6" t="n">
        <v>3000</v>
      </c>
      <c r="J28" s="6" t="n">
        <v>0.75</v>
      </c>
      <c r="K28" s="6" t="n">
        <v>10000</v>
      </c>
      <c r="L28" s="6" t="n">
        <v>0.5</v>
      </c>
      <c r="M28" s="6" t="s">
        <v>93</v>
      </c>
      <c r="N28" s="6" t="s">
        <v>40</v>
      </c>
      <c r="O28" s="8" t="n">
        <v>60</v>
      </c>
      <c r="P28" s="8" t="n">
        <v>55</v>
      </c>
      <c r="Q28" s="8" t="n">
        <v>40</v>
      </c>
      <c r="R28" s="8" t="n">
        <v>40</v>
      </c>
      <c r="S28" s="5" t="n">
        <v>40</v>
      </c>
      <c r="T28" s="10" t="s">
        <v>94</v>
      </c>
    </row>
    <row r="29" customFormat="false" ht="18.75" hidden="false" customHeight="true" outlineLevel="0" collapsed="false">
      <c r="A29" s="5"/>
      <c r="B29" s="5" t="s">
        <v>26</v>
      </c>
      <c r="C29" s="6"/>
      <c r="D29" s="6"/>
      <c r="E29" s="16"/>
      <c r="F29" s="16"/>
      <c r="G29" s="16"/>
      <c r="H29" s="11" t="n">
        <f aca="false">E28*H28</f>
        <v>990</v>
      </c>
      <c r="I29" s="16"/>
      <c r="J29" s="11" t="n">
        <f aca="false">E28*J28</f>
        <v>825</v>
      </c>
      <c r="K29" s="16"/>
      <c r="L29" s="11" t="n">
        <f aca="false">E28*L28</f>
        <v>550</v>
      </c>
      <c r="M29" s="6"/>
      <c r="N29" s="6"/>
      <c r="O29" s="8"/>
      <c r="P29" s="8"/>
      <c r="Q29" s="8"/>
      <c r="R29" s="8"/>
      <c r="S29" s="5"/>
      <c r="T29" s="10"/>
    </row>
    <row r="30" customFormat="false" ht="92.25" hidden="false" customHeight="true" outlineLevel="0" collapsed="false">
      <c r="A30" s="5" t="n">
        <v>14</v>
      </c>
      <c r="B30" s="5" t="s">
        <v>95</v>
      </c>
      <c r="C30" s="6" t="s">
        <v>96</v>
      </c>
      <c r="D30" s="6" t="s">
        <v>97</v>
      </c>
      <c r="E30" s="6" t="s">
        <v>98</v>
      </c>
      <c r="F30" s="6" t="s">
        <v>22</v>
      </c>
      <c r="G30" s="6" t="s">
        <v>98</v>
      </c>
      <c r="H30" s="6" t="s">
        <v>98</v>
      </c>
      <c r="I30" s="6" t="s">
        <v>98</v>
      </c>
      <c r="J30" s="6" t="s">
        <v>98</v>
      </c>
      <c r="K30" s="6" t="s">
        <v>98</v>
      </c>
      <c r="L30" s="6" t="s">
        <v>98</v>
      </c>
      <c r="M30" s="6" t="s">
        <v>99</v>
      </c>
      <c r="N30" s="6" t="s">
        <v>87</v>
      </c>
      <c r="O30" s="25" t="n">
        <v>100</v>
      </c>
      <c r="P30" s="25" t="n">
        <v>100</v>
      </c>
      <c r="Q30" s="25" t="n">
        <v>100</v>
      </c>
      <c r="R30" s="25" t="n">
        <v>100</v>
      </c>
      <c r="S30" s="9" t="n">
        <v>100</v>
      </c>
      <c r="T30" s="10" t="s">
        <v>100</v>
      </c>
    </row>
    <row r="31" customFormat="false" ht="13.8" hidden="false" customHeight="false" outlineLevel="0" collapsed="false">
      <c r="O31" s="26"/>
      <c r="P31" s="26"/>
      <c r="Q31" s="26"/>
      <c r="R31" s="26"/>
      <c r="S31" s="26"/>
    </row>
    <row r="32" customFormat="false" ht="13.8" hidden="false" customHeight="false" outlineLevel="0" collapsed="false">
      <c r="B32" s="27" t="s">
        <v>101</v>
      </c>
      <c r="C32" s="28"/>
      <c r="D32" s="28"/>
      <c r="E32" s="28"/>
      <c r="F32" s="28"/>
      <c r="G32" s="28"/>
      <c r="H32" s="28" t="n">
        <f aca="false">H29+H27+H25+H23+H21+H17+H15+H13+H11+H9+H7+H5</f>
        <v>3549.83</v>
      </c>
      <c r="I32" s="28"/>
      <c r="J32" s="28" t="n">
        <f aca="false">J29+J27+J25+J23+J21+J17+J15+J13+J11+J9+J7+J5</f>
        <v>2445.165</v>
      </c>
      <c r="K32" s="28"/>
      <c r="L32" s="28" t="n">
        <f aca="false">L29+L27+L25+L23+L21+L17+L15+L13+L11+L9+L7+L5</f>
        <v>2235.76</v>
      </c>
      <c r="O32" s="26"/>
      <c r="P32" s="26"/>
      <c r="Q32" s="26"/>
      <c r="R32" s="26"/>
      <c r="S32" s="26"/>
    </row>
    <row r="33" customFormat="false" ht="13.8" hidden="false" customHeight="false" outlineLevel="0" collapsed="false">
      <c r="O33" s="26"/>
      <c r="P33" s="26"/>
      <c r="Q33" s="26"/>
      <c r="R33" s="26"/>
      <c r="S33" s="26"/>
    </row>
    <row r="34" customFormat="false" ht="13.8" hidden="false" customHeight="false" outlineLevel="0" collapsed="false">
      <c r="O34" s="26"/>
      <c r="P34" s="26"/>
      <c r="Q34" s="26"/>
      <c r="R34" s="26"/>
      <c r="S34" s="26"/>
    </row>
    <row r="35" customFormat="false" ht="13.8" hidden="false" customHeight="false" outlineLevel="0" collapsed="false">
      <c r="B35" s="29" t="s">
        <v>102</v>
      </c>
    </row>
    <row r="36" customFormat="false" ht="28.35" hidden="false" customHeight="false" outlineLevel="0" collapsed="false">
      <c r="B36" s="30" t="s">
        <v>103</v>
      </c>
    </row>
    <row r="37" customFormat="false" ht="13.8" hidden="false" customHeight="false" outlineLevel="0" collapsed="false">
      <c r="B37" s="29" t="s">
        <v>104</v>
      </c>
    </row>
    <row r="38" customFormat="false" ht="13.8" hidden="false" customHeight="false" outlineLevel="0" collapsed="false">
      <c r="B38" s="29" t="s">
        <v>105</v>
      </c>
    </row>
    <row r="39" customFormat="false" ht="14.9" hidden="false" customHeight="false" outlineLevel="0" collapsed="false">
      <c r="B39" s="31" t="s">
        <v>106</v>
      </c>
    </row>
    <row r="40" customFormat="false" ht="13.8" hidden="false" customHeight="false" outlineLevel="0" collapsed="false">
      <c r="B40" s="29" t="s">
        <v>107</v>
      </c>
    </row>
    <row r="41" customFormat="false" ht="13.8" hidden="false" customHeight="false" outlineLevel="0" collapsed="false">
      <c r="B41" s="29" t="s">
        <v>108</v>
      </c>
    </row>
  </sheetData>
  <mergeCells count="1">
    <mergeCell ref="O18:S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RowHeight="13.8" zeroHeight="false" outlineLevelRow="0" outlineLevelCol="0"/>
  <cols>
    <col collapsed="false" customWidth="true" hidden="false" outlineLevel="0" max="1025" min="1" style="32" width="9.14"/>
  </cols>
  <sheetData>
    <row r="1" customFormat="false" ht="13.8" hidden="false" customHeight="false" outlineLevel="0" collapsed="false">
      <c r="A1" s="33" t="s">
        <v>109</v>
      </c>
      <c r="B1" s="33" t="s">
        <v>110</v>
      </c>
      <c r="C1" s="33" t="s">
        <v>111</v>
      </c>
      <c r="D1" s="32" t="s">
        <v>112</v>
      </c>
      <c r="E1" s="32" t="s">
        <v>113</v>
      </c>
      <c r="F1" s="32" t="s">
        <v>114</v>
      </c>
      <c r="G1" s="32" t="s">
        <v>115</v>
      </c>
      <c r="H1" s="32" t="s">
        <v>116</v>
      </c>
      <c r="I1" s="32" t="s">
        <v>117</v>
      </c>
      <c r="J1" s="32" t="s">
        <v>118</v>
      </c>
      <c r="K1" s="32" t="s">
        <v>119</v>
      </c>
      <c r="L1" s="32" t="s">
        <v>120</v>
      </c>
      <c r="N1" s="32" t="s">
        <v>121</v>
      </c>
    </row>
    <row r="2" customFormat="false" ht="91" hidden="false" customHeight="false" outlineLevel="0" collapsed="false">
      <c r="A2" s="33" t="n">
        <v>1</v>
      </c>
      <c r="B2" s="33" t="s">
        <v>19</v>
      </c>
      <c r="C2" s="33" t="s">
        <v>20</v>
      </c>
      <c r="D2" s="32" t="s">
        <v>22</v>
      </c>
      <c r="E2" s="32" t="s">
        <v>122</v>
      </c>
      <c r="F2" s="32" t="n">
        <v>7.5</v>
      </c>
      <c r="G2" s="32" t="n">
        <v>650</v>
      </c>
      <c r="H2" s="32" t="n">
        <v>850</v>
      </c>
      <c r="I2" s="32" t="n">
        <v>1100</v>
      </c>
      <c r="J2" s="32" t="n">
        <v>0.7</v>
      </c>
      <c r="K2" s="32" t="n">
        <v>0.9</v>
      </c>
      <c r="L2" s="32" t="n">
        <v>0.8</v>
      </c>
    </row>
    <row r="3" customFormat="false" ht="12.95" hidden="false" customHeight="true" outlineLevel="0" collapsed="false">
      <c r="A3" s="33" t="n">
        <v>9</v>
      </c>
      <c r="B3" s="33" t="s">
        <v>67</v>
      </c>
      <c r="C3" s="33" t="s">
        <v>68</v>
      </c>
      <c r="D3" s="32" t="s">
        <v>22</v>
      </c>
      <c r="E3" s="32" t="s">
        <v>122</v>
      </c>
      <c r="F3" s="32" t="n">
        <v>23.2</v>
      </c>
      <c r="G3" s="32" t="n">
        <v>650</v>
      </c>
      <c r="H3" s="32" t="n">
        <v>850</v>
      </c>
      <c r="I3" s="32" t="n">
        <v>1100</v>
      </c>
      <c r="J3" s="32" t="n">
        <v>0.7</v>
      </c>
      <c r="K3" s="32" t="n">
        <v>0.9</v>
      </c>
      <c r="L3" s="32" t="n">
        <v>0.8</v>
      </c>
    </row>
    <row r="4" customFormat="false" ht="42" hidden="false" customHeight="true" outlineLevel="0" collapsed="false">
      <c r="A4" s="33" t="n">
        <v>10</v>
      </c>
      <c r="B4" s="34" t="s">
        <v>72</v>
      </c>
      <c r="C4" s="33" t="s">
        <v>73</v>
      </c>
      <c r="D4" s="32" t="s">
        <v>22</v>
      </c>
      <c r="E4" s="32" t="s">
        <v>123</v>
      </c>
      <c r="F4" s="32" t="n">
        <v>6</v>
      </c>
      <c r="G4" s="32" t="n">
        <v>650</v>
      </c>
      <c r="H4" s="32" t="n">
        <v>725</v>
      </c>
      <c r="I4" s="32" t="n">
        <v>3000</v>
      </c>
      <c r="J4" s="32" t="n">
        <v>0.8</v>
      </c>
      <c r="K4" s="32" t="n">
        <v>0.9</v>
      </c>
      <c r="L4" s="32" t="n">
        <v>0.5</v>
      </c>
    </row>
    <row r="5" customFormat="false" ht="12.95" hidden="false" customHeight="true" outlineLevel="0" collapsed="false">
      <c r="A5" s="33" t="n">
        <v>11</v>
      </c>
      <c r="B5" s="33" t="s">
        <v>78</v>
      </c>
      <c r="C5" s="33" t="s">
        <v>79</v>
      </c>
      <c r="D5" s="32" t="s">
        <v>22</v>
      </c>
      <c r="E5" s="32" t="s">
        <v>123</v>
      </c>
      <c r="F5" s="32" t="n">
        <v>4.5</v>
      </c>
      <c r="G5" s="32" t="n">
        <v>650</v>
      </c>
      <c r="H5" s="32" t="n">
        <v>725</v>
      </c>
      <c r="I5" s="32" t="n">
        <v>3000</v>
      </c>
      <c r="J5" s="32" t="n">
        <v>0.8</v>
      </c>
      <c r="K5" s="32" t="n">
        <v>0.9</v>
      </c>
      <c r="L5" s="32" t="n">
        <v>0.5</v>
      </c>
      <c r="N5" s="32" t="s">
        <v>124</v>
      </c>
    </row>
    <row r="6" customFormat="false" ht="25.5" hidden="false" customHeight="true" outlineLevel="0" collapsed="false">
      <c r="A6" s="33" t="n">
        <v>13</v>
      </c>
      <c r="B6" s="33" t="s">
        <v>89</v>
      </c>
      <c r="C6" s="33" t="s">
        <v>90</v>
      </c>
      <c r="D6" s="32" t="s">
        <v>22</v>
      </c>
      <c r="E6" s="32" t="s">
        <v>125</v>
      </c>
      <c r="F6" s="32" t="n">
        <v>800</v>
      </c>
      <c r="G6" s="32" t="n">
        <v>3000</v>
      </c>
      <c r="H6" s="32" t="n">
        <v>4000</v>
      </c>
      <c r="I6" s="32" t="n">
        <v>10000</v>
      </c>
      <c r="J6" s="32" t="n">
        <v>0.75</v>
      </c>
      <c r="K6" s="32" t="n">
        <v>0.8</v>
      </c>
      <c r="L6" s="32" t="n">
        <v>0.5</v>
      </c>
      <c r="N6" s="32" t="s">
        <v>126</v>
      </c>
    </row>
    <row r="7" customFormat="false" ht="25.5" hidden="false" customHeight="true" outlineLevel="0" collapsed="false">
      <c r="A7" s="33" t="n">
        <v>13</v>
      </c>
      <c r="B7" s="33" t="s">
        <v>89</v>
      </c>
      <c r="C7" s="33" t="s">
        <v>90</v>
      </c>
      <c r="D7" s="32" t="s">
        <v>30</v>
      </c>
      <c r="E7" s="32" t="s">
        <v>125</v>
      </c>
      <c r="F7" s="32" t="n">
        <v>300</v>
      </c>
      <c r="G7" s="32" t="n">
        <v>3000</v>
      </c>
      <c r="H7" s="32" t="n">
        <v>4000</v>
      </c>
      <c r="I7" s="32" t="n">
        <v>10000</v>
      </c>
      <c r="J7" s="32" t="n">
        <v>0.75</v>
      </c>
      <c r="K7" s="32" t="n">
        <v>0.8</v>
      </c>
      <c r="L7" s="32" t="n">
        <v>0.5</v>
      </c>
    </row>
    <row r="8" customFormat="false" ht="12.95" hidden="false" customHeight="true" outlineLevel="0" collapsed="false">
      <c r="A8" s="33" t="n">
        <v>3</v>
      </c>
      <c r="B8" s="33" t="s">
        <v>35</v>
      </c>
      <c r="C8" s="33" t="s">
        <v>36</v>
      </c>
      <c r="D8" s="32" t="s">
        <v>30</v>
      </c>
      <c r="E8" s="32" t="s">
        <v>125</v>
      </c>
      <c r="F8" s="32" t="s">
        <v>127</v>
      </c>
      <c r="G8" s="32" t="n">
        <v>4000</v>
      </c>
      <c r="H8" s="32" t="n">
        <v>25000</v>
      </c>
      <c r="I8" s="32" t="n">
        <v>25000</v>
      </c>
      <c r="J8" s="32" t="n">
        <v>0.8</v>
      </c>
      <c r="K8" s="32" t="n">
        <v>0.8</v>
      </c>
      <c r="L8" s="32" t="n">
        <v>0.8</v>
      </c>
    </row>
    <row r="9" customFormat="false" ht="12.95" hidden="false" customHeight="true" outlineLevel="0" collapsed="false">
      <c r="A9" s="33" t="n">
        <v>4</v>
      </c>
      <c r="B9" s="33" t="s">
        <v>42</v>
      </c>
      <c r="C9" s="33" t="s">
        <v>43</v>
      </c>
      <c r="D9" s="32" t="s">
        <v>30</v>
      </c>
      <c r="E9" s="32" t="s">
        <v>125</v>
      </c>
      <c r="F9" s="32" t="n">
        <v>20</v>
      </c>
      <c r="G9" s="32" t="n">
        <v>30000</v>
      </c>
      <c r="H9" s="32" t="n">
        <v>35000</v>
      </c>
      <c r="I9" s="32" t="n">
        <v>50000</v>
      </c>
      <c r="J9" s="32" t="n">
        <v>0.8</v>
      </c>
      <c r="K9" s="32" t="n">
        <v>0.9</v>
      </c>
      <c r="L9" s="32" t="n">
        <v>0.5</v>
      </c>
    </row>
    <row r="10" customFormat="false" ht="12.95" hidden="false" customHeight="true" outlineLevel="0" collapsed="false">
      <c r="A10" s="33" t="n">
        <v>5</v>
      </c>
      <c r="B10" s="33" t="s">
        <v>50</v>
      </c>
      <c r="C10" s="33" t="s">
        <v>43</v>
      </c>
      <c r="D10" s="32" t="s">
        <v>30</v>
      </c>
      <c r="E10" s="32" t="s">
        <v>125</v>
      </c>
      <c r="F10" s="32" t="n">
        <v>440</v>
      </c>
      <c r="G10" s="32" t="n">
        <v>30000</v>
      </c>
      <c r="H10" s="32" t="n">
        <v>35000</v>
      </c>
      <c r="I10" s="32" t="n">
        <v>50000</v>
      </c>
      <c r="J10" s="32" t="n">
        <v>0.8</v>
      </c>
      <c r="K10" s="32" t="n">
        <v>0.9</v>
      </c>
      <c r="L10" s="32" t="n">
        <v>0.5</v>
      </c>
    </row>
    <row r="11" customFormat="false" ht="12.95" hidden="false" customHeight="true" outlineLevel="0" collapsed="false">
      <c r="A11" s="33" t="n">
        <v>6</v>
      </c>
      <c r="B11" s="33" t="s">
        <v>52</v>
      </c>
      <c r="C11" s="33" t="s">
        <v>43</v>
      </c>
      <c r="D11" s="32" t="s">
        <v>30</v>
      </c>
      <c r="E11" s="32" t="s">
        <v>125</v>
      </c>
      <c r="F11" s="32" t="n">
        <v>50</v>
      </c>
      <c r="G11" s="32" t="n">
        <v>30000</v>
      </c>
      <c r="H11" s="32" t="n">
        <v>35000</v>
      </c>
      <c r="I11" s="32" t="n">
        <v>50000</v>
      </c>
      <c r="J11" s="32" t="n">
        <v>0.8</v>
      </c>
      <c r="K11" s="32" t="n">
        <v>0.9</v>
      </c>
      <c r="L11" s="32" t="n">
        <v>0.5</v>
      </c>
    </row>
    <row r="12" customFormat="false" ht="12.95" hidden="false" customHeight="true" outlineLevel="0" collapsed="false">
      <c r="A12" s="33" t="n">
        <v>7</v>
      </c>
      <c r="B12" s="33" t="s">
        <v>54</v>
      </c>
      <c r="C12" s="33" t="s">
        <v>43</v>
      </c>
      <c r="D12" s="32" t="s">
        <v>30</v>
      </c>
      <c r="E12" s="32" t="s">
        <v>125</v>
      </c>
      <c r="F12" s="32" t="n">
        <v>1100</v>
      </c>
      <c r="G12" s="32" t="n">
        <v>30000</v>
      </c>
      <c r="H12" s="32" t="n">
        <v>35000</v>
      </c>
      <c r="I12" s="32" t="n">
        <v>50000</v>
      </c>
      <c r="J12" s="32" t="n">
        <v>0.8</v>
      </c>
      <c r="K12" s="32" t="n">
        <v>0.9</v>
      </c>
      <c r="L12" s="32" t="n">
        <v>0.5</v>
      </c>
    </row>
    <row r="13" customFormat="false" ht="102.75" hidden="false" customHeight="false" outlineLevel="0" collapsed="false">
      <c r="A13" s="33" t="n">
        <v>12</v>
      </c>
      <c r="B13" s="33" t="s">
        <v>83</v>
      </c>
      <c r="C13" s="33" t="s">
        <v>84</v>
      </c>
      <c r="D13" s="32" t="s">
        <v>22</v>
      </c>
      <c r="E13" s="32" t="s">
        <v>128</v>
      </c>
      <c r="F13" s="32" t="n">
        <v>67</v>
      </c>
      <c r="G13" s="32" t="s">
        <v>128</v>
      </c>
      <c r="H13" s="32" t="s">
        <v>128</v>
      </c>
      <c r="I13" s="32" t="s">
        <v>128</v>
      </c>
      <c r="J13" s="32" t="s">
        <v>128</v>
      </c>
      <c r="K13" s="32" t="s">
        <v>128</v>
      </c>
      <c r="L13" s="32" t="s">
        <v>128</v>
      </c>
      <c r="N13" s="32" t="s">
        <v>129</v>
      </c>
    </row>
    <row r="14" customFormat="false" ht="12.95" hidden="false" customHeight="true" outlineLevel="0" collapsed="false">
      <c r="A14" s="33" t="n">
        <v>14</v>
      </c>
      <c r="B14" s="33" t="s">
        <v>95</v>
      </c>
      <c r="C14" s="33" t="s">
        <v>96</v>
      </c>
      <c r="D14" s="32" t="s">
        <v>22</v>
      </c>
      <c r="E14" s="32" t="s">
        <v>128</v>
      </c>
      <c r="F14" s="32" t="s">
        <v>128</v>
      </c>
      <c r="G14" s="32" t="s">
        <v>128</v>
      </c>
      <c r="H14" s="32" t="s">
        <v>128</v>
      </c>
      <c r="I14" s="32" t="s">
        <v>128</v>
      </c>
      <c r="J14" s="32" t="s">
        <v>128</v>
      </c>
      <c r="K14" s="32" t="s">
        <v>128</v>
      </c>
      <c r="L14" s="32" t="s">
        <v>128</v>
      </c>
    </row>
    <row r="15" customFormat="false" ht="15" hidden="false" customHeight="true" outlineLevel="0" collapsed="false">
      <c r="A15" s="33" t="n">
        <v>2</v>
      </c>
      <c r="B15" s="33" t="s">
        <v>27</v>
      </c>
      <c r="C15" s="33" t="s">
        <v>28</v>
      </c>
      <c r="D15" s="32" t="s">
        <v>30</v>
      </c>
      <c r="E15" s="32" t="s">
        <v>128</v>
      </c>
      <c r="F15" s="32" t="s">
        <v>128</v>
      </c>
      <c r="G15" s="32" t="s">
        <v>128</v>
      </c>
      <c r="H15" s="32" t="s">
        <v>128</v>
      </c>
      <c r="I15" s="32" t="s">
        <v>128</v>
      </c>
      <c r="J15" s="32" t="s">
        <v>128</v>
      </c>
      <c r="K15" s="32" t="s">
        <v>128</v>
      </c>
      <c r="L15" s="32" t="s">
        <v>128</v>
      </c>
      <c r="N15" s="32" t="s">
        <v>130</v>
      </c>
    </row>
    <row r="16" customFormat="false" ht="20.25" hidden="false" customHeight="true" outlineLevel="0" collapsed="false">
      <c r="A16" s="33" t="n">
        <v>8</v>
      </c>
      <c r="B16" s="33" t="s">
        <v>56</v>
      </c>
      <c r="C16" s="33" t="s">
        <v>57</v>
      </c>
      <c r="D16" s="32" t="s">
        <v>30</v>
      </c>
      <c r="E16" s="32" t="s">
        <v>128</v>
      </c>
      <c r="F16" s="32" t="s">
        <v>128</v>
      </c>
      <c r="G16" s="32" t="s">
        <v>128</v>
      </c>
      <c r="H16" s="32" t="s">
        <v>128</v>
      </c>
      <c r="I16" s="32" t="s">
        <v>128</v>
      </c>
      <c r="J16" s="32" t="s">
        <v>128</v>
      </c>
      <c r="K16" s="32" t="s">
        <v>128</v>
      </c>
      <c r="L16" s="32" t="s">
        <v>128</v>
      </c>
      <c r="N16" s="32" t="s">
        <v>130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2019-02-01T18:01:20Z</dcterms:created>
  <dc:creator>Kindopp, Jason@DWR</dc:creator>
  <dc:description/>
  <dc:language>en-US</dc:language>
  <cp:lastModifiedBy/>
  <dcterms:modified xsi:type="dcterms:W3CDTF">2019-09-11T13:28:23Z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