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cain/Documents/Git/R2R/DSMhabitat/data-raw/watershed/american/data/"/>
    </mc:Choice>
  </mc:AlternateContent>
  <xr:revisionPtr revIDLastSave="0" documentId="8_{513739ED-5F31-E742-94E7-B9BD7CA1E225}" xr6:coauthVersionLast="47" xr6:coauthVersionMax="47" xr10:uidLastSave="{00000000-0000-0000-0000-000000000000}"/>
  <bookViews>
    <workbookView xWindow="1200" yWindow="500" windowWidth="21940" windowHeight="13180" activeTab="3" xr2:uid="{00000000-000D-0000-FFFF-FFFF00000000}"/>
  </bookViews>
  <sheets>
    <sheet name="zonal_statistics_WUA" sheetId="1" r:id="rId1"/>
    <sheet name="Channel" sheetId="2" r:id="rId2"/>
    <sheet name="Floodplain" sheetId="3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6" i="1" s="1"/>
  <c r="E26" i="1"/>
  <c r="E27" i="1"/>
  <c r="E28" i="1"/>
  <c r="E29" i="1"/>
  <c r="E30" i="1"/>
  <c r="E31" i="1"/>
  <c r="E32" i="1"/>
  <c r="E33" i="1"/>
  <c r="E54" i="1" s="1"/>
  <c r="E34" i="1"/>
  <c r="E35" i="1"/>
  <c r="E36" i="1"/>
  <c r="E37" i="1"/>
  <c r="E38" i="1"/>
  <c r="E39" i="1"/>
  <c r="E40" i="1"/>
  <c r="E41" i="1"/>
  <c r="E42" i="1"/>
  <c r="E43" i="1"/>
  <c r="E2" i="1"/>
  <c r="C2" i="1"/>
  <c r="E53" i="1" l="1"/>
  <c r="E62" i="1"/>
  <c r="E63" i="1"/>
  <c r="E55" i="1"/>
  <c r="E47" i="1"/>
  <c r="E50" i="1"/>
  <c r="E58" i="1"/>
  <c r="E59" i="1"/>
  <c r="E51" i="1"/>
  <c r="E57" i="1"/>
  <c r="E49" i="1"/>
  <c r="E64" i="1"/>
  <c r="E56" i="1"/>
  <c r="E48" i="1"/>
  <c r="E61" i="1"/>
  <c r="E45" i="1"/>
  <c r="E60" i="1"/>
  <c r="E52" i="1"/>
  <c r="E44" i="1"/>
</calcChain>
</file>

<file path=xl/sharedStrings.xml><?xml version="1.0" encoding="utf-8"?>
<sst xmlns="http://schemas.openxmlformats.org/spreadsheetml/2006/main" count="74" uniqueCount="10">
  <si>
    <t>OBJECTID</t>
  </si>
  <si>
    <t>WUA</t>
  </si>
  <si>
    <t>SUM</t>
  </si>
  <si>
    <t>Zone</t>
  </si>
  <si>
    <t>Total</t>
  </si>
  <si>
    <t>N/A</t>
  </si>
  <si>
    <t>Flow (cfs)</t>
  </si>
  <si>
    <t>Channel WUA (ac)</t>
  </si>
  <si>
    <t>Non-channel WUA (ac)</t>
  </si>
  <si>
    <t>Combined WUA (ac)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</si>
</sst>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LAR Salmonid Juvenile Rearing</a:t>
            </a:r>
            <a:r>
              <a:rPr lang="en-US" b="1" baseline="0">
                <a:solidFill>
                  <a:sysClr val="windowText" lastClr="000000"/>
                </a:solidFill>
              </a:rPr>
              <a:t> </a:t>
            </a:r>
            <a:r>
              <a:rPr lang="en-US" b="1">
                <a:solidFill>
                  <a:sysClr val="windowText" lastClr="000000"/>
                </a:solidFill>
              </a:rPr>
              <a:t>Habitat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644919385077"/>
          <c:y val="0.10501399825021872"/>
          <c:w val="0.84369172603424569"/>
          <c:h val="0.76903215223097121"/>
        </c:manualLayout>
      </c:layout>
      <c:scatterChart>
        <c:scatterStyle val="lineMarker"/>
        <c:varyColors val="0"/>
        <c:ser>
          <c:idx val="0"/>
          <c:order val="0"/>
          <c:tx>
            <c:strRef>
              <c:f>zonal_statistics_WUA!$C$2</c:f>
              <c:strCache>
                <c:ptCount val="1"/>
                <c:pt idx="0">
                  <c:v>Channel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zonal_statistics_WUA!$A$23:$A$43</c:f>
              <c:numCache>
                <c:formatCode>#,##0</c:formatCode>
                <c:ptCount val="21"/>
                <c:pt idx="0">
                  <c:v>500</c:v>
                </c:pt>
                <c:pt idx="1">
                  <c:v>800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2750</c:v>
                </c:pt>
                <c:pt idx="8">
                  <c:v>3500</c:v>
                </c:pt>
                <c:pt idx="9">
                  <c:v>4500</c:v>
                </c:pt>
                <c:pt idx="10">
                  <c:v>5500</c:v>
                </c:pt>
                <c:pt idx="11">
                  <c:v>6500</c:v>
                </c:pt>
                <c:pt idx="12">
                  <c:v>7500</c:v>
                </c:pt>
                <c:pt idx="13">
                  <c:v>8500</c:v>
                </c:pt>
                <c:pt idx="14">
                  <c:v>10000</c:v>
                </c:pt>
                <c:pt idx="15">
                  <c:v>15000</c:v>
                </c:pt>
                <c:pt idx="16">
                  <c:v>30000</c:v>
                </c:pt>
                <c:pt idx="17">
                  <c:v>45000</c:v>
                </c:pt>
                <c:pt idx="18">
                  <c:v>70000</c:v>
                </c:pt>
                <c:pt idx="19">
                  <c:v>115000</c:v>
                </c:pt>
                <c:pt idx="20">
                  <c:v>160000</c:v>
                </c:pt>
              </c:numCache>
            </c:numRef>
          </c:xVal>
          <c:yVal>
            <c:numRef>
              <c:f>zonal_statistics_WUA!$E$2:$E$22</c:f>
              <c:numCache>
                <c:formatCode>0</c:formatCode>
                <c:ptCount val="21"/>
                <c:pt idx="0">
                  <c:v>79.68931818181818</c:v>
                </c:pt>
                <c:pt idx="1">
                  <c:v>79.588946280991735</c:v>
                </c:pt>
                <c:pt idx="2">
                  <c:v>80.69588842975206</c:v>
                </c:pt>
                <c:pt idx="3">
                  <c:v>81.426712809917348</c:v>
                </c:pt>
                <c:pt idx="4">
                  <c:v>82.461095041322324</c:v>
                </c:pt>
                <c:pt idx="5">
                  <c:v>83.194665289256207</c:v>
                </c:pt>
                <c:pt idx="6">
                  <c:v>83.969028925619838</c:v>
                </c:pt>
                <c:pt idx="7">
                  <c:v>85.338107438016522</c:v>
                </c:pt>
                <c:pt idx="8">
                  <c:v>75.893962809917369</c:v>
                </c:pt>
                <c:pt idx="9">
                  <c:v>61.010167355371905</c:v>
                </c:pt>
                <c:pt idx="10">
                  <c:v>47.171092975206612</c:v>
                </c:pt>
                <c:pt idx="11">
                  <c:v>35.291690082644628</c:v>
                </c:pt>
                <c:pt idx="12">
                  <c:v>25.772336776859504</c:v>
                </c:pt>
                <c:pt idx="13">
                  <c:v>17.714997933884295</c:v>
                </c:pt>
                <c:pt idx="14">
                  <c:v>8.802572314049586</c:v>
                </c:pt>
                <c:pt idx="15">
                  <c:v>2.399809917355372</c:v>
                </c:pt>
                <c:pt idx="16">
                  <c:v>4.9272727272727267E-2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0-4B5E-A7FD-F2D6855BE816}"/>
            </c:ext>
          </c:extLst>
        </c:ser>
        <c:ser>
          <c:idx val="1"/>
          <c:order val="1"/>
          <c:tx>
            <c:strRef>
              <c:f>zonal_statistics_WUA!$C$23</c:f>
              <c:strCache>
                <c:ptCount val="1"/>
                <c:pt idx="0">
                  <c:v>Floodplain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zonal_statistics_WUA!$A$23:$A$43</c:f>
              <c:numCache>
                <c:formatCode>#,##0</c:formatCode>
                <c:ptCount val="21"/>
                <c:pt idx="0">
                  <c:v>500</c:v>
                </c:pt>
                <c:pt idx="1">
                  <c:v>800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2750</c:v>
                </c:pt>
                <c:pt idx="8">
                  <c:v>3500</c:v>
                </c:pt>
                <c:pt idx="9">
                  <c:v>4500</c:v>
                </c:pt>
                <c:pt idx="10">
                  <c:v>5500</c:v>
                </c:pt>
                <c:pt idx="11">
                  <c:v>6500</c:v>
                </c:pt>
                <c:pt idx="12">
                  <c:v>7500</c:v>
                </c:pt>
                <c:pt idx="13">
                  <c:v>8500</c:v>
                </c:pt>
                <c:pt idx="14">
                  <c:v>10000</c:v>
                </c:pt>
                <c:pt idx="15">
                  <c:v>15000</c:v>
                </c:pt>
                <c:pt idx="16">
                  <c:v>30000</c:v>
                </c:pt>
                <c:pt idx="17">
                  <c:v>45000</c:v>
                </c:pt>
                <c:pt idx="18">
                  <c:v>70000</c:v>
                </c:pt>
                <c:pt idx="19">
                  <c:v>115000</c:v>
                </c:pt>
                <c:pt idx="20">
                  <c:v>160000</c:v>
                </c:pt>
              </c:numCache>
            </c:numRef>
          </c:xVal>
          <c:yVal>
            <c:numRef>
              <c:f>zonal_statistics_WUA!$E$23:$E$43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6.5547148760330582</c:v>
                </c:pt>
                <c:pt idx="8">
                  <c:v>21.958663223140494</c:v>
                </c:pt>
                <c:pt idx="9">
                  <c:v>42.517512396694215</c:v>
                </c:pt>
                <c:pt idx="10">
                  <c:v>60.839258264462806</c:v>
                </c:pt>
                <c:pt idx="11">
                  <c:v>78.389049586776864</c:v>
                </c:pt>
                <c:pt idx="12">
                  <c:v>94.681400826446279</c:v>
                </c:pt>
                <c:pt idx="13">
                  <c:v>108.49013223140496</c:v>
                </c:pt>
                <c:pt idx="14">
                  <c:v>125.3333367768595</c:v>
                </c:pt>
                <c:pt idx="15">
                  <c:v>149.41732231404958</c:v>
                </c:pt>
                <c:pt idx="16">
                  <c:v>188.34995661157026</c:v>
                </c:pt>
                <c:pt idx="17">
                  <c:v>261.233770661157</c:v>
                </c:pt>
                <c:pt idx="18">
                  <c:v>467.01717561983469</c:v>
                </c:pt>
                <c:pt idx="19">
                  <c:v>388.34083677685948</c:v>
                </c:pt>
                <c:pt idx="20">
                  <c:v>449.64963842975209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20-4B5E-A7FD-F2D6855BE816}"/>
            </c:ext>
          </c:extLst>
        </c:ser>
        <c:ser>
          <c:idx val="2"/>
          <c:order val="2"/>
          <c:tx>
            <c:v>Total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zonal_statistics_WUA!$A$44:$A$64</c:f>
              <c:numCache>
                <c:formatCode>#,##0</c:formatCode>
                <c:ptCount val="21"/>
                <c:pt idx="0">
                  <c:v>500</c:v>
                </c:pt>
                <c:pt idx="1">
                  <c:v>800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2750</c:v>
                </c:pt>
                <c:pt idx="8">
                  <c:v>3500</c:v>
                </c:pt>
                <c:pt idx="9">
                  <c:v>4500</c:v>
                </c:pt>
                <c:pt idx="10">
                  <c:v>5500</c:v>
                </c:pt>
                <c:pt idx="11">
                  <c:v>6500</c:v>
                </c:pt>
                <c:pt idx="12">
                  <c:v>7500</c:v>
                </c:pt>
                <c:pt idx="13">
                  <c:v>8500</c:v>
                </c:pt>
                <c:pt idx="14">
                  <c:v>10000</c:v>
                </c:pt>
                <c:pt idx="15">
                  <c:v>15000</c:v>
                </c:pt>
                <c:pt idx="16">
                  <c:v>30000</c:v>
                </c:pt>
                <c:pt idx="17">
                  <c:v>45000</c:v>
                </c:pt>
                <c:pt idx="18">
                  <c:v>70000</c:v>
                </c:pt>
                <c:pt idx="19">
                  <c:v>115000</c:v>
                </c:pt>
                <c:pt idx="20">
                  <c:v>160000</c:v>
                </c:pt>
              </c:numCache>
            </c:numRef>
          </c:xVal>
          <c:yVal>
            <c:numRef>
              <c:f>zonal_statistics_WUA!$E$44:$E$64</c:f>
              <c:numCache>
                <c:formatCode>0</c:formatCode>
                <c:ptCount val="21"/>
                <c:pt idx="0">
                  <c:v>79.68931818181818</c:v>
                </c:pt>
                <c:pt idx="1">
                  <c:v>79.588946280991735</c:v>
                </c:pt>
                <c:pt idx="2">
                  <c:v>80.69588842975206</c:v>
                </c:pt>
                <c:pt idx="3">
                  <c:v>81.426712809917348</c:v>
                </c:pt>
                <c:pt idx="4">
                  <c:v>82.461095041322324</c:v>
                </c:pt>
                <c:pt idx="5">
                  <c:v>83.194665289256207</c:v>
                </c:pt>
                <c:pt idx="6">
                  <c:v>83.969028925619838</c:v>
                </c:pt>
                <c:pt idx="7">
                  <c:v>91.892822314049582</c:v>
                </c:pt>
                <c:pt idx="8">
                  <c:v>97.852626033057859</c:v>
                </c:pt>
                <c:pt idx="9">
                  <c:v>103.52767975206612</c:v>
                </c:pt>
                <c:pt idx="10">
                  <c:v>108.01035123966942</c:v>
                </c:pt>
                <c:pt idx="11">
                  <c:v>113.68073966942148</c:v>
                </c:pt>
                <c:pt idx="12">
                  <c:v>120.45373760330578</c:v>
                </c:pt>
                <c:pt idx="13">
                  <c:v>126.20513016528925</c:v>
                </c:pt>
                <c:pt idx="14">
                  <c:v>134.13590909090908</c:v>
                </c:pt>
                <c:pt idx="15">
                  <c:v>151.81713223140497</c:v>
                </c:pt>
                <c:pt idx="16">
                  <c:v>188.39922933884299</c:v>
                </c:pt>
                <c:pt idx="17">
                  <c:v>261.233770661157</c:v>
                </c:pt>
                <c:pt idx="18">
                  <c:v>467.01717561983469</c:v>
                </c:pt>
                <c:pt idx="19">
                  <c:v>388.34083677685948</c:v>
                </c:pt>
                <c:pt idx="20">
                  <c:v>449.64963842975209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20-4B5E-A7FD-F2D6855BE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3152"/>
        <c:axId val="424420352"/>
      </c:scatterChart>
      <c:valAx>
        <c:axId val="2693152"/>
        <c:scaling>
          <c:orientation val="minMax"/>
          <c:max val="16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Lower American River Discharge (cfs)</a:t>
                </a:r>
              </a:p>
            </c:rich>
          </c:tx>
          <c:layout>
            <c:manualLayout>
              <c:xMode val="edge"/>
              <c:yMode val="edge"/>
              <c:x val="0.34813992000999883"/>
              <c:y val="0.934236001749781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20352"/>
        <c:crosses val="autoZero"/>
        <c:crossBetween val="midCat"/>
        <c:majorUnit val="20000"/>
        <c:minorUnit val="5000"/>
      </c:valAx>
      <c:valAx>
        <c:axId val="42442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Weighted-Usable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-Area (WUA, acres)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99159480064996"/>
          <c:y val="0.4937007874015748"/>
          <c:w val="0.15043697662792149"/>
          <c:h val="0.1406259842519685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LAR Salmonid Juvenile Rearing</a:t>
            </a:r>
            <a:r>
              <a:rPr lang="en-US" b="1" baseline="0">
                <a:solidFill>
                  <a:sysClr val="windowText" lastClr="000000"/>
                </a:solidFill>
              </a:rPr>
              <a:t> </a:t>
            </a:r>
            <a:r>
              <a:rPr lang="en-US" b="1">
                <a:solidFill>
                  <a:sysClr val="windowText" lastClr="000000"/>
                </a:solidFill>
              </a:rPr>
              <a:t>Habitat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644919385077"/>
          <c:y val="0.10501399825021872"/>
          <c:w val="0.84369172603424569"/>
          <c:h val="0.76903215223097121"/>
        </c:manualLayout>
      </c:layout>
      <c:scatterChart>
        <c:scatterStyle val="lineMarker"/>
        <c:varyColors val="0"/>
        <c:ser>
          <c:idx val="0"/>
          <c:order val="0"/>
          <c:tx>
            <c:v>Channel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Channel!$A$2:$A$22</c:f>
              <c:numCache>
                <c:formatCode>General</c:formatCode>
                <c:ptCount val="21"/>
                <c:pt idx="0">
                  <c:v>500</c:v>
                </c:pt>
                <c:pt idx="1">
                  <c:v>800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2750</c:v>
                </c:pt>
                <c:pt idx="8">
                  <c:v>3500</c:v>
                </c:pt>
                <c:pt idx="9">
                  <c:v>4500</c:v>
                </c:pt>
                <c:pt idx="10">
                  <c:v>5500</c:v>
                </c:pt>
                <c:pt idx="11">
                  <c:v>6500</c:v>
                </c:pt>
                <c:pt idx="12">
                  <c:v>7500</c:v>
                </c:pt>
                <c:pt idx="13">
                  <c:v>8500</c:v>
                </c:pt>
                <c:pt idx="14">
                  <c:v>10000</c:v>
                </c:pt>
                <c:pt idx="15">
                  <c:v>15000</c:v>
                </c:pt>
                <c:pt idx="16">
                  <c:v>30000</c:v>
                </c:pt>
                <c:pt idx="17">
                  <c:v>45000</c:v>
                </c:pt>
                <c:pt idx="18">
                  <c:v>70000</c:v>
                </c:pt>
                <c:pt idx="19">
                  <c:v>115000</c:v>
                </c:pt>
                <c:pt idx="20">
                  <c:v>160000</c:v>
                </c:pt>
              </c:numCache>
            </c:numRef>
          </c:xVal>
          <c:yVal>
            <c:numRef>
              <c:f>Channel!$B$2:$B$22</c:f>
              <c:numCache>
                <c:formatCode>0.0</c:formatCode>
                <c:ptCount val="21"/>
                <c:pt idx="0">
                  <c:v>79.68931818181818</c:v>
                </c:pt>
                <c:pt idx="1">
                  <c:v>79.588946280991735</c:v>
                </c:pt>
                <c:pt idx="2">
                  <c:v>80.69588842975206</c:v>
                </c:pt>
                <c:pt idx="3">
                  <c:v>81.426712809917348</c:v>
                </c:pt>
                <c:pt idx="4">
                  <c:v>82.461095041322324</c:v>
                </c:pt>
                <c:pt idx="5">
                  <c:v>83.194665289256207</c:v>
                </c:pt>
                <c:pt idx="6">
                  <c:v>83.969028925619838</c:v>
                </c:pt>
                <c:pt idx="7">
                  <c:v>85.338107438016522</c:v>
                </c:pt>
                <c:pt idx="8">
                  <c:v>75.893962809917369</c:v>
                </c:pt>
                <c:pt idx="9">
                  <c:v>61.010167355371905</c:v>
                </c:pt>
                <c:pt idx="10">
                  <c:v>47.171092975206612</c:v>
                </c:pt>
                <c:pt idx="11">
                  <c:v>35.291690082644628</c:v>
                </c:pt>
                <c:pt idx="12">
                  <c:v>25.772336776859504</c:v>
                </c:pt>
                <c:pt idx="13">
                  <c:v>17.714997933884295</c:v>
                </c:pt>
                <c:pt idx="14">
                  <c:v>8.802572314049586</c:v>
                </c:pt>
                <c:pt idx="15">
                  <c:v>2.399809917355372</c:v>
                </c:pt>
                <c:pt idx="16">
                  <c:v>4.9272727272727267E-2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A-491E-9F58-C5372B5AA11E}"/>
            </c:ext>
          </c:extLst>
        </c:ser>
        <c:ser>
          <c:idx val="1"/>
          <c:order val="1"/>
          <c:tx>
            <c:v>Floodplain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Floodplain!$A$2:$A$22</c:f>
              <c:numCache>
                <c:formatCode>General</c:formatCode>
                <c:ptCount val="21"/>
                <c:pt idx="0" formatCode="#,##0">
                  <c:v>500</c:v>
                </c:pt>
                <c:pt idx="1">
                  <c:v>800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2750</c:v>
                </c:pt>
                <c:pt idx="8">
                  <c:v>3500</c:v>
                </c:pt>
                <c:pt idx="9">
                  <c:v>4500</c:v>
                </c:pt>
                <c:pt idx="10">
                  <c:v>5500</c:v>
                </c:pt>
                <c:pt idx="11">
                  <c:v>6500</c:v>
                </c:pt>
                <c:pt idx="12">
                  <c:v>7500</c:v>
                </c:pt>
                <c:pt idx="13">
                  <c:v>8500</c:v>
                </c:pt>
                <c:pt idx="14">
                  <c:v>10000</c:v>
                </c:pt>
                <c:pt idx="15">
                  <c:v>15000</c:v>
                </c:pt>
                <c:pt idx="16">
                  <c:v>30000</c:v>
                </c:pt>
                <c:pt idx="17">
                  <c:v>45000</c:v>
                </c:pt>
                <c:pt idx="18">
                  <c:v>70000</c:v>
                </c:pt>
                <c:pt idx="19">
                  <c:v>115000</c:v>
                </c:pt>
                <c:pt idx="20">
                  <c:v>160000</c:v>
                </c:pt>
              </c:numCache>
            </c:numRef>
          </c:xVal>
          <c:yVal>
            <c:numRef>
              <c:f>Floodplain!$B$2:$B$22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6.5547148760330582</c:v>
                </c:pt>
                <c:pt idx="8">
                  <c:v>21.958663223140494</c:v>
                </c:pt>
                <c:pt idx="9">
                  <c:v>42.517512396694215</c:v>
                </c:pt>
                <c:pt idx="10">
                  <c:v>60.839258264462806</c:v>
                </c:pt>
                <c:pt idx="11">
                  <c:v>78.389049586776864</c:v>
                </c:pt>
                <c:pt idx="12">
                  <c:v>94.681400826446279</c:v>
                </c:pt>
                <c:pt idx="13">
                  <c:v>108.49013223140496</c:v>
                </c:pt>
                <c:pt idx="14">
                  <c:v>125.3333367768595</c:v>
                </c:pt>
                <c:pt idx="15">
                  <c:v>149.41732231404958</c:v>
                </c:pt>
                <c:pt idx="16">
                  <c:v>188.34995661157026</c:v>
                </c:pt>
                <c:pt idx="17">
                  <c:v>261.233770661157</c:v>
                </c:pt>
                <c:pt idx="18">
                  <c:v>467.01717561983469</c:v>
                </c:pt>
                <c:pt idx="19">
                  <c:v>388.34083677685948</c:v>
                </c:pt>
                <c:pt idx="20">
                  <c:v>449.64963842975209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5A-491E-9F58-C5372B5AA11E}"/>
            </c:ext>
          </c:extLst>
        </c:ser>
        <c:ser>
          <c:idx val="2"/>
          <c:order val="2"/>
          <c:tx>
            <c:v>Total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Total!$A$2:$A$22</c:f>
              <c:numCache>
                <c:formatCode>#,##0</c:formatCode>
                <c:ptCount val="21"/>
                <c:pt idx="0">
                  <c:v>500</c:v>
                </c:pt>
                <c:pt idx="1">
                  <c:v>800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2750</c:v>
                </c:pt>
                <c:pt idx="8">
                  <c:v>3500</c:v>
                </c:pt>
                <c:pt idx="9">
                  <c:v>4500</c:v>
                </c:pt>
                <c:pt idx="10">
                  <c:v>5500</c:v>
                </c:pt>
                <c:pt idx="11">
                  <c:v>6500</c:v>
                </c:pt>
                <c:pt idx="12">
                  <c:v>7500</c:v>
                </c:pt>
                <c:pt idx="13">
                  <c:v>8500</c:v>
                </c:pt>
                <c:pt idx="14">
                  <c:v>10000</c:v>
                </c:pt>
                <c:pt idx="15">
                  <c:v>15000</c:v>
                </c:pt>
                <c:pt idx="16">
                  <c:v>30000</c:v>
                </c:pt>
                <c:pt idx="17">
                  <c:v>45000</c:v>
                </c:pt>
                <c:pt idx="18">
                  <c:v>70000</c:v>
                </c:pt>
                <c:pt idx="19">
                  <c:v>115000</c:v>
                </c:pt>
                <c:pt idx="20">
                  <c:v>160000</c:v>
                </c:pt>
              </c:numCache>
            </c:numRef>
          </c:xVal>
          <c:yVal>
            <c:numRef>
              <c:f>Total!$B$2:$B$22</c:f>
              <c:numCache>
                <c:formatCode>0</c:formatCode>
                <c:ptCount val="21"/>
                <c:pt idx="0">
                  <c:v>79.68931818181818</c:v>
                </c:pt>
                <c:pt idx="1">
                  <c:v>79.588946280991735</c:v>
                </c:pt>
                <c:pt idx="2">
                  <c:v>80.69588842975206</c:v>
                </c:pt>
                <c:pt idx="3">
                  <c:v>81.426712809917348</c:v>
                </c:pt>
                <c:pt idx="4">
                  <c:v>82.461095041322324</c:v>
                </c:pt>
                <c:pt idx="5">
                  <c:v>83.194665289256207</c:v>
                </c:pt>
                <c:pt idx="6">
                  <c:v>83.969028925619838</c:v>
                </c:pt>
                <c:pt idx="7">
                  <c:v>91.892822314049582</c:v>
                </c:pt>
                <c:pt idx="8">
                  <c:v>97.852626033057859</c:v>
                </c:pt>
                <c:pt idx="9">
                  <c:v>103.52767975206612</c:v>
                </c:pt>
                <c:pt idx="10">
                  <c:v>108.01035123966942</c:v>
                </c:pt>
                <c:pt idx="11">
                  <c:v>113.68073966942148</c:v>
                </c:pt>
                <c:pt idx="12">
                  <c:v>120.45373760330578</c:v>
                </c:pt>
                <c:pt idx="13">
                  <c:v>126.20513016528925</c:v>
                </c:pt>
                <c:pt idx="14">
                  <c:v>134.13590909090908</c:v>
                </c:pt>
                <c:pt idx="15">
                  <c:v>151.81713223140497</c:v>
                </c:pt>
                <c:pt idx="16">
                  <c:v>188.39922933884299</c:v>
                </c:pt>
                <c:pt idx="17">
                  <c:v>261.233770661157</c:v>
                </c:pt>
                <c:pt idx="18">
                  <c:v>467.01717561983469</c:v>
                </c:pt>
                <c:pt idx="19">
                  <c:v>388.34083677685948</c:v>
                </c:pt>
                <c:pt idx="20">
                  <c:v>449.64963842975209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5A-491E-9F58-C5372B5A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3152"/>
        <c:axId val="424420352"/>
      </c:scatterChart>
      <c:valAx>
        <c:axId val="2693152"/>
        <c:scaling>
          <c:orientation val="minMax"/>
          <c:max val="16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Lower American River Discharge (cfs)</a:t>
                </a:r>
              </a:p>
            </c:rich>
          </c:tx>
          <c:layout>
            <c:manualLayout>
              <c:xMode val="edge"/>
              <c:yMode val="edge"/>
              <c:x val="0.34813992000999883"/>
              <c:y val="0.934236001749781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20352"/>
        <c:crosses val="autoZero"/>
        <c:crossBetween val="midCat"/>
        <c:majorUnit val="20000"/>
        <c:minorUnit val="5000"/>
      </c:valAx>
      <c:valAx>
        <c:axId val="42442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Weighted-Usable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-Area (WUA, acres)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99159480064996"/>
          <c:y val="0.4937007874015748"/>
          <c:w val="0.15043697662792149"/>
          <c:h val="0.1406259842519685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</xdr:row>
      <xdr:rowOff>38100</xdr:rowOff>
    </xdr:from>
    <xdr:to>
      <xdr:col>15</xdr:col>
      <xdr:colOff>464820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3A996-3527-4FA7-93AC-5455C6CB9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304800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C6737-0E5F-4732-8102-72F854EF4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opLeftCell="A30" workbookViewId="0">
      <selection activeCell="E53" sqref="E53"/>
    </sheetView>
  </sheetViews>
  <sheetFormatPr baseColWidth="10" defaultColWidth="8.83203125" defaultRowHeight="15" x14ac:dyDescent="0.2"/>
  <cols>
    <col min="1" max="1" width="8.83203125" bestFit="1" customWidth="1"/>
    <col min="4" max="4" width="10" bestFit="1" customWidth="1"/>
    <col min="5" max="5" width="5.5" bestFit="1" customWidth="1"/>
  </cols>
  <sheetData>
    <row r="1" spans="1:5" x14ac:dyDescent="0.2">
      <c r="A1" t="s">
        <v>6</v>
      </c>
      <c r="B1" t="s">
        <v>0</v>
      </c>
      <c r="C1" t="s">
        <v>3</v>
      </c>
      <c r="D1" t="s">
        <v>2</v>
      </c>
      <c r="E1" t="s">
        <v>1</v>
      </c>
    </row>
    <row r="2" spans="1:5" x14ac:dyDescent="0.2">
      <c r="A2" s="3">
        <v>500</v>
      </c>
      <c r="B2">
        <v>2</v>
      </c>
      <c r="C2" t="str">
        <f>IF(B2=1,"Floodplain","Channel")</f>
        <v>Channel</v>
      </c>
      <c r="D2" s="2">
        <v>38569630</v>
      </c>
      <c r="E2" s="2">
        <f t="shared" ref="E2:E43" si="0">D2/100*9/43560</f>
        <v>79.68931818181818</v>
      </c>
    </row>
    <row r="3" spans="1:5" x14ac:dyDescent="0.2">
      <c r="A3" s="3">
        <v>800</v>
      </c>
      <c r="B3">
        <v>2</v>
      </c>
      <c r="C3" t="str">
        <f t="shared" ref="C3:C43" si="1">IF(B3=1,"Floodplain","Channel")</f>
        <v>Channel</v>
      </c>
      <c r="D3" s="2">
        <v>38521050</v>
      </c>
      <c r="E3" s="2">
        <f t="shared" si="0"/>
        <v>79.588946280991735</v>
      </c>
    </row>
    <row r="4" spans="1:5" x14ac:dyDescent="0.2">
      <c r="A4" s="3">
        <v>1000</v>
      </c>
      <c r="B4">
        <v>2</v>
      </c>
      <c r="C4" t="str">
        <f t="shared" si="1"/>
        <v>Channel</v>
      </c>
      <c r="D4" s="2">
        <v>39056810</v>
      </c>
      <c r="E4" s="2">
        <f t="shared" si="0"/>
        <v>80.69588842975206</v>
      </c>
    </row>
    <row r="5" spans="1:5" x14ac:dyDescent="0.2">
      <c r="A5" s="3">
        <v>1250</v>
      </c>
      <c r="B5">
        <v>2</v>
      </c>
      <c r="C5" t="str">
        <f t="shared" si="1"/>
        <v>Channel</v>
      </c>
      <c r="D5" s="2">
        <v>39410529</v>
      </c>
      <c r="E5" s="2">
        <f t="shared" si="0"/>
        <v>81.426712809917348</v>
      </c>
    </row>
    <row r="6" spans="1:5" x14ac:dyDescent="0.2">
      <c r="A6" s="3">
        <v>1500</v>
      </c>
      <c r="B6">
        <v>2</v>
      </c>
      <c r="C6" t="str">
        <f t="shared" si="1"/>
        <v>Channel</v>
      </c>
      <c r="D6" s="2">
        <v>39911170</v>
      </c>
      <c r="E6" s="2">
        <f t="shared" si="0"/>
        <v>82.461095041322324</v>
      </c>
    </row>
    <row r="7" spans="1:5" x14ac:dyDescent="0.2">
      <c r="A7" s="3">
        <v>1750</v>
      </c>
      <c r="B7">
        <v>2</v>
      </c>
      <c r="C7" t="str">
        <f t="shared" si="1"/>
        <v>Channel</v>
      </c>
      <c r="D7" s="2">
        <v>40266218</v>
      </c>
      <c r="E7" s="2">
        <f t="shared" si="0"/>
        <v>83.194665289256207</v>
      </c>
    </row>
    <row r="8" spans="1:5" x14ac:dyDescent="0.2">
      <c r="A8" s="3">
        <v>2000</v>
      </c>
      <c r="B8">
        <v>2</v>
      </c>
      <c r="C8" t="str">
        <f t="shared" si="1"/>
        <v>Channel</v>
      </c>
      <c r="D8" s="2">
        <v>40641010</v>
      </c>
      <c r="E8" s="2">
        <f t="shared" si="0"/>
        <v>83.969028925619838</v>
      </c>
    </row>
    <row r="9" spans="1:5" x14ac:dyDescent="0.2">
      <c r="A9" s="3">
        <v>2750</v>
      </c>
      <c r="B9">
        <v>2</v>
      </c>
      <c r="C9" t="str">
        <f t="shared" si="1"/>
        <v>Channel</v>
      </c>
      <c r="D9" s="2">
        <v>41303644</v>
      </c>
      <c r="E9" s="2">
        <f t="shared" si="0"/>
        <v>85.338107438016522</v>
      </c>
    </row>
    <row r="10" spans="1:5" x14ac:dyDescent="0.2">
      <c r="A10" s="3">
        <v>3500</v>
      </c>
      <c r="B10">
        <v>2</v>
      </c>
      <c r="C10" t="str">
        <f t="shared" si="1"/>
        <v>Channel</v>
      </c>
      <c r="D10" s="2">
        <v>36732678</v>
      </c>
      <c r="E10" s="2">
        <f t="shared" si="0"/>
        <v>75.893962809917369</v>
      </c>
    </row>
    <row r="11" spans="1:5" x14ac:dyDescent="0.2">
      <c r="A11" s="3">
        <v>4500</v>
      </c>
      <c r="B11">
        <v>2</v>
      </c>
      <c r="C11" t="str">
        <f t="shared" si="1"/>
        <v>Channel</v>
      </c>
      <c r="D11" s="2">
        <v>29528921</v>
      </c>
      <c r="E11" s="2">
        <f t="shared" si="0"/>
        <v>61.010167355371905</v>
      </c>
    </row>
    <row r="12" spans="1:5" x14ac:dyDescent="0.2">
      <c r="A12" s="3">
        <v>5500</v>
      </c>
      <c r="B12">
        <v>2</v>
      </c>
      <c r="C12" t="str">
        <f t="shared" si="1"/>
        <v>Channel</v>
      </c>
      <c r="D12" s="2">
        <v>22830809</v>
      </c>
      <c r="E12" s="2">
        <f t="shared" si="0"/>
        <v>47.171092975206612</v>
      </c>
    </row>
    <row r="13" spans="1:5" x14ac:dyDescent="0.2">
      <c r="A13" s="3">
        <v>6500</v>
      </c>
      <c r="B13">
        <v>2</v>
      </c>
      <c r="C13" t="str">
        <f t="shared" si="1"/>
        <v>Channel</v>
      </c>
      <c r="D13" s="2">
        <v>17081178</v>
      </c>
      <c r="E13" s="2">
        <f t="shared" si="0"/>
        <v>35.291690082644628</v>
      </c>
    </row>
    <row r="14" spans="1:5" x14ac:dyDescent="0.2">
      <c r="A14" s="3">
        <v>7500</v>
      </c>
      <c r="B14">
        <v>2</v>
      </c>
      <c r="C14" t="str">
        <f t="shared" si="1"/>
        <v>Channel</v>
      </c>
      <c r="D14" s="2">
        <v>12473811</v>
      </c>
      <c r="E14" s="2">
        <f t="shared" si="0"/>
        <v>25.772336776859504</v>
      </c>
    </row>
    <row r="15" spans="1:5" x14ac:dyDescent="0.2">
      <c r="A15" s="3">
        <v>8500</v>
      </c>
      <c r="B15">
        <v>2</v>
      </c>
      <c r="C15" t="str">
        <f t="shared" si="1"/>
        <v>Channel</v>
      </c>
      <c r="D15" s="2">
        <v>8574059</v>
      </c>
      <c r="E15" s="2">
        <f t="shared" si="0"/>
        <v>17.714997933884295</v>
      </c>
    </row>
    <row r="16" spans="1:5" x14ac:dyDescent="0.2">
      <c r="A16" s="3">
        <v>10000</v>
      </c>
      <c r="B16">
        <v>2</v>
      </c>
      <c r="C16" t="str">
        <f t="shared" si="1"/>
        <v>Channel</v>
      </c>
      <c r="D16" s="2">
        <v>4260445</v>
      </c>
      <c r="E16" s="2">
        <f t="shared" si="0"/>
        <v>8.802572314049586</v>
      </c>
    </row>
    <row r="17" spans="1:5" x14ac:dyDescent="0.2">
      <c r="A17" s="3">
        <v>15000</v>
      </c>
      <c r="B17">
        <v>2</v>
      </c>
      <c r="C17" t="str">
        <f t="shared" si="1"/>
        <v>Channel</v>
      </c>
      <c r="D17" s="2">
        <v>1161508</v>
      </c>
      <c r="E17" s="2">
        <f t="shared" si="0"/>
        <v>2.399809917355372</v>
      </c>
    </row>
    <row r="18" spans="1:5" x14ac:dyDescent="0.2">
      <c r="A18" s="3">
        <v>30000</v>
      </c>
      <c r="B18">
        <v>2</v>
      </c>
      <c r="C18" t="str">
        <f t="shared" si="1"/>
        <v>Channel</v>
      </c>
      <c r="D18" s="2">
        <v>23848</v>
      </c>
      <c r="E18" s="2">
        <f t="shared" si="0"/>
        <v>4.9272727272727267E-2</v>
      </c>
    </row>
    <row r="19" spans="1:5" x14ac:dyDescent="0.2">
      <c r="A19" s="3">
        <v>45000</v>
      </c>
      <c r="B19">
        <v>2</v>
      </c>
      <c r="C19" t="str">
        <f t="shared" si="1"/>
        <v>Channel</v>
      </c>
      <c r="D19" s="2">
        <v>0</v>
      </c>
      <c r="E19" s="2">
        <f t="shared" si="0"/>
        <v>0</v>
      </c>
    </row>
    <row r="20" spans="1:5" x14ac:dyDescent="0.2">
      <c r="A20" s="3">
        <v>70000</v>
      </c>
      <c r="B20">
        <v>2</v>
      </c>
      <c r="C20" t="str">
        <f t="shared" si="1"/>
        <v>Channel</v>
      </c>
      <c r="D20" s="2">
        <v>0</v>
      </c>
      <c r="E20" s="2">
        <f t="shared" si="0"/>
        <v>0</v>
      </c>
    </row>
    <row r="21" spans="1:5" x14ac:dyDescent="0.2">
      <c r="A21" s="3">
        <v>115000</v>
      </c>
      <c r="B21">
        <v>2</v>
      </c>
      <c r="C21" t="str">
        <f t="shared" si="1"/>
        <v>Channel</v>
      </c>
      <c r="D21" s="2">
        <v>0</v>
      </c>
      <c r="E21" s="2">
        <f t="shared" si="0"/>
        <v>0</v>
      </c>
    </row>
    <row r="22" spans="1:5" x14ac:dyDescent="0.2">
      <c r="A22" s="3">
        <v>160000</v>
      </c>
      <c r="B22">
        <v>2</v>
      </c>
      <c r="C22" t="str">
        <f t="shared" si="1"/>
        <v>Channel</v>
      </c>
      <c r="D22" s="2">
        <v>0</v>
      </c>
      <c r="E22" s="2">
        <f t="shared" si="0"/>
        <v>0</v>
      </c>
    </row>
    <row r="23" spans="1:5" x14ac:dyDescent="0.2">
      <c r="A23" s="3">
        <v>500</v>
      </c>
      <c r="B23">
        <v>1</v>
      </c>
      <c r="C23" t="str">
        <f t="shared" si="1"/>
        <v>Floodplain</v>
      </c>
      <c r="D23" s="2">
        <v>0</v>
      </c>
      <c r="E23" s="2">
        <f t="shared" si="0"/>
        <v>0</v>
      </c>
    </row>
    <row r="24" spans="1:5" x14ac:dyDescent="0.2">
      <c r="A24" s="3">
        <v>800</v>
      </c>
      <c r="B24">
        <v>1</v>
      </c>
      <c r="C24" t="str">
        <f t="shared" si="1"/>
        <v>Floodplain</v>
      </c>
      <c r="D24" s="2">
        <v>0</v>
      </c>
      <c r="E24" s="2">
        <f t="shared" si="0"/>
        <v>0</v>
      </c>
    </row>
    <row r="25" spans="1:5" x14ac:dyDescent="0.2">
      <c r="A25" s="3">
        <v>1000</v>
      </c>
      <c r="B25">
        <v>1</v>
      </c>
      <c r="C25" t="str">
        <f t="shared" si="1"/>
        <v>Floodplain</v>
      </c>
      <c r="D25" s="2">
        <v>0</v>
      </c>
      <c r="E25" s="2">
        <f t="shared" si="0"/>
        <v>0</v>
      </c>
    </row>
    <row r="26" spans="1:5" x14ac:dyDescent="0.2">
      <c r="A26" s="3">
        <v>1250</v>
      </c>
      <c r="B26">
        <v>1</v>
      </c>
      <c r="C26" t="str">
        <f t="shared" si="1"/>
        <v>Floodplain</v>
      </c>
      <c r="D26" s="2">
        <v>0</v>
      </c>
      <c r="E26" s="2">
        <f t="shared" si="0"/>
        <v>0</v>
      </c>
    </row>
    <row r="27" spans="1:5" x14ac:dyDescent="0.2">
      <c r="A27" s="3">
        <v>1500</v>
      </c>
      <c r="B27">
        <v>1</v>
      </c>
      <c r="C27" t="str">
        <f t="shared" si="1"/>
        <v>Floodplain</v>
      </c>
      <c r="D27" s="2">
        <v>0</v>
      </c>
      <c r="E27" s="2">
        <f t="shared" si="0"/>
        <v>0</v>
      </c>
    </row>
    <row r="28" spans="1:5" x14ac:dyDescent="0.2">
      <c r="A28" s="3">
        <v>1750</v>
      </c>
      <c r="B28">
        <v>1</v>
      </c>
      <c r="C28" t="str">
        <f t="shared" si="1"/>
        <v>Floodplain</v>
      </c>
      <c r="D28" s="2">
        <v>0</v>
      </c>
      <c r="E28" s="2">
        <f t="shared" si="0"/>
        <v>0</v>
      </c>
    </row>
    <row r="29" spans="1:5" x14ac:dyDescent="0.2">
      <c r="A29" s="3">
        <v>2000</v>
      </c>
      <c r="B29">
        <v>1</v>
      </c>
      <c r="C29" t="str">
        <f t="shared" si="1"/>
        <v>Floodplain</v>
      </c>
      <c r="D29" s="2">
        <v>0</v>
      </c>
      <c r="E29" s="2">
        <f t="shared" si="0"/>
        <v>0</v>
      </c>
    </row>
    <row r="30" spans="1:5" x14ac:dyDescent="0.2">
      <c r="A30" s="3">
        <v>2750</v>
      </c>
      <c r="B30">
        <v>1</v>
      </c>
      <c r="C30" t="str">
        <f t="shared" si="1"/>
        <v>Floodplain</v>
      </c>
      <c r="D30" s="2">
        <v>3172482</v>
      </c>
      <c r="E30" s="2">
        <f t="shared" si="0"/>
        <v>6.5547148760330582</v>
      </c>
    </row>
    <row r="31" spans="1:5" x14ac:dyDescent="0.2">
      <c r="A31" s="3">
        <v>3500</v>
      </c>
      <c r="B31">
        <v>1</v>
      </c>
      <c r="C31" t="str">
        <f t="shared" si="1"/>
        <v>Floodplain</v>
      </c>
      <c r="D31" s="2">
        <v>10627993</v>
      </c>
      <c r="E31" s="2">
        <f t="shared" si="0"/>
        <v>21.958663223140494</v>
      </c>
    </row>
    <row r="32" spans="1:5" x14ac:dyDescent="0.2">
      <c r="A32" s="3">
        <v>4500</v>
      </c>
      <c r="B32">
        <v>1</v>
      </c>
      <c r="C32" t="str">
        <f t="shared" si="1"/>
        <v>Floodplain</v>
      </c>
      <c r="D32" s="2">
        <v>20578476</v>
      </c>
      <c r="E32" s="2">
        <f t="shared" si="0"/>
        <v>42.517512396694215</v>
      </c>
    </row>
    <row r="33" spans="1:5" x14ac:dyDescent="0.2">
      <c r="A33" s="3">
        <v>5500</v>
      </c>
      <c r="B33">
        <v>1</v>
      </c>
      <c r="C33" t="str">
        <f t="shared" si="1"/>
        <v>Floodplain</v>
      </c>
      <c r="D33" s="2">
        <v>29446201</v>
      </c>
      <c r="E33" s="2">
        <f t="shared" si="0"/>
        <v>60.839258264462806</v>
      </c>
    </row>
    <row r="34" spans="1:5" x14ac:dyDescent="0.2">
      <c r="A34" s="3">
        <v>6500</v>
      </c>
      <c r="B34">
        <v>1</v>
      </c>
      <c r="C34" t="str">
        <f t="shared" si="1"/>
        <v>Floodplain</v>
      </c>
      <c r="D34" s="2">
        <v>37940300</v>
      </c>
      <c r="E34" s="2">
        <f t="shared" si="0"/>
        <v>78.389049586776864</v>
      </c>
    </row>
    <row r="35" spans="1:5" x14ac:dyDescent="0.2">
      <c r="A35" s="3">
        <v>7500</v>
      </c>
      <c r="B35">
        <v>1</v>
      </c>
      <c r="C35" t="str">
        <f t="shared" si="1"/>
        <v>Floodplain</v>
      </c>
      <c r="D35" s="2">
        <v>45825798</v>
      </c>
      <c r="E35" s="2">
        <f t="shared" si="0"/>
        <v>94.681400826446279</v>
      </c>
    </row>
    <row r="36" spans="1:5" x14ac:dyDescent="0.2">
      <c r="A36" s="3">
        <v>8500</v>
      </c>
      <c r="B36">
        <v>1</v>
      </c>
      <c r="C36" t="str">
        <f t="shared" si="1"/>
        <v>Floodplain</v>
      </c>
      <c r="D36" s="2">
        <v>52509224</v>
      </c>
      <c r="E36" s="2">
        <f t="shared" si="0"/>
        <v>108.49013223140496</v>
      </c>
    </row>
    <row r="37" spans="1:5" x14ac:dyDescent="0.2">
      <c r="A37" s="3">
        <v>10000</v>
      </c>
      <c r="B37">
        <v>1</v>
      </c>
      <c r="C37" t="str">
        <f t="shared" si="1"/>
        <v>Floodplain</v>
      </c>
      <c r="D37" s="2">
        <v>60661335</v>
      </c>
      <c r="E37" s="2">
        <f t="shared" si="0"/>
        <v>125.3333367768595</v>
      </c>
    </row>
    <row r="38" spans="1:5" x14ac:dyDescent="0.2">
      <c r="A38" s="3">
        <v>15000</v>
      </c>
      <c r="B38">
        <v>1</v>
      </c>
      <c r="C38" t="str">
        <f t="shared" si="1"/>
        <v>Floodplain</v>
      </c>
      <c r="D38" s="2">
        <v>72317984</v>
      </c>
      <c r="E38" s="2">
        <f t="shared" si="0"/>
        <v>149.41732231404958</v>
      </c>
    </row>
    <row r="39" spans="1:5" x14ac:dyDescent="0.2">
      <c r="A39" s="3">
        <v>30000</v>
      </c>
      <c r="B39">
        <v>1</v>
      </c>
      <c r="C39" t="str">
        <f t="shared" si="1"/>
        <v>Floodplain</v>
      </c>
      <c r="D39" s="2">
        <v>91161379</v>
      </c>
      <c r="E39" s="2">
        <f t="shared" si="0"/>
        <v>188.34995661157026</v>
      </c>
    </row>
    <row r="40" spans="1:5" x14ac:dyDescent="0.2">
      <c r="A40" s="3">
        <v>45000</v>
      </c>
      <c r="B40">
        <v>1</v>
      </c>
      <c r="C40" t="str">
        <f t="shared" si="1"/>
        <v>Floodplain</v>
      </c>
      <c r="D40" s="2">
        <v>126437145</v>
      </c>
      <c r="E40" s="2">
        <f t="shared" si="0"/>
        <v>261.233770661157</v>
      </c>
    </row>
    <row r="41" spans="1:5" x14ac:dyDescent="0.2">
      <c r="A41" s="3">
        <v>70000</v>
      </c>
      <c r="B41">
        <v>1</v>
      </c>
      <c r="C41" t="str">
        <f t="shared" si="1"/>
        <v>Floodplain</v>
      </c>
      <c r="D41" s="2">
        <v>226036313</v>
      </c>
      <c r="E41" s="2">
        <f t="shared" si="0"/>
        <v>467.01717561983469</v>
      </c>
    </row>
    <row r="42" spans="1:5" x14ac:dyDescent="0.2">
      <c r="A42" s="3">
        <v>115000</v>
      </c>
      <c r="B42">
        <v>1</v>
      </c>
      <c r="C42" t="str">
        <f t="shared" si="1"/>
        <v>Floodplain</v>
      </c>
      <c r="D42" s="2">
        <v>187956965</v>
      </c>
      <c r="E42" s="2">
        <f t="shared" si="0"/>
        <v>388.34083677685948</v>
      </c>
    </row>
    <row r="43" spans="1:5" x14ac:dyDescent="0.2">
      <c r="A43" s="3">
        <v>160000</v>
      </c>
      <c r="B43">
        <v>1</v>
      </c>
      <c r="C43" t="str">
        <f t="shared" si="1"/>
        <v>Floodplain</v>
      </c>
      <c r="D43" s="2">
        <v>217630425</v>
      </c>
      <c r="E43" s="2">
        <f t="shared" si="0"/>
        <v>449.64963842975209</v>
      </c>
    </row>
    <row r="44" spans="1:5" x14ac:dyDescent="0.2">
      <c r="A44" s="3">
        <v>500</v>
      </c>
      <c r="B44" t="s">
        <v>5</v>
      </c>
      <c r="C44" t="s">
        <v>4</v>
      </c>
      <c r="D44" t="s">
        <v>5</v>
      </c>
      <c r="E44" s="2">
        <f t="shared" ref="E44:E64" si="2">SUM(E2+E23)</f>
        <v>79.68931818181818</v>
      </c>
    </row>
    <row r="45" spans="1:5" x14ac:dyDescent="0.2">
      <c r="A45" s="3">
        <v>800</v>
      </c>
      <c r="B45" t="s">
        <v>5</v>
      </c>
      <c r="C45" t="s">
        <v>4</v>
      </c>
      <c r="D45" t="s">
        <v>5</v>
      </c>
      <c r="E45" s="2">
        <f t="shared" si="2"/>
        <v>79.588946280991735</v>
      </c>
    </row>
    <row r="46" spans="1:5" x14ac:dyDescent="0.2">
      <c r="A46" s="3">
        <v>1000</v>
      </c>
      <c r="B46" t="s">
        <v>5</v>
      </c>
      <c r="C46" t="s">
        <v>4</v>
      </c>
      <c r="D46" t="s">
        <v>5</v>
      </c>
      <c r="E46" s="2">
        <f t="shared" si="2"/>
        <v>80.69588842975206</v>
      </c>
    </row>
    <row r="47" spans="1:5" x14ac:dyDescent="0.2">
      <c r="A47" s="3">
        <v>1250</v>
      </c>
      <c r="B47" t="s">
        <v>5</v>
      </c>
      <c r="C47" t="s">
        <v>4</v>
      </c>
      <c r="D47" t="s">
        <v>5</v>
      </c>
      <c r="E47" s="2">
        <f t="shared" si="2"/>
        <v>81.426712809917348</v>
      </c>
    </row>
    <row r="48" spans="1:5" x14ac:dyDescent="0.2">
      <c r="A48" s="3">
        <v>1500</v>
      </c>
      <c r="B48" t="s">
        <v>5</v>
      </c>
      <c r="C48" t="s">
        <v>4</v>
      </c>
      <c r="D48" t="s">
        <v>5</v>
      </c>
      <c r="E48" s="2">
        <f t="shared" si="2"/>
        <v>82.461095041322324</v>
      </c>
    </row>
    <row r="49" spans="1:5" x14ac:dyDescent="0.2">
      <c r="A49" s="3">
        <v>1750</v>
      </c>
      <c r="B49" t="s">
        <v>5</v>
      </c>
      <c r="C49" t="s">
        <v>4</v>
      </c>
      <c r="D49" t="s">
        <v>5</v>
      </c>
      <c r="E49" s="2">
        <f t="shared" si="2"/>
        <v>83.194665289256207</v>
      </c>
    </row>
    <row r="50" spans="1:5" x14ac:dyDescent="0.2">
      <c r="A50" s="3">
        <v>2000</v>
      </c>
      <c r="B50" t="s">
        <v>5</v>
      </c>
      <c r="C50" t="s">
        <v>4</v>
      </c>
      <c r="D50" t="s">
        <v>5</v>
      </c>
      <c r="E50" s="2">
        <f t="shared" si="2"/>
        <v>83.969028925619838</v>
      </c>
    </row>
    <row r="51" spans="1:5" x14ac:dyDescent="0.2">
      <c r="A51" s="3">
        <v>2750</v>
      </c>
      <c r="B51" t="s">
        <v>5</v>
      </c>
      <c r="C51" t="s">
        <v>4</v>
      </c>
      <c r="D51" t="s">
        <v>5</v>
      </c>
      <c r="E51" s="2">
        <f t="shared" si="2"/>
        <v>91.892822314049582</v>
      </c>
    </row>
    <row r="52" spans="1:5" x14ac:dyDescent="0.2">
      <c r="A52" s="3">
        <v>3500</v>
      </c>
      <c r="B52" t="s">
        <v>5</v>
      </c>
      <c r="C52" t="s">
        <v>4</v>
      </c>
      <c r="D52" t="s">
        <v>5</v>
      </c>
      <c r="E52" s="2">
        <f t="shared" si="2"/>
        <v>97.852626033057859</v>
      </c>
    </row>
    <row r="53" spans="1:5" x14ac:dyDescent="0.2">
      <c r="A53" s="3">
        <v>4500</v>
      </c>
      <c r="B53" t="s">
        <v>5</v>
      </c>
      <c r="C53" t="s">
        <v>4</v>
      </c>
      <c r="D53" t="s">
        <v>5</v>
      </c>
      <c r="E53" s="2">
        <f>SUM(E11+E32)</f>
        <v>103.52767975206612</v>
      </c>
    </row>
    <row r="54" spans="1:5" x14ac:dyDescent="0.2">
      <c r="A54" s="3">
        <v>5500</v>
      </c>
      <c r="B54" t="s">
        <v>5</v>
      </c>
      <c r="C54" t="s">
        <v>4</v>
      </c>
      <c r="D54" t="s">
        <v>5</v>
      </c>
      <c r="E54" s="2">
        <f t="shared" si="2"/>
        <v>108.01035123966942</v>
      </c>
    </row>
    <row r="55" spans="1:5" x14ac:dyDescent="0.2">
      <c r="A55" s="3">
        <v>6500</v>
      </c>
      <c r="B55" t="s">
        <v>5</v>
      </c>
      <c r="C55" t="s">
        <v>4</v>
      </c>
      <c r="D55" t="s">
        <v>5</v>
      </c>
      <c r="E55" s="2">
        <f t="shared" si="2"/>
        <v>113.68073966942148</v>
      </c>
    </row>
    <row r="56" spans="1:5" x14ac:dyDescent="0.2">
      <c r="A56" s="3">
        <v>7500</v>
      </c>
      <c r="B56" t="s">
        <v>5</v>
      </c>
      <c r="C56" t="s">
        <v>4</v>
      </c>
      <c r="D56" t="s">
        <v>5</v>
      </c>
      <c r="E56" s="2">
        <f t="shared" si="2"/>
        <v>120.45373760330578</v>
      </c>
    </row>
    <row r="57" spans="1:5" x14ac:dyDescent="0.2">
      <c r="A57" s="3">
        <v>8500</v>
      </c>
      <c r="B57" t="s">
        <v>5</v>
      </c>
      <c r="C57" t="s">
        <v>4</v>
      </c>
      <c r="D57" t="s">
        <v>5</v>
      </c>
      <c r="E57" s="2">
        <f t="shared" si="2"/>
        <v>126.20513016528925</v>
      </c>
    </row>
    <row r="58" spans="1:5" x14ac:dyDescent="0.2">
      <c r="A58" s="3">
        <v>10000</v>
      </c>
      <c r="B58" t="s">
        <v>5</v>
      </c>
      <c r="C58" t="s">
        <v>4</v>
      </c>
      <c r="D58" t="s">
        <v>5</v>
      </c>
      <c r="E58" s="2">
        <f t="shared" si="2"/>
        <v>134.13590909090908</v>
      </c>
    </row>
    <row r="59" spans="1:5" x14ac:dyDescent="0.2">
      <c r="A59" s="3">
        <v>15000</v>
      </c>
      <c r="B59" t="s">
        <v>5</v>
      </c>
      <c r="C59" t="s">
        <v>4</v>
      </c>
      <c r="D59" t="s">
        <v>5</v>
      </c>
      <c r="E59" s="2">
        <f t="shared" si="2"/>
        <v>151.81713223140497</v>
      </c>
    </row>
    <row r="60" spans="1:5" x14ac:dyDescent="0.2">
      <c r="A60" s="3">
        <v>30000</v>
      </c>
      <c r="B60" t="s">
        <v>5</v>
      </c>
      <c r="C60" t="s">
        <v>4</v>
      </c>
      <c r="D60" t="s">
        <v>5</v>
      </c>
      <c r="E60" s="2">
        <f t="shared" si="2"/>
        <v>188.39922933884299</v>
      </c>
    </row>
    <row r="61" spans="1:5" x14ac:dyDescent="0.2">
      <c r="A61" s="3">
        <v>45000</v>
      </c>
      <c r="B61" t="s">
        <v>5</v>
      </c>
      <c r="C61" t="s">
        <v>4</v>
      </c>
      <c r="D61" t="s">
        <v>5</v>
      </c>
      <c r="E61" s="2">
        <f t="shared" si="2"/>
        <v>261.233770661157</v>
      </c>
    </row>
    <row r="62" spans="1:5" x14ac:dyDescent="0.2">
      <c r="A62" s="3">
        <v>70000</v>
      </c>
      <c r="B62" t="s">
        <v>5</v>
      </c>
      <c r="C62" t="s">
        <v>4</v>
      </c>
      <c r="D62" t="s">
        <v>5</v>
      </c>
      <c r="E62" s="2">
        <f t="shared" si="2"/>
        <v>467.01717561983469</v>
      </c>
    </row>
    <row r="63" spans="1:5" x14ac:dyDescent="0.2">
      <c r="A63" s="3">
        <v>115000</v>
      </c>
      <c r="B63" t="s">
        <v>5</v>
      </c>
      <c r="C63" t="s">
        <v>4</v>
      </c>
      <c r="D63" t="s">
        <v>5</v>
      </c>
      <c r="E63" s="2">
        <f t="shared" si="2"/>
        <v>388.34083677685948</v>
      </c>
    </row>
    <row r="64" spans="1:5" x14ac:dyDescent="0.2">
      <c r="A64" s="3">
        <v>160000</v>
      </c>
      <c r="B64" t="s">
        <v>5</v>
      </c>
      <c r="C64" t="s">
        <v>4</v>
      </c>
      <c r="D64" t="s">
        <v>5</v>
      </c>
      <c r="E64" s="2">
        <f t="shared" si="2"/>
        <v>449.64963842975209</v>
      </c>
    </row>
  </sheetData>
  <sortState xmlns:xlrd2="http://schemas.microsoft.com/office/spreadsheetml/2017/richdata2" ref="A23:D43">
    <sortCondition ref="A23:A43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22"/>
    </sheetView>
  </sheetViews>
  <sheetFormatPr baseColWidth="10" defaultColWidth="8.83203125" defaultRowHeight="15" x14ac:dyDescent="0.2"/>
  <sheetData>
    <row r="1" spans="1:2" x14ac:dyDescent="0.2">
      <c r="A1" t="s">
        <v>6</v>
      </c>
      <c r="B1" t="s">
        <v>7</v>
      </c>
    </row>
    <row r="2" spans="1:2" x14ac:dyDescent="0.2">
      <c r="A2">
        <v>500</v>
      </c>
      <c r="B2" s="1">
        <v>79.68931818181818</v>
      </c>
    </row>
    <row r="3" spans="1:2" x14ac:dyDescent="0.2">
      <c r="A3">
        <v>800</v>
      </c>
      <c r="B3" s="1">
        <v>79.588946280991735</v>
      </c>
    </row>
    <row r="4" spans="1:2" x14ac:dyDescent="0.2">
      <c r="A4">
        <v>1000</v>
      </c>
      <c r="B4" s="1">
        <v>80.69588842975206</v>
      </c>
    </row>
    <row r="5" spans="1:2" x14ac:dyDescent="0.2">
      <c r="A5">
        <v>1250</v>
      </c>
      <c r="B5" s="1">
        <v>81.426712809917348</v>
      </c>
    </row>
    <row r="6" spans="1:2" x14ac:dyDescent="0.2">
      <c r="A6">
        <v>1500</v>
      </c>
      <c r="B6" s="1">
        <v>82.461095041322324</v>
      </c>
    </row>
    <row r="7" spans="1:2" x14ac:dyDescent="0.2">
      <c r="A7">
        <v>1750</v>
      </c>
      <c r="B7" s="1">
        <v>83.194665289256207</v>
      </c>
    </row>
    <row r="8" spans="1:2" x14ac:dyDescent="0.2">
      <c r="A8">
        <v>2000</v>
      </c>
      <c r="B8" s="1">
        <v>83.969028925619838</v>
      </c>
    </row>
    <row r="9" spans="1:2" x14ac:dyDescent="0.2">
      <c r="A9">
        <v>2750</v>
      </c>
      <c r="B9" s="1">
        <v>85.338107438016522</v>
      </c>
    </row>
    <row r="10" spans="1:2" x14ac:dyDescent="0.2">
      <c r="A10">
        <v>3500</v>
      </c>
      <c r="B10" s="1">
        <v>75.893962809917369</v>
      </c>
    </row>
    <row r="11" spans="1:2" x14ac:dyDescent="0.2">
      <c r="A11">
        <v>4500</v>
      </c>
      <c r="B11" s="1">
        <v>61.010167355371905</v>
      </c>
    </row>
    <row r="12" spans="1:2" x14ac:dyDescent="0.2">
      <c r="A12">
        <v>5500</v>
      </c>
      <c r="B12" s="1">
        <v>47.171092975206612</v>
      </c>
    </row>
    <row r="13" spans="1:2" x14ac:dyDescent="0.2">
      <c r="A13">
        <v>6500</v>
      </c>
      <c r="B13" s="1">
        <v>35.291690082644628</v>
      </c>
    </row>
    <row r="14" spans="1:2" x14ac:dyDescent="0.2">
      <c r="A14">
        <v>7500</v>
      </c>
      <c r="B14" s="1">
        <v>25.772336776859504</v>
      </c>
    </row>
    <row r="15" spans="1:2" x14ac:dyDescent="0.2">
      <c r="A15">
        <v>8500</v>
      </c>
      <c r="B15" s="1">
        <v>17.714997933884295</v>
      </c>
    </row>
    <row r="16" spans="1:2" x14ac:dyDescent="0.2">
      <c r="A16">
        <v>10000</v>
      </c>
      <c r="B16" s="1">
        <v>8.802572314049586</v>
      </c>
    </row>
    <row r="17" spans="1:2" x14ac:dyDescent="0.2">
      <c r="A17">
        <v>15000</v>
      </c>
      <c r="B17" s="1">
        <v>2.399809917355372</v>
      </c>
    </row>
    <row r="18" spans="1:2" x14ac:dyDescent="0.2">
      <c r="A18">
        <v>30000</v>
      </c>
      <c r="B18" s="1">
        <v>4.9272727272727267E-2</v>
      </c>
    </row>
    <row r="19" spans="1:2" x14ac:dyDescent="0.2">
      <c r="A19">
        <v>45000</v>
      </c>
      <c r="B19" s="1">
        <v>0</v>
      </c>
    </row>
    <row r="20" spans="1:2" x14ac:dyDescent="0.2">
      <c r="A20">
        <v>70000</v>
      </c>
      <c r="B20" s="1">
        <v>0</v>
      </c>
    </row>
    <row r="21" spans="1:2" x14ac:dyDescent="0.2">
      <c r="A21">
        <v>115000</v>
      </c>
      <c r="B21" s="1">
        <v>0</v>
      </c>
    </row>
    <row r="22" spans="1:2" x14ac:dyDescent="0.2">
      <c r="A22">
        <v>160000</v>
      </c>
      <c r="B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sqref="A1:B22"/>
    </sheetView>
  </sheetViews>
  <sheetFormatPr baseColWidth="10" defaultColWidth="8.83203125" defaultRowHeight="15" x14ac:dyDescent="0.2"/>
  <sheetData>
    <row r="1" spans="1:2" x14ac:dyDescent="0.2">
      <c r="A1" t="s">
        <v>6</v>
      </c>
      <c r="B1" t="s">
        <v>8</v>
      </c>
    </row>
    <row r="2" spans="1:2" x14ac:dyDescent="0.2">
      <c r="A2" s="3">
        <v>500</v>
      </c>
      <c r="B2" s="1">
        <v>0</v>
      </c>
    </row>
    <row r="3" spans="1:2" x14ac:dyDescent="0.2">
      <c r="A3">
        <v>800</v>
      </c>
      <c r="B3" s="1">
        <v>0</v>
      </c>
    </row>
    <row r="4" spans="1:2" x14ac:dyDescent="0.2">
      <c r="A4">
        <v>1000</v>
      </c>
      <c r="B4" s="1">
        <v>0</v>
      </c>
    </row>
    <row r="5" spans="1:2" x14ac:dyDescent="0.2">
      <c r="A5">
        <v>1250</v>
      </c>
      <c r="B5" s="1">
        <v>0</v>
      </c>
    </row>
    <row r="6" spans="1:2" x14ac:dyDescent="0.2">
      <c r="A6">
        <v>1500</v>
      </c>
      <c r="B6" s="1">
        <v>0</v>
      </c>
    </row>
    <row r="7" spans="1:2" x14ac:dyDescent="0.2">
      <c r="A7">
        <v>1750</v>
      </c>
      <c r="B7" s="1">
        <v>0</v>
      </c>
    </row>
    <row r="8" spans="1:2" x14ac:dyDescent="0.2">
      <c r="A8">
        <v>2000</v>
      </c>
      <c r="B8" s="1">
        <v>0</v>
      </c>
    </row>
    <row r="9" spans="1:2" x14ac:dyDescent="0.2">
      <c r="A9">
        <v>2750</v>
      </c>
      <c r="B9" s="1">
        <v>6.5547148760330582</v>
      </c>
    </row>
    <row r="10" spans="1:2" x14ac:dyDescent="0.2">
      <c r="A10">
        <v>3500</v>
      </c>
      <c r="B10" s="1">
        <v>21.958663223140494</v>
      </c>
    </row>
    <row r="11" spans="1:2" x14ac:dyDescent="0.2">
      <c r="A11">
        <v>4500</v>
      </c>
      <c r="B11" s="1">
        <v>42.517512396694215</v>
      </c>
    </row>
    <row r="12" spans="1:2" x14ac:dyDescent="0.2">
      <c r="A12">
        <v>5500</v>
      </c>
      <c r="B12" s="1">
        <v>60.839258264462806</v>
      </c>
    </row>
    <row r="13" spans="1:2" x14ac:dyDescent="0.2">
      <c r="A13">
        <v>6500</v>
      </c>
      <c r="B13" s="1">
        <v>78.389049586776864</v>
      </c>
    </row>
    <row r="14" spans="1:2" x14ac:dyDescent="0.2">
      <c r="A14">
        <v>7500</v>
      </c>
      <c r="B14" s="1">
        <v>94.681400826446279</v>
      </c>
    </row>
    <row r="15" spans="1:2" x14ac:dyDescent="0.2">
      <c r="A15">
        <v>8500</v>
      </c>
      <c r="B15" s="1">
        <v>108.49013223140496</v>
      </c>
    </row>
    <row r="16" spans="1:2" x14ac:dyDescent="0.2">
      <c r="A16">
        <v>10000</v>
      </c>
      <c r="B16" s="1">
        <v>125.3333367768595</v>
      </c>
    </row>
    <row r="17" spans="1:2" x14ac:dyDescent="0.2">
      <c r="A17">
        <v>15000</v>
      </c>
      <c r="B17" s="1">
        <v>149.41732231404958</v>
      </c>
    </row>
    <row r="18" spans="1:2" x14ac:dyDescent="0.2">
      <c r="A18">
        <v>30000</v>
      </c>
      <c r="B18" s="1">
        <v>188.34995661157026</v>
      </c>
    </row>
    <row r="19" spans="1:2" x14ac:dyDescent="0.2">
      <c r="A19">
        <v>45000</v>
      </c>
      <c r="B19" s="1">
        <v>261.233770661157</v>
      </c>
    </row>
    <row r="20" spans="1:2" x14ac:dyDescent="0.2">
      <c r="A20">
        <v>70000</v>
      </c>
      <c r="B20" s="1">
        <v>467.01717561983469</v>
      </c>
    </row>
    <row r="21" spans="1:2" x14ac:dyDescent="0.2">
      <c r="A21">
        <v>115000</v>
      </c>
      <c r="B21" s="1">
        <v>388.34083677685948</v>
      </c>
    </row>
    <row r="22" spans="1:2" x14ac:dyDescent="0.2">
      <c r="A22">
        <v>160000</v>
      </c>
      <c r="B22" s="1">
        <v>449.64963842975209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tabSelected="1" workbookViewId="0">
      <selection activeCell="Q26" sqref="F4:Q26"/>
    </sheetView>
  </sheetViews>
  <sheetFormatPr baseColWidth="10" defaultColWidth="8.83203125" defaultRowHeight="15" x14ac:dyDescent="0.2"/>
  <sheetData>
    <row r="1" spans="1:2" x14ac:dyDescent="0.2">
      <c r="A1" t="s">
        <v>6</v>
      </c>
      <c r="B1" t="s">
        <v>9</v>
      </c>
    </row>
    <row r="2" spans="1:2" x14ac:dyDescent="0.2">
      <c r="A2" s="3">
        <v>500</v>
      </c>
      <c r="B2" s="2">
        <v>79.68931818181818</v>
      </c>
    </row>
    <row r="3" spans="1:2" x14ac:dyDescent="0.2">
      <c r="A3" s="3">
        <v>800</v>
      </c>
      <c r="B3" s="2">
        <v>79.588946280991735</v>
      </c>
    </row>
    <row r="4" spans="1:2" x14ac:dyDescent="0.2">
      <c r="A4" s="3">
        <v>1000</v>
      </c>
      <c r="B4" s="2">
        <v>80.69588842975206</v>
      </c>
    </row>
    <row r="5" spans="1:2" x14ac:dyDescent="0.2">
      <c r="A5" s="3">
        <v>1250</v>
      </c>
      <c r="B5" s="2">
        <v>81.426712809917348</v>
      </c>
    </row>
    <row r="6" spans="1:2" x14ac:dyDescent="0.2">
      <c r="A6" s="3">
        <v>1500</v>
      </c>
      <c r="B6" s="2">
        <v>82.461095041322324</v>
      </c>
    </row>
    <row r="7" spans="1:2" x14ac:dyDescent="0.2">
      <c r="A7" s="3">
        <v>1750</v>
      </c>
      <c r="B7" s="2">
        <v>83.194665289256207</v>
      </c>
    </row>
    <row r="8" spans="1:2" x14ac:dyDescent="0.2">
      <c r="A8" s="3">
        <v>2000</v>
      </c>
      <c r="B8" s="2">
        <v>83.969028925619838</v>
      </c>
    </row>
    <row r="9" spans="1:2" x14ac:dyDescent="0.2">
      <c r="A9" s="3">
        <v>2750</v>
      </c>
      <c r="B9" s="2">
        <v>91.892822314049582</v>
      </c>
    </row>
    <row r="10" spans="1:2" x14ac:dyDescent="0.2">
      <c r="A10" s="3">
        <v>3500</v>
      </c>
      <c r="B10" s="2">
        <v>97.852626033057859</v>
      </c>
    </row>
    <row r="11" spans="1:2" x14ac:dyDescent="0.2">
      <c r="A11" s="3">
        <v>4500</v>
      </c>
      <c r="B11" s="2">
        <v>103.52767975206612</v>
      </c>
    </row>
    <row r="12" spans="1:2" x14ac:dyDescent="0.2">
      <c r="A12" s="3">
        <v>5500</v>
      </c>
      <c r="B12" s="2">
        <v>108.01035123966942</v>
      </c>
    </row>
    <row r="13" spans="1:2" x14ac:dyDescent="0.2">
      <c r="A13" s="3">
        <v>6500</v>
      </c>
      <c r="B13" s="2">
        <v>113.68073966942148</v>
      </c>
    </row>
    <row r="14" spans="1:2" x14ac:dyDescent="0.2">
      <c r="A14" s="3">
        <v>7500</v>
      </c>
      <c r="B14" s="2">
        <v>120.45373760330578</v>
      </c>
    </row>
    <row r="15" spans="1:2" x14ac:dyDescent="0.2">
      <c r="A15" s="3">
        <v>8500</v>
      </c>
      <c r="B15" s="2">
        <v>126.20513016528925</v>
      </c>
    </row>
    <row r="16" spans="1:2" x14ac:dyDescent="0.2">
      <c r="A16" s="3">
        <v>10000</v>
      </c>
      <c r="B16" s="2">
        <v>134.13590909090908</v>
      </c>
    </row>
    <row r="17" spans="1:2" x14ac:dyDescent="0.2">
      <c r="A17" s="3">
        <v>15000</v>
      </c>
      <c r="B17" s="2">
        <v>151.81713223140497</v>
      </c>
    </row>
    <row r="18" spans="1:2" x14ac:dyDescent="0.2">
      <c r="A18" s="3">
        <v>30000</v>
      </c>
      <c r="B18" s="2">
        <v>188.39922933884299</v>
      </c>
    </row>
    <row r="19" spans="1:2" x14ac:dyDescent="0.2">
      <c r="A19" s="3">
        <v>45000</v>
      </c>
      <c r="B19" s="2">
        <v>261.233770661157</v>
      </c>
    </row>
    <row r="20" spans="1:2" x14ac:dyDescent="0.2">
      <c r="A20" s="3">
        <v>70000</v>
      </c>
      <c r="B20" s="2">
        <v>467.01717561983469</v>
      </c>
    </row>
    <row r="21" spans="1:2" x14ac:dyDescent="0.2">
      <c r="A21" s="3">
        <v>115000</v>
      </c>
      <c r="B21" s="2">
        <v>388.34083677685948</v>
      </c>
    </row>
    <row r="22" spans="1:2" x14ac:dyDescent="0.2">
      <c r="A22" s="3">
        <v>160000</v>
      </c>
      <c r="B22" s="2">
        <v>449.64963842975209</v>
      </c>
    </row>
    <row r="23" spans="1:2" x14ac:dyDescent="0.2">
      <c r="A23" s="3"/>
    </row>
    <row r="24" spans="1:2" x14ac:dyDescent="0.2">
      <c r="A24" s="3"/>
    </row>
    <row r="25" spans="1:2" x14ac:dyDescent="0.2">
      <c r="A2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zonal_statistics_WUA</vt:lpstr>
      <vt:lpstr>Channel</vt:lpstr>
      <vt:lpstr>Floodplain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m.modeler</dc:creator>
  <cp:lastModifiedBy>Erin Cain</cp:lastModifiedBy>
  <dcterms:created xsi:type="dcterms:W3CDTF">2019-06-12T21:44:54Z</dcterms:created>
  <dcterms:modified xsi:type="dcterms:W3CDTF">2024-05-29T21:44:03Z</dcterms:modified>
</cp:coreProperties>
</file>