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Local_docs\TempWorkfiles\python_reference\"/>
    </mc:Choice>
  </mc:AlternateContent>
  <xr:revisionPtr revIDLastSave="0" documentId="13_ncr:1_{3AA8371E-592D-4D94-8FF4-2AAEF1CE5B1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pawning" sheetId="8" r:id="rId1"/>
    <sheet name="Juvenile-inchannel" sheetId="9" r:id="rId2"/>
    <sheet name="Juvenile-floodplain" sheetId="11" r:id="rId3"/>
    <sheet name="Map" sheetId="7" r:id="rId4"/>
    <sheet name="script_outp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5" l="1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5" i="5"/>
</calcChain>
</file>

<file path=xl/sharedStrings.xml><?xml version="1.0" encoding="utf-8"?>
<sst xmlns="http://schemas.openxmlformats.org/spreadsheetml/2006/main" count="702" uniqueCount="38">
  <si>
    <t>min</t>
  </si>
  <si>
    <t>max</t>
  </si>
  <si>
    <t>depth [ft]</t>
  </si>
  <si>
    <t>velocity [ft/sec]</t>
  </si>
  <si>
    <t>Flow</t>
  </si>
  <si>
    <t>Reach 3</t>
  </si>
  <si>
    <t>Reach 4</t>
  </si>
  <si>
    <t>Reach 5</t>
  </si>
  <si>
    <t>Reach 6</t>
  </si>
  <si>
    <t>Reach 7</t>
  </si>
  <si>
    <t>Total</t>
  </si>
  <si>
    <t>R7</t>
  </si>
  <si>
    <t>fall</t>
  </si>
  <si>
    <t>instream</t>
  </si>
  <si>
    <t>juvenile</t>
  </si>
  <si>
    <t>scenario</t>
  </si>
  <si>
    <t>species</t>
  </si>
  <si>
    <t>life_stage</t>
  </si>
  <si>
    <t>habitat_type</t>
  </si>
  <si>
    <t>flow</t>
  </si>
  <si>
    <t>suitable_acres</t>
  </si>
  <si>
    <t>timestamp</t>
  </si>
  <si>
    <t>R6</t>
  </si>
  <si>
    <t>R5</t>
  </si>
  <si>
    <t>R4</t>
  </si>
  <si>
    <t>R3</t>
  </si>
  <si>
    <t>Difference = floodplain</t>
  </si>
  <si>
    <t>Spawning Criteria</t>
  </si>
  <si>
    <t>Flow [cfs]</t>
  </si>
  <si>
    <t>Juvenile (In-channel) Criteria</t>
  </si>
  <si>
    <t>Total*</t>
  </si>
  <si>
    <t>* Reach 3 representing WID with dam out not included in Total</t>
  </si>
  <si>
    <t>In-Channel Suitable Acres</t>
  </si>
  <si>
    <t>Spawning Suitable Acres</t>
  </si>
  <si>
    <t>Juvenile (floodplain) Criteria</t>
  </si>
  <si>
    <t>Floodplain Suitable Acres</t>
  </si>
  <si>
    <t>Clipped Output</t>
  </si>
  <si>
    <t>Unclipped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</si>
</sst>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2" fontId="0" fillId="0" borderId="0" xfId="0" applyNumberForma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left"/>
    </xf>
    <xf numFmtId="2" fontId="0" fillId="0" borderId="11" xfId="0" applyNumberFormat="1" applyBorder="1"/>
    <xf numFmtId="2" fontId="0" fillId="2" borderId="0" xfId="0" applyNumberFormat="1" applyFill="1"/>
    <xf numFmtId="0" fontId="0" fillId="0" borderId="12" xfId="0" applyBorder="1" applyAlignment="1">
      <alignment horizontal="left"/>
    </xf>
    <xf numFmtId="2" fontId="0" fillId="2" borderId="12" xfId="0" applyNumberFormat="1" applyFill="1" applyBorder="1"/>
    <xf numFmtId="2" fontId="0" fillId="0" borderId="12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2" fontId="0" fillId="0" borderId="5" xfId="0" applyNumberFormat="1" applyBorder="1"/>
    <xf numFmtId="0" fontId="0" fillId="0" borderId="6" xfId="0" applyBorder="1"/>
    <xf numFmtId="0" fontId="0" fillId="0" borderId="7" xfId="0" applyBorder="1"/>
    <xf numFmtId="22" fontId="0" fillId="0" borderId="8" xfId="0" applyNumberFormat="1" applyBorder="1"/>
    <xf numFmtId="11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5" xfId="0" applyBorder="1"/>
    <xf numFmtId="9" fontId="0" fillId="0" borderId="0" xfId="1" applyFont="1"/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Fill="1"/>
    <xf numFmtId="0" fontId="0" fillId="0" borderId="0" xfId="0" applyFill="1"/>
    <xf numFmtId="0" fontId="0" fillId="0" borderId="0" xfId="0" applyAlignment="1">
      <alignment horizontal="right"/>
    </xf>
    <xf numFmtId="0" fontId="1" fillId="2" borderId="1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FF"/>
      <color rgb="FF1AC8AB"/>
      <color rgb="FF60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457200</xdr:colOff>
      <xdr:row>22</xdr:row>
      <xdr:rowOff>55880</xdr:rowOff>
    </xdr:to>
    <xdr:pic>
      <xdr:nvPicPr>
        <xdr:cNvPr id="2" name="Picture 1" descr="Map&#10;&#10;Description automatically generated">
          <a:extLst>
            <a:ext uri="{FF2B5EF4-FFF2-40B4-BE49-F238E27FC236}">
              <a16:creationId xmlns:a16="http://schemas.microsoft.com/office/drawing/2014/main" id="{A557472A-EC12-209D-3AAB-0E3F9C12D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"/>
          <a:ext cx="5943600" cy="38525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4B2D-51F9-463D-94B9-7DD35FBA18EE}">
  <dimension ref="B1:J25"/>
  <sheetViews>
    <sheetView tabSelected="1" zoomScale="115" zoomScaleNormal="115" workbookViewId="0"/>
  </sheetViews>
  <sheetFormatPr defaultRowHeight="15" x14ac:dyDescent="0.25"/>
  <cols>
    <col min="1" max="1" width="3.28515625" customWidth="1"/>
    <col min="5" max="5" width="11.140625" customWidth="1"/>
  </cols>
  <sheetData>
    <row r="1" spans="2:10" ht="15.75" thickBot="1" x14ac:dyDescent="0.3"/>
    <row r="2" spans="2:10" x14ac:dyDescent="0.25">
      <c r="C2" s="36" t="s">
        <v>27</v>
      </c>
      <c r="D2" s="37"/>
      <c r="E2" s="37"/>
      <c r="F2" s="38"/>
    </row>
    <row r="3" spans="2:10" x14ac:dyDescent="0.25">
      <c r="C3" s="33" t="s">
        <v>2</v>
      </c>
      <c r="D3" s="34"/>
      <c r="E3" s="34" t="s">
        <v>3</v>
      </c>
      <c r="F3" s="35"/>
      <c r="I3" s="41"/>
    </row>
    <row r="4" spans="2:10" x14ac:dyDescent="0.25">
      <c r="C4" s="2" t="s">
        <v>0</v>
      </c>
      <c r="D4" s="3" t="s">
        <v>1</v>
      </c>
      <c r="E4" s="3" t="s">
        <v>0</v>
      </c>
      <c r="F4" s="4" t="s">
        <v>1</v>
      </c>
    </row>
    <row r="5" spans="2:10" ht="15.75" thickBot="1" x14ac:dyDescent="0.3">
      <c r="C5" s="5">
        <v>1</v>
      </c>
      <c r="D5" s="6">
        <v>2.5</v>
      </c>
      <c r="E5" s="6">
        <v>1</v>
      </c>
      <c r="F5" s="7">
        <v>4</v>
      </c>
      <c r="J5" s="40"/>
    </row>
    <row r="6" spans="2:10" ht="15.75" thickBot="1" x14ac:dyDescent="0.3"/>
    <row r="7" spans="2:10" ht="15.75" thickTop="1" x14ac:dyDescent="0.25">
      <c r="B7" s="9"/>
      <c r="C7" s="32" t="s">
        <v>33</v>
      </c>
      <c r="D7" s="32"/>
      <c r="E7" s="32"/>
      <c r="F7" s="32"/>
    </row>
    <row r="8" spans="2:10" ht="15.75" thickBot="1" x14ac:dyDescent="0.3">
      <c r="B8" s="10" t="s">
        <v>28</v>
      </c>
      <c r="C8" s="11" t="s">
        <v>7</v>
      </c>
      <c r="D8" s="11" t="s">
        <v>8</v>
      </c>
      <c r="E8" s="11" t="s">
        <v>9</v>
      </c>
      <c r="F8" s="11" t="s">
        <v>10</v>
      </c>
    </row>
    <row r="9" spans="2:10" ht="15.75" thickTop="1" x14ac:dyDescent="0.25">
      <c r="B9" s="8">
        <v>100</v>
      </c>
      <c r="C9" s="1">
        <v>4.4762295883562659</v>
      </c>
      <c r="D9" s="1">
        <v>2.4712909675413215</v>
      </c>
      <c r="E9" s="1">
        <v>0.92917528618686718</v>
      </c>
      <c r="F9" s="1">
        <v>7.8766958420844544</v>
      </c>
    </row>
    <row r="10" spans="2:10" x14ac:dyDescent="0.25">
      <c r="B10" s="8">
        <v>200</v>
      </c>
      <c r="C10" s="1">
        <v>6.8738735909504038</v>
      </c>
      <c r="D10" s="1">
        <v>5.215993351276377</v>
      </c>
      <c r="E10" s="1">
        <v>3.6543482830509602</v>
      </c>
      <c r="F10" s="1">
        <v>15.744215225277742</v>
      </c>
    </row>
    <row r="11" spans="2:10" x14ac:dyDescent="0.25">
      <c r="B11" s="8">
        <v>400</v>
      </c>
      <c r="C11" s="1">
        <v>5.1126993652961348</v>
      </c>
      <c r="D11" s="1">
        <v>7.4171670160720815</v>
      </c>
      <c r="E11" s="39">
        <v>6.7336384755876706</v>
      </c>
      <c r="F11" s="1">
        <v>19.263504856955887</v>
      </c>
    </row>
    <row r="12" spans="2:10" x14ac:dyDescent="0.25">
      <c r="B12" s="8">
        <v>600</v>
      </c>
      <c r="C12" s="1">
        <v>3.3828192173989895</v>
      </c>
      <c r="D12" s="1">
        <v>6.2042273857116479</v>
      </c>
      <c r="E12" s="1">
        <v>6.1324627713062405</v>
      </c>
      <c r="F12" s="1">
        <v>15.719509374416878</v>
      </c>
    </row>
    <row r="13" spans="2:10" x14ac:dyDescent="0.25">
      <c r="B13" s="8">
        <v>800</v>
      </c>
      <c r="C13" s="1">
        <v>1.7341154366161597</v>
      </c>
      <c r="D13" s="1">
        <v>4.0101125354476501</v>
      </c>
      <c r="E13" s="1">
        <v>3.9138773639990654</v>
      </c>
      <c r="F13" s="1">
        <v>9.6581053360628744</v>
      </c>
    </row>
    <row r="14" spans="2:10" x14ac:dyDescent="0.25">
      <c r="B14" s="8">
        <v>1000</v>
      </c>
      <c r="C14" s="1">
        <v>0.7298814225757555</v>
      </c>
      <c r="D14" s="1">
        <v>2.2025854277020187</v>
      </c>
      <c r="E14" s="1">
        <v>1.9877621721212102</v>
      </c>
      <c r="F14" s="1">
        <v>4.9202290223989849</v>
      </c>
    </row>
    <row r="15" spans="2:10" x14ac:dyDescent="0.25">
      <c r="B15" s="8">
        <v>1400</v>
      </c>
      <c r="C15" s="1">
        <v>0.15058804334251591</v>
      </c>
      <c r="D15" s="1">
        <v>0.64635211728420416</v>
      </c>
      <c r="E15" s="1">
        <v>0.6849403033907252</v>
      </c>
      <c r="F15" s="1">
        <v>1.4818804640174452</v>
      </c>
    </row>
    <row r="16" spans="2:10" x14ac:dyDescent="0.25">
      <c r="B16" s="8">
        <v>1800</v>
      </c>
      <c r="C16" s="1">
        <v>4.8941114086317586E-2</v>
      </c>
      <c r="D16" s="1">
        <v>0.24094086934802553</v>
      </c>
      <c r="E16" s="1">
        <v>0.3887053868778676</v>
      </c>
      <c r="F16" s="1">
        <v>0.67858737031221072</v>
      </c>
    </row>
    <row r="17" spans="2:6" x14ac:dyDescent="0.25">
      <c r="B17" s="8">
        <v>2200</v>
      </c>
      <c r="C17" s="1">
        <v>2.7058789038108134E-2</v>
      </c>
      <c r="D17" s="1">
        <v>0.10023516634986204</v>
      </c>
      <c r="E17" s="1">
        <v>0.26494083875573776</v>
      </c>
      <c r="F17" s="1">
        <v>0.39223479414370793</v>
      </c>
    </row>
    <row r="18" spans="2:6" x14ac:dyDescent="0.25">
      <c r="B18" s="8">
        <v>2600</v>
      </c>
      <c r="C18" s="1">
        <v>1.4588216698806241E-2</v>
      </c>
      <c r="D18" s="1">
        <v>5.4823459529384541E-2</v>
      </c>
      <c r="E18" s="1">
        <v>0.17976447674012835</v>
      </c>
      <c r="F18" s="1">
        <v>0.24917615296831913</v>
      </c>
    </row>
    <row r="19" spans="2:6" x14ac:dyDescent="0.25">
      <c r="B19" s="8">
        <v>3000</v>
      </c>
      <c r="C19" s="1">
        <v>8.2352836202938349E-3</v>
      </c>
      <c r="D19" s="1">
        <v>3.8588186106519706E-2</v>
      </c>
      <c r="E19" s="1">
        <v>0.11670573359044972</v>
      </c>
      <c r="F19" s="1">
        <v>0.16352920331726326</v>
      </c>
    </row>
    <row r="20" spans="2:6" x14ac:dyDescent="0.25">
      <c r="B20" s="8">
        <v>3400</v>
      </c>
      <c r="C20" s="1">
        <v>4.9411701721763009E-3</v>
      </c>
      <c r="D20" s="1">
        <v>3.1999959210284486E-2</v>
      </c>
      <c r="E20" s="1">
        <v>6.3529330785123808E-2</v>
      </c>
      <c r="F20" s="1">
        <v>0.1004704601675846</v>
      </c>
    </row>
    <row r="21" spans="2:6" x14ac:dyDescent="0.25">
      <c r="B21" s="8">
        <v>3800</v>
      </c>
      <c r="C21" s="1">
        <v>5.1764639898989901E-3</v>
      </c>
      <c r="D21" s="1">
        <v>1.9294093053259853E-2</v>
      </c>
      <c r="E21" s="1">
        <v>3.294113448117534E-2</v>
      </c>
      <c r="F21" s="1">
        <v>5.7411691524334181E-2</v>
      </c>
    </row>
    <row r="22" spans="2:6" x14ac:dyDescent="0.25">
      <c r="B22" s="8">
        <v>4200</v>
      </c>
      <c r="C22" s="1">
        <v>4.7058763544536126E-3</v>
      </c>
      <c r="D22" s="1">
        <v>1.3411747610192825E-2</v>
      </c>
      <c r="E22" s="1">
        <v>2.3999969407713491E-2</v>
      </c>
      <c r="F22" s="1">
        <v>4.2117593372359929E-2</v>
      </c>
    </row>
    <row r="23" spans="2:6" x14ac:dyDescent="0.25">
      <c r="B23" s="8">
        <v>4600</v>
      </c>
      <c r="C23" s="1">
        <v>3.294113448117534E-3</v>
      </c>
      <c r="D23" s="1">
        <v>8.9411650734618747E-3</v>
      </c>
      <c r="E23" s="1">
        <v>2.1411737412763997E-2</v>
      </c>
      <c r="F23" s="1">
        <v>3.3647015934343404E-2</v>
      </c>
    </row>
    <row r="24" spans="2:6" ht="15.75" thickBot="1" x14ac:dyDescent="0.3">
      <c r="B24" s="12">
        <v>5000</v>
      </c>
      <c r="C24" s="13">
        <v>2.117644359504131E-3</v>
      </c>
      <c r="D24" s="13">
        <v>7.529402167125796E-3</v>
      </c>
      <c r="E24" s="13">
        <v>2.1647031230486686E-2</v>
      </c>
      <c r="F24" s="13">
        <v>3.1294077757116609E-2</v>
      </c>
    </row>
    <row r="25" spans="2:6" ht="15.75" thickTop="1" x14ac:dyDescent="0.25"/>
  </sheetData>
  <mergeCells count="4">
    <mergeCell ref="C2:F2"/>
    <mergeCell ref="C3:D3"/>
    <mergeCell ref="E3:F3"/>
    <mergeCell ref="C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0B5D-036D-46B1-A893-C76CCC5AF0E3}">
  <dimension ref="B1:J26"/>
  <sheetViews>
    <sheetView zoomScale="130" zoomScaleNormal="130" workbookViewId="0">
      <selection activeCell="K8" sqref="K8"/>
    </sheetView>
  </sheetViews>
  <sheetFormatPr defaultRowHeight="15" x14ac:dyDescent="0.25"/>
  <cols>
    <col min="1" max="1" width="2.85546875" customWidth="1"/>
  </cols>
  <sheetData>
    <row r="1" spans="2:10" ht="15.75" thickBot="1" x14ac:dyDescent="0.3">
      <c r="I1" s="41"/>
    </row>
    <row r="2" spans="2:10" x14ac:dyDescent="0.25">
      <c r="C2" s="36" t="s">
        <v>29</v>
      </c>
      <c r="D2" s="37"/>
      <c r="E2" s="37"/>
      <c r="F2" s="38"/>
    </row>
    <row r="3" spans="2:10" x14ac:dyDescent="0.25">
      <c r="C3" s="33" t="s">
        <v>2</v>
      </c>
      <c r="D3" s="34"/>
      <c r="E3" s="34" t="s">
        <v>3</v>
      </c>
      <c r="F3" s="35"/>
      <c r="J3" s="1"/>
    </row>
    <row r="4" spans="2:10" x14ac:dyDescent="0.25">
      <c r="C4" s="2" t="s">
        <v>0</v>
      </c>
      <c r="D4" s="3" t="s">
        <v>1</v>
      </c>
      <c r="E4" s="3" t="s">
        <v>0</v>
      </c>
      <c r="F4" s="4" t="s">
        <v>1</v>
      </c>
    </row>
    <row r="5" spans="2:10" ht="15.75" thickBot="1" x14ac:dyDescent="0.3">
      <c r="C5" s="5">
        <v>0.5</v>
      </c>
      <c r="D5" s="6">
        <v>4</v>
      </c>
      <c r="E5" s="6">
        <v>0.01</v>
      </c>
      <c r="F5" s="7">
        <v>3</v>
      </c>
      <c r="J5" s="31"/>
    </row>
    <row r="6" spans="2:10" ht="15.75" thickBot="1" x14ac:dyDescent="0.3"/>
    <row r="7" spans="2:10" ht="15.75" thickTop="1" x14ac:dyDescent="0.25">
      <c r="B7" s="9"/>
      <c r="C7" s="32" t="s">
        <v>32</v>
      </c>
      <c r="D7" s="32"/>
      <c r="E7" s="32"/>
      <c r="F7" s="32"/>
      <c r="G7" s="32"/>
      <c r="H7" s="32"/>
    </row>
    <row r="8" spans="2:10" ht="15.75" thickBot="1" x14ac:dyDescent="0.3"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30</v>
      </c>
    </row>
    <row r="9" spans="2:10" ht="15.75" thickTop="1" x14ac:dyDescent="0.25">
      <c r="B9" s="8">
        <v>100</v>
      </c>
      <c r="C9" s="14">
        <v>75.146727741363563</v>
      </c>
      <c r="D9" s="1">
        <v>18.447270603275925</v>
      </c>
      <c r="E9" s="1">
        <v>29.080198226163716</v>
      </c>
      <c r="F9" s="1">
        <v>23.132911689405407</v>
      </c>
      <c r="G9" s="1">
        <v>7.1708143889164226</v>
      </c>
      <c r="H9" s="1">
        <v>77.831194907761471</v>
      </c>
    </row>
    <row r="10" spans="2:10" x14ac:dyDescent="0.25">
      <c r="B10" s="8">
        <v>200</v>
      </c>
      <c r="C10" s="14">
        <v>69.730028763569734</v>
      </c>
      <c r="D10" s="1">
        <v>17.863741935323674</v>
      </c>
      <c r="E10" s="1">
        <v>31.139725012690501</v>
      </c>
      <c r="F10" s="1">
        <v>24.865850656932945</v>
      </c>
      <c r="G10" s="1">
        <v>8.920459217502275</v>
      </c>
      <c r="H10" s="1">
        <v>82.789776822449397</v>
      </c>
    </row>
    <row r="11" spans="2:10" x14ac:dyDescent="0.25">
      <c r="B11" s="8">
        <v>400</v>
      </c>
      <c r="C11" s="14">
        <v>61.670509625114704</v>
      </c>
      <c r="D11" s="1">
        <v>12.641866238604219</v>
      </c>
      <c r="E11" s="1">
        <v>33.204898850842341</v>
      </c>
      <c r="F11" s="1">
        <v>25.851731753190752</v>
      </c>
      <c r="G11" s="39">
        <v>9.504693766907705</v>
      </c>
      <c r="H11" s="1">
        <v>81.203190609545018</v>
      </c>
      <c r="I11" s="40"/>
    </row>
    <row r="12" spans="2:10" x14ac:dyDescent="0.25">
      <c r="B12" s="8">
        <v>600</v>
      </c>
      <c r="C12" s="14">
        <v>40.417830833131127</v>
      </c>
      <c r="D12" s="1">
        <v>7.7776371448232196</v>
      </c>
      <c r="E12" s="1">
        <v>27.095494873673069</v>
      </c>
      <c r="F12" s="1">
        <v>23.090323508397603</v>
      </c>
      <c r="G12" s="1">
        <v>9.2682234800964132</v>
      </c>
      <c r="H12" s="1">
        <v>67.231679006990305</v>
      </c>
    </row>
    <row r="13" spans="2:10" x14ac:dyDescent="0.25">
      <c r="B13" s="8">
        <v>800</v>
      </c>
      <c r="C13" s="14">
        <v>27.989140793383779</v>
      </c>
      <c r="D13" s="1">
        <v>3.5152896367768571</v>
      </c>
      <c r="E13" s="1">
        <v>19.330563595006872</v>
      </c>
      <c r="F13" s="1">
        <v>19.381151765817258</v>
      </c>
      <c r="G13" s="1">
        <v>8.6517536776629864</v>
      </c>
      <c r="H13" s="1">
        <v>50.878758675263974</v>
      </c>
    </row>
    <row r="14" spans="2:10" x14ac:dyDescent="0.25">
      <c r="B14" s="8">
        <v>1000</v>
      </c>
      <c r="C14" s="14">
        <v>18.832211289070237</v>
      </c>
      <c r="D14" s="1">
        <v>0.72352848949724358</v>
      </c>
      <c r="E14" s="1">
        <v>12.842807158939388</v>
      </c>
      <c r="F14" s="1">
        <v>16.051273657405861</v>
      </c>
      <c r="G14" s="1">
        <v>7.787048897532137</v>
      </c>
      <c r="H14" s="1">
        <v>37.40465820337463</v>
      </c>
    </row>
    <row r="15" spans="2:10" x14ac:dyDescent="0.25">
      <c r="B15" s="8">
        <v>1400</v>
      </c>
      <c r="C15" s="14">
        <v>9.3428116203145031</v>
      </c>
      <c r="D15" s="1">
        <v>6.4470506056014648E-2</v>
      </c>
      <c r="E15" s="1">
        <v>3.3075251957277163</v>
      </c>
      <c r="F15" s="1">
        <v>9.3981056674793333</v>
      </c>
      <c r="G15" s="1">
        <v>5.5338752990197326</v>
      </c>
      <c r="H15" s="1">
        <v>18.303976668282797</v>
      </c>
    </row>
    <row r="16" spans="2:10" x14ac:dyDescent="0.25">
      <c r="B16" s="8">
        <v>1800</v>
      </c>
      <c r="C16" s="14">
        <v>5.7418750338865845</v>
      </c>
      <c r="D16" s="1">
        <v>1.3411747610192825E-2</v>
      </c>
      <c r="E16" s="1">
        <v>0.46117588273645532</v>
      </c>
      <c r="F16" s="1">
        <v>4.7856409586615971</v>
      </c>
      <c r="G16" s="1">
        <v>2.614584902534411</v>
      </c>
      <c r="H16" s="1">
        <v>7.8748134915426569</v>
      </c>
    </row>
    <row r="17" spans="2:8" x14ac:dyDescent="0.25">
      <c r="B17" s="8">
        <v>2200</v>
      </c>
      <c r="C17" s="14">
        <v>3.700230577506872</v>
      </c>
      <c r="D17" s="1">
        <v>3.0588196303948456E-3</v>
      </c>
      <c r="E17" s="1">
        <v>0</v>
      </c>
      <c r="F17" s="1">
        <v>1.4684687164072538</v>
      </c>
      <c r="G17" s="1">
        <v>1.078116272805326</v>
      </c>
      <c r="H17" s="1">
        <v>2.5496438088429745</v>
      </c>
    </row>
    <row r="18" spans="2:8" x14ac:dyDescent="0.25">
      <c r="B18" s="8">
        <v>2600</v>
      </c>
      <c r="C18" s="14">
        <v>1.948938692196968</v>
      </c>
      <c r="D18" s="1">
        <v>4.7058763544536127E-4</v>
      </c>
      <c r="E18" s="1">
        <v>0</v>
      </c>
      <c r="F18" s="1">
        <v>0.16823507967171702</v>
      </c>
      <c r="G18" s="1">
        <v>0.60917569408401961</v>
      </c>
      <c r="H18" s="1">
        <v>0.77788136139118202</v>
      </c>
    </row>
    <row r="19" spans="2:8" x14ac:dyDescent="0.25">
      <c r="B19" s="8">
        <v>3000</v>
      </c>
      <c r="C19" s="14">
        <v>1.741880132601008</v>
      </c>
      <c r="D19" s="1">
        <v>4.7058763544536127E-4</v>
      </c>
      <c r="E19" s="1">
        <v>0</v>
      </c>
      <c r="F19" s="1">
        <v>3.8352892288796868E-2</v>
      </c>
      <c r="G19" s="1">
        <v>0.39529361377410305</v>
      </c>
      <c r="H19" s="1">
        <v>0.43411709369834528</v>
      </c>
    </row>
    <row r="20" spans="2:8" x14ac:dyDescent="0.25">
      <c r="B20" s="8">
        <v>3400</v>
      </c>
      <c r="C20" s="14">
        <v>2.0049386208149675</v>
      </c>
      <c r="D20" s="1">
        <v>4.7058763544536127E-4</v>
      </c>
      <c r="E20" s="1">
        <v>0</v>
      </c>
      <c r="F20" s="1">
        <v>1.4117629063360865E-2</v>
      </c>
      <c r="G20" s="1">
        <v>0.25835261185950226</v>
      </c>
      <c r="H20" s="1">
        <v>0.27294082855830848</v>
      </c>
    </row>
    <row r="21" spans="2:8" x14ac:dyDescent="0.25">
      <c r="B21" s="8">
        <v>3800</v>
      </c>
      <c r="C21" s="14">
        <v>2.0602326679797978</v>
      </c>
      <c r="D21" s="1">
        <v>0</v>
      </c>
      <c r="E21" s="1">
        <v>0</v>
      </c>
      <c r="F21" s="1">
        <v>4.9411701721763009E-3</v>
      </c>
      <c r="G21" s="1">
        <v>0.19223504907943054</v>
      </c>
      <c r="H21" s="1">
        <v>0.19717621925160683</v>
      </c>
    </row>
    <row r="22" spans="2:8" x14ac:dyDescent="0.25">
      <c r="B22" s="8">
        <v>4200</v>
      </c>
      <c r="C22" s="14">
        <v>2.3550558215863164</v>
      </c>
      <c r="D22" s="1">
        <v>0</v>
      </c>
      <c r="E22" s="1">
        <v>2.3529381772268115E-4</v>
      </c>
      <c r="F22" s="1">
        <v>2.117644359504131E-3</v>
      </c>
      <c r="G22" s="1">
        <v>0.15152921861340679</v>
      </c>
      <c r="H22" s="1">
        <v>0.15388215679063361</v>
      </c>
    </row>
    <row r="23" spans="2:8" x14ac:dyDescent="0.25">
      <c r="B23" s="8">
        <v>4600</v>
      </c>
      <c r="C23" s="14">
        <v>2.5865849382254171</v>
      </c>
      <c r="D23" s="1">
        <v>0</v>
      </c>
      <c r="E23" s="1">
        <v>2.3529381772268115E-4</v>
      </c>
      <c r="F23" s="1">
        <v>9.4117527089072515E-4</v>
      </c>
      <c r="G23" s="1">
        <v>0.12164690376262607</v>
      </c>
      <c r="H23" s="1">
        <v>0.12282337285123948</v>
      </c>
    </row>
    <row r="24" spans="2:8" x14ac:dyDescent="0.25">
      <c r="B24" s="15">
        <v>5000</v>
      </c>
      <c r="C24" s="16">
        <v>2.8639963493204648</v>
      </c>
      <c r="D24" s="17">
        <v>0</v>
      </c>
      <c r="E24" s="17">
        <v>0</v>
      </c>
      <c r="F24" s="17">
        <v>4.7058763544536127E-4</v>
      </c>
      <c r="G24" s="17">
        <v>9.5293996177685955E-2</v>
      </c>
      <c r="H24" s="17">
        <v>9.5764583813131313E-2</v>
      </c>
    </row>
    <row r="25" spans="2:8" ht="15.75" thickBot="1" x14ac:dyDescent="0.3">
      <c r="B25" s="42" t="s">
        <v>31</v>
      </c>
      <c r="C25" s="42"/>
      <c r="D25" s="42"/>
      <c r="E25" s="42"/>
      <c r="F25" s="42"/>
      <c r="G25" s="42"/>
      <c r="H25" s="42"/>
    </row>
    <row r="26" spans="2:8" ht="15.75" thickTop="1" x14ac:dyDescent="0.25"/>
  </sheetData>
  <mergeCells count="5">
    <mergeCell ref="C2:F2"/>
    <mergeCell ref="C3:D3"/>
    <mergeCell ref="E3:F3"/>
    <mergeCell ref="C7:H7"/>
    <mergeCell ref="B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3A52-D5A5-4E37-A060-01F75667C367}">
  <dimension ref="B1:H26"/>
  <sheetViews>
    <sheetView zoomScale="115" zoomScaleNormal="115" workbookViewId="0"/>
  </sheetViews>
  <sheetFormatPr defaultRowHeight="15" x14ac:dyDescent="0.25"/>
  <cols>
    <col min="1" max="1" width="2.85546875" customWidth="1"/>
  </cols>
  <sheetData>
    <row r="1" spans="2:8" ht="15.75" thickBot="1" x14ac:dyDescent="0.3"/>
    <row r="2" spans="2:8" x14ac:dyDescent="0.25">
      <c r="C2" s="36" t="s">
        <v>34</v>
      </c>
      <c r="D2" s="37"/>
      <c r="E2" s="37"/>
      <c r="F2" s="38"/>
    </row>
    <row r="3" spans="2:8" x14ac:dyDescent="0.25">
      <c r="C3" s="33" t="s">
        <v>2</v>
      </c>
      <c r="D3" s="34"/>
      <c r="E3" s="34" t="s">
        <v>3</v>
      </c>
      <c r="F3" s="35"/>
    </row>
    <row r="4" spans="2:8" x14ac:dyDescent="0.25">
      <c r="C4" s="2" t="s">
        <v>0</v>
      </c>
      <c r="D4" s="3" t="s">
        <v>1</v>
      </c>
      <c r="E4" s="3" t="s">
        <v>0</v>
      </c>
      <c r="F4" s="4" t="s">
        <v>1</v>
      </c>
    </row>
    <row r="5" spans="2:8" ht="15.75" thickBot="1" x14ac:dyDescent="0.3">
      <c r="C5" s="5">
        <v>0.5</v>
      </c>
      <c r="D5" s="6">
        <v>4</v>
      </c>
      <c r="E5" s="6">
        <v>0.01</v>
      </c>
      <c r="F5" s="7">
        <v>3</v>
      </c>
    </row>
    <row r="6" spans="2:8" ht="15.75" thickBot="1" x14ac:dyDescent="0.3"/>
    <row r="7" spans="2:8" ht="15.75" thickTop="1" x14ac:dyDescent="0.25">
      <c r="B7" s="9"/>
      <c r="C7" s="32" t="s">
        <v>35</v>
      </c>
      <c r="D7" s="32"/>
      <c r="E7" s="32"/>
      <c r="F7" s="32"/>
      <c r="G7" s="32"/>
      <c r="H7" s="32"/>
    </row>
    <row r="8" spans="2:8" ht="15.75" thickBot="1" x14ac:dyDescent="0.3"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30</v>
      </c>
    </row>
    <row r="9" spans="2:8" ht="15.75" thickTop="1" x14ac:dyDescent="0.25">
      <c r="B9" s="8">
        <v>100</v>
      </c>
      <c r="C9" s="14">
        <v>1.4117629063415075E-2</v>
      </c>
      <c r="D9" s="1">
        <v>3.7647010835772017E-3</v>
      </c>
      <c r="E9" s="1">
        <v>3.9999949014713218E-3</v>
      </c>
      <c r="F9" s="1">
        <v>4.4705825367361215E-3</v>
      </c>
      <c r="G9" s="1">
        <v>1.6682331676538147</v>
      </c>
      <c r="H9" s="1">
        <v>1.6804684461755994</v>
      </c>
    </row>
    <row r="10" spans="2:8" x14ac:dyDescent="0.25">
      <c r="B10" s="8">
        <v>200</v>
      </c>
      <c r="C10" s="14">
        <v>9.1827364554006863E-3</v>
      </c>
      <c r="D10" s="1">
        <v>5.176463989895041E-3</v>
      </c>
      <c r="E10" s="1">
        <v>7.2941083494173159E-3</v>
      </c>
      <c r="F10" s="1">
        <v>2.7529376673573372E-2</v>
      </c>
      <c r="G10" s="1">
        <v>2.3383499605280194</v>
      </c>
      <c r="H10" s="1">
        <v>2.3783499095409049</v>
      </c>
    </row>
    <row r="11" spans="2:8" x14ac:dyDescent="0.25">
      <c r="B11" s="8">
        <v>400</v>
      </c>
      <c r="C11" s="14">
        <v>2.9384756657499622E-2</v>
      </c>
      <c r="D11" s="1">
        <v>1.4352922881077061E-2</v>
      </c>
      <c r="E11" s="1">
        <v>1.5294098152100515E-2</v>
      </c>
      <c r="F11" s="1">
        <v>0.24305851370768258</v>
      </c>
      <c r="G11" s="1">
        <v>3.7195246705601321</v>
      </c>
      <c r="H11" s="1">
        <v>3.9922302053009924</v>
      </c>
    </row>
    <row r="12" spans="2:8" x14ac:dyDescent="0.25">
      <c r="B12" s="8">
        <v>600</v>
      </c>
      <c r="C12" s="14">
        <v>2.0428833792469998</v>
      </c>
      <c r="D12" s="1">
        <v>2.1244678802180901</v>
      </c>
      <c r="E12" s="1">
        <v>2.782349394570486</v>
      </c>
      <c r="F12" s="1">
        <v>1.8145859222773109</v>
      </c>
      <c r="G12" s="1">
        <v>4.835758541836535</v>
      </c>
      <c r="H12" s="1">
        <v>11.557161738902423</v>
      </c>
    </row>
    <row r="13" spans="2:8" x14ac:dyDescent="0.25">
      <c r="B13" s="8">
        <v>800</v>
      </c>
      <c r="C13" s="14">
        <v>5.2651974288337993</v>
      </c>
      <c r="D13" s="1">
        <v>4.3451709318847396</v>
      </c>
      <c r="E13" s="1">
        <v>6.3952859657023202</v>
      </c>
      <c r="F13" s="1">
        <v>4.298347462157933</v>
      </c>
      <c r="G13" s="1">
        <v>5.6216398930302924</v>
      </c>
      <c r="H13" s="1">
        <v>20.660444252775285</v>
      </c>
    </row>
    <row r="14" spans="2:8" x14ac:dyDescent="0.25">
      <c r="B14" s="8">
        <v>1000</v>
      </c>
      <c r="C14" s="14">
        <v>8.0702479338842998</v>
      </c>
      <c r="D14" s="1">
        <v>6.0411687700298415</v>
      </c>
      <c r="E14" s="1">
        <v>9.141870699979334</v>
      </c>
      <c r="F14" s="1">
        <v>6.2849331651905498</v>
      </c>
      <c r="G14" s="1">
        <v>6.1103451524402983</v>
      </c>
      <c r="H14" s="1">
        <v>27.578317787640025</v>
      </c>
    </row>
    <row r="15" spans="2:8" x14ac:dyDescent="0.25">
      <c r="B15" s="8">
        <v>1400</v>
      </c>
      <c r="C15" s="14">
        <v>11.54848484848482</v>
      </c>
      <c r="D15" s="1">
        <v>5.5505811600780426</v>
      </c>
      <c r="E15" s="1">
        <v>12.049631699396237</v>
      </c>
      <c r="F15" s="1">
        <v>10.40492791351468</v>
      </c>
      <c r="G15" s="1">
        <v>7.4785787024977006</v>
      </c>
      <c r="H15" s="1">
        <v>35.483719475486659</v>
      </c>
    </row>
    <row r="16" spans="2:8" x14ac:dyDescent="0.25">
      <c r="B16" s="8">
        <v>1800</v>
      </c>
      <c r="C16" s="14">
        <v>14.108815426997189</v>
      </c>
      <c r="D16" s="1">
        <v>5.376463734963254</v>
      </c>
      <c r="E16" s="1">
        <v>11.603985208629462</v>
      </c>
      <c r="F16" s="1">
        <v>13.992688046150153</v>
      </c>
      <c r="G16" s="1">
        <v>9.2131647267493175</v>
      </c>
      <c r="H16" s="1">
        <v>40.186301716492189</v>
      </c>
    </row>
    <row r="17" spans="2:8" x14ac:dyDescent="0.25">
      <c r="B17" s="8">
        <v>2200</v>
      </c>
      <c r="C17" s="14">
        <v>22.503764921946679</v>
      </c>
      <c r="D17" s="1">
        <v>7.3943435157529818</v>
      </c>
      <c r="E17" s="1">
        <v>11.802102603151971</v>
      </c>
      <c r="F17" s="1">
        <v>17.104919373168038</v>
      </c>
      <c r="G17" s="1">
        <v>10.065869522176305</v>
      </c>
      <c r="H17" s="1">
        <v>46.367235014249296</v>
      </c>
    </row>
    <row r="18" spans="2:8" x14ac:dyDescent="0.25">
      <c r="B18" s="8">
        <v>2600</v>
      </c>
      <c r="C18" s="14">
        <v>32.785674931129442</v>
      </c>
      <c r="D18" s="1">
        <v>10.603986483308063</v>
      </c>
      <c r="E18" s="1">
        <v>14.887510434949496</v>
      </c>
      <c r="F18" s="1">
        <v>18.881387696974265</v>
      </c>
      <c r="G18" s="1">
        <v>10.397163217529826</v>
      </c>
      <c r="H18" s="1">
        <v>54.770047832761648</v>
      </c>
    </row>
    <row r="19" spans="2:8" x14ac:dyDescent="0.25">
      <c r="B19" s="8">
        <v>3000</v>
      </c>
      <c r="C19" s="14">
        <v>54.72249770431582</v>
      </c>
      <c r="D19" s="1">
        <v>14.318569983696035</v>
      </c>
      <c r="E19" s="1">
        <v>18.937622919410007</v>
      </c>
      <c r="F19" s="1">
        <v>22.399971447199253</v>
      </c>
      <c r="G19" s="1">
        <v>10.473869002107428</v>
      </c>
      <c r="H19" s="1">
        <v>66.13003335241271</v>
      </c>
    </row>
    <row r="20" spans="2:8" x14ac:dyDescent="0.25">
      <c r="B20" s="8">
        <v>3400</v>
      </c>
      <c r="C20" s="14">
        <v>74.781726354453539</v>
      </c>
      <c r="D20" s="1">
        <v>18.755740798310359</v>
      </c>
      <c r="E20" s="1">
        <v>22.562088887610184</v>
      </c>
      <c r="F20" s="1">
        <v>29.457609509790853</v>
      </c>
      <c r="G20" s="1">
        <v>10.453398439965561</v>
      </c>
      <c r="H20" s="1">
        <v>81.228837635676967</v>
      </c>
    </row>
    <row r="21" spans="2:8" x14ac:dyDescent="0.25">
      <c r="B21" s="8">
        <v>3800</v>
      </c>
      <c r="C21" s="14">
        <v>88.213406795224898</v>
      </c>
      <c r="D21" s="1">
        <v>30.700902042637697</v>
      </c>
      <c r="E21" s="1">
        <v>24.357851304469683</v>
      </c>
      <c r="F21" s="1">
        <v>30.567255154171178</v>
      </c>
      <c r="G21" s="1">
        <v>10.511045425307609</v>
      </c>
      <c r="H21" s="1">
        <v>96.137053926586177</v>
      </c>
    </row>
    <row r="22" spans="2:8" x14ac:dyDescent="0.25">
      <c r="B22" s="8">
        <v>4200</v>
      </c>
      <c r="C22" s="14">
        <v>95.383195592286441</v>
      </c>
      <c r="D22" s="1">
        <v>41.083241749650831</v>
      </c>
      <c r="E22" s="1">
        <v>24.972909343996779</v>
      </c>
      <c r="F22" s="1">
        <v>36.904188253078338</v>
      </c>
      <c r="G22" s="1">
        <v>10.674809922442609</v>
      </c>
      <c r="H22" s="1">
        <v>113.63514926916856</v>
      </c>
    </row>
    <row r="23" spans="2:8" x14ac:dyDescent="0.25">
      <c r="B23" s="8">
        <v>4600</v>
      </c>
      <c r="C23" s="14">
        <v>120.39256198347088</v>
      </c>
      <c r="D23" s="1">
        <v>57.534044309550026</v>
      </c>
      <c r="E23" s="1">
        <v>29.97596179023407</v>
      </c>
      <c r="F23" s="1">
        <v>41.78088791919879</v>
      </c>
      <c r="G23" s="1">
        <v>10.593398261510542</v>
      </c>
      <c r="H23" s="1">
        <v>139.88429228049344</v>
      </c>
    </row>
    <row r="24" spans="2:8" x14ac:dyDescent="0.25">
      <c r="B24" s="15">
        <v>5000</v>
      </c>
      <c r="C24" s="16">
        <v>153.21322314049496</v>
      </c>
      <c r="D24" s="17">
        <v>66.142268630934311</v>
      </c>
      <c r="E24" s="17">
        <v>37.203717283039417</v>
      </c>
      <c r="F24" s="17">
        <v>48.258056133468642</v>
      </c>
      <c r="G24" s="17">
        <v>10.452692558512386</v>
      </c>
      <c r="H24" s="17">
        <v>162.05673460595474</v>
      </c>
    </row>
    <row r="25" spans="2:8" ht="15.75" thickBot="1" x14ac:dyDescent="0.3">
      <c r="B25" s="42" t="s">
        <v>31</v>
      </c>
      <c r="C25" s="42"/>
      <c r="D25" s="42"/>
      <c r="E25" s="42"/>
      <c r="F25" s="42"/>
      <c r="G25" s="42"/>
      <c r="H25" s="42"/>
    </row>
    <row r="26" spans="2:8" ht="15.75" thickTop="1" x14ac:dyDescent="0.25"/>
  </sheetData>
  <mergeCells count="5">
    <mergeCell ref="C2:F2"/>
    <mergeCell ref="C3:D3"/>
    <mergeCell ref="E3:F3"/>
    <mergeCell ref="C7:H7"/>
    <mergeCell ref="B25:H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22BE-7884-4A97-9900-30E3D7DF83AD}">
  <dimension ref="A1"/>
  <sheetViews>
    <sheetView showGridLines="0" zoomScale="175" zoomScaleNormal="175" workbookViewId="0"/>
  </sheetViews>
  <sheetFormatPr defaultRowHeight="15" x14ac:dyDescent="0.25"/>
  <cols>
    <col min="1" max="1" width="2.4257812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8F86-C6BF-4836-9475-ACC3C0A8D20A}">
  <dimension ref="B1:R84"/>
  <sheetViews>
    <sheetView topLeftCell="C1" workbookViewId="0">
      <selection activeCell="C1" sqref="C1"/>
    </sheetView>
  </sheetViews>
  <sheetFormatPr defaultRowHeight="15" x14ac:dyDescent="0.25"/>
  <cols>
    <col min="1" max="1" width="2.28515625" customWidth="1"/>
    <col min="2" max="2" width="9.5703125" bestFit="1" customWidth="1"/>
    <col min="3" max="3" width="7.28515625" bestFit="1" customWidth="1"/>
    <col min="4" max="4" width="10" bestFit="1" customWidth="1"/>
    <col min="5" max="5" width="11.85546875" bestFit="1" customWidth="1"/>
    <col min="6" max="6" width="5" bestFit="1" customWidth="1"/>
    <col min="7" max="7" width="13.42578125" bestFit="1" customWidth="1"/>
    <col min="8" max="8" width="14.7109375" bestFit="1" customWidth="1"/>
    <col min="9" max="9" width="2.28515625" customWidth="1"/>
    <col min="10" max="10" width="8.28515625" bestFit="1" customWidth="1"/>
    <col min="11" max="11" width="7.28515625" bestFit="1" customWidth="1"/>
    <col min="12" max="12" width="9.42578125" bestFit="1" customWidth="1"/>
    <col min="13" max="13" width="11.85546875" bestFit="1" customWidth="1"/>
    <col min="14" max="14" width="5" bestFit="1" customWidth="1"/>
    <col min="15" max="15" width="13.42578125" bestFit="1" customWidth="1"/>
    <col min="16" max="16" width="14.7109375" bestFit="1" customWidth="1"/>
    <col min="18" max="18" width="22.140625" customWidth="1"/>
  </cols>
  <sheetData>
    <row r="1" spans="2:18" ht="15.75" thickBot="1" x14ac:dyDescent="0.3"/>
    <row r="2" spans="2:18" x14ac:dyDescent="0.25">
      <c r="B2" s="18" t="s">
        <v>37</v>
      </c>
      <c r="C2" s="19"/>
      <c r="D2" s="19"/>
      <c r="E2" s="19"/>
      <c r="F2" s="19"/>
      <c r="G2" s="19"/>
      <c r="H2" s="20"/>
      <c r="J2" s="18" t="s">
        <v>36</v>
      </c>
      <c r="K2" s="19"/>
      <c r="L2" s="19"/>
      <c r="M2" s="19"/>
      <c r="N2" s="19"/>
      <c r="O2" s="19"/>
      <c r="P2" s="20"/>
      <c r="R2" s="28" t="s">
        <v>26</v>
      </c>
    </row>
    <row r="3" spans="2:18" x14ac:dyDescent="0.25">
      <c r="B3" s="21"/>
      <c r="H3" s="22"/>
      <c r="J3" s="21"/>
      <c r="P3" s="22"/>
      <c r="R3" s="29"/>
    </row>
    <row r="4" spans="2:18" x14ac:dyDescent="0.25">
      <c r="B4" s="21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s="22" t="s">
        <v>21</v>
      </c>
      <c r="J4" s="21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s="22" t="s">
        <v>21</v>
      </c>
      <c r="R4" s="29"/>
    </row>
    <row r="5" spans="2:18" x14ac:dyDescent="0.25">
      <c r="B5" s="21" t="s">
        <v>11</v>
      </c>
      <c r="C5" t="s">
        <v>12</v>
      </c>
      <c r="D5" t="s">
        <v>14</v>
      </c>
      <c r="E5" t="s">
        <v>13</v>
      </c>
      <c r="F5">
        <v>100</v>
      </c>
      <c r="G5">
        <v>3.4495867768594999</v>
      </c>
      <c r="H5" s="23">
        <v>43556.375</v>
      </c>
      <c r="J5" s="21" t="s">
        <v>11</v>
      </c>
      <c r="K5" t="s">
        <v>12</v>
      </c>
      <c r="L5" t="s">
        <v>14</v>
      </c>
      <c r="M5" t="s">
        <v>13</v>
      </c>
      <c r="N5">
        <v>100</v>
      </c>
      <c r="O5">
        <v>2.79853076216712</v>
      </c>
      <c r="P5" s="23">
        <v>43556.375</v>
      </c>
      <c r="R5" s="29">
        <f>G5-O5</f>
        <v>0.65105601469237984</v>
      </c>
    </row>
    <row r="6" spans="2:18" x14ac:dyDescent="0.25">
      <c r="B6" s="21" t="s">
        <v>11</v>
      </c>
      <c r="C6" t="s">
        <v>12</v>
      </c>
      <c r="D6" t="s">
        <v>14</v>
      </c>
      <c r="E6" t="s">
        <v>13</v>
      </c>
      <c r="F6">
        <v>200</v>
      </c>
      <c r="G6">
        <v>4.39393939393939</v>
      </c>
      <c r="H6" s="23">
        <v>43556.875</v>
      </c>
      <c r="J6" s="21" t="s">
        <v>11</v>
      </c>
      <c r="K6" t="s">
        <v>12</v>
      </c>
      <c r="L6" t="s">
        <v>14</v>
      </c>
      <c r="M6" t="s">
        <v>13</v>
      </c>
      <c r="N6">
        <v>200</v>
      </c>
      <c r="O6">
        <v>3.4813590449954002</v>
      </c>
      <c r="P6" s="23">
        <v>43556.875</v>
      </c>
      <c r="R6" s="29">
        <f t="shared" ref="R6:R69" si="0">G6-O6</f>
        <v>0.91258034894398987</v>
      </c>
    </row>
    <row r="7" spans="2:18" x14ac:dyDescent="0.25">
      <c r="B7" s="21" t="s">
        <v>11</v>
      </c>
      <c r="C7" t="s">
        <v>12</v>
      </c>
      <c r="D7" t="s">
        <v>14</v>
      </c>
      <c r="E7" t="s">
        <v>13</v>
      </c>
      <c r="F7">
        <v>400</v>
      </c>
      <c r="G7">
        <v>5.1609733700642701</v>
      </c>
      <c r="H7" s="23">
        <v>43557.375</v>
      </c>
      <c r="J7" s="21" t="s">
        <v>11</v>
      </c>
      <c r="K7" t="s">
        <v>12</v>
      </c>
      <c r="L7" t="s">
        <v>14</v>
      </c>
      <c r="M7" t="s">
        <v>13</v>
      </c>
      <c r="N7">
        <v>400</v>
      </c>
      <c r="O7">
        <v>3.7093663911845698</v>
      </c>
      <c r="P7" s="23">
        <v>43557.375</v>
      </c>
      <c r="R7" s="29">
        <f t="shared" si="0"/>
        <v>1.4516069788797004</v>
      </c>
    </row>
    <row r="8" spans="2:18" x14ac:dyDescent="0.25">
      <c r="B8" s="21" t="s">
        <v>11</v>
      </c>
      <c r="C8" t="s">
        <v>12</v>
      </c>
      <c r="D8" t="s">
        <v>14</v>
      </c>
      <c r="E8" t="s">
        <v>13</v>
      </c>
      <c r="F8">
        <v>600</v>
      </c>
      <c r="G8">
        <v>5.5043158861340604</v>
      </c>
      <c r="H8" s="23">
        <v>43557.875</v>
      </c>
      <c r="J8" s="21" t="s">
        <v>11</v>
      </c>
      <c r="K8" t="s">
        <v>12</v>
      </c>
      <c r="L8" t="s">
        <v>14</v>
      </c>
      <c r="M8" t="s">
        <v>13</v>
      </c>
      <c r="N8">
        <v>600</v>
      </c>
      <c r="O8">
        <v>3.6170798898071599</v>
      </c>
      <c r="P8" s="23">
        <v>43557.875</v>
      </c>
      <c r="R8" s="29">
        <f t="shared" si="0"/>
        <v>1.8872359963269005</v>
      </c>
    </row>
    <row r="9" spans="2:18" x14ac:dyDescent="0.25">
      <c r="B9" s="21" t="s">
        <v>11</v>
      </c>
      <c r="C9" t="s">
        <v>12</v>
      </c>
      <c r="D9" t="s">
        <v>14</v>
      </c>
      <c r="E9" t="s">
        <v>13</v>
      </c>
      <c r="F9">
        <v>800</v>
      </c>
      <c r="G9">
        <v>5.5704315886133999</v>
      </c>
      <c r="H9" s="23">
        <v>43558.375</v>
      </c>
      <c r="J9" s="21" t="s">
        <v>11</v>
      </c>
      <c r="K9" t="s">
        <v>12</v>
      </c>
      <c r="L9" t="s">
        <v>14</v>
      </c>
      <c r="M9" t="s">
        <v>13</v>
      </c>
      <c r="N9">
        <v>800</v>
      </c>
      <c r="O9">
        <v>3.3764921946740101</v>
      </c>
      <c r="P9" s="23">
        <v>43558.375</v>
      </c>
      <c r="R9" s="29">
        <f t="shared" si="0"/>
        <v>2.1939393939393899</v>
      </c>
    </row>
    <row r="10" spans="2:18" x14ac:dyDescent="0.25">
      <c r="B10" s="21" t="s">
        <v>11</v>
      </c>
      <c r="C10" t="s">
        <v>12</v>
      </c>
      <c r="D10" t="s">
        <v>14</v>
      </c>
      <c r="E10" t="s">
        <v>13</v>
      </c>
      <c r="F10">
        <v>1000</v>
      </c>
      <c r="G10">
        <v>5.4236914600550898</v>
      </c>
      <c r="H10" s="23">
        <v>43558.875</v>
      </c>
      <c r="J10" s="21" t="s">
        <v>11</v>
      </c>
      <c r="K10" t="s">
        <v>12</v>
      </c>
      <c r="L10" t="s">
        <v>14</v>
      </c>
      <c r="M10" t="s">
        <v>13</v>
      </c>
      <c r="N10">
        <v>1000</v>
      </c>
      <c r="O10">
        <v>3.0390266299357198</v>
      </c>
      <c r="P10" s="23">
        <v>43558.875</v>
      </c>
      <c r="R10" s="29">
        <f t="shared" si="0"/>
        <v>2.38466483011937</v>
      </c>
    </row>
    <row r="11" spans="2:18" x14ac:dyDescent="0.25">
      <c r="B11" s="21" t="s">
        <v>11</v>
      </c>
      <c r="C11" t="s">
        <v>12</v>
      </c>
      <c r="D11" t="s">
        <v>14</v>
      </c>
      <c r="E11" t="s">
        <v>13</v>
      </c>
      <c r="F11">
        <v>1400</v>
      </c>
      <c r="G11">
        <v>5.0783287419651</v>
      </c>
      <c r="H11" s="23">
        <v>43559.375</v>
      </c>
      <c r="J11" s="21" t="s">
        <v>11</v>
      </c>
      <c r="K11" t="s">
        <v>12</v>
      </c>
      <c r="L11" t="s">
        <v>14</v>
      </c>
      <c r="M11" t="s">
        <v>13</v>
      </c>
      <c r="N11">
        <v>1400</v>
      </c>
      <c r="O11">
        <v>2.15968778696051</v>
      </c>
      <c r="P11" s="23">
        <v>43559.375</v>
      </c>
      <c r="R11" s="29">
        <f t="shared" si="0"/>
        <v>2.91864095500459</v>
      </c>
    </row>
    <row r="12" spans="2:18" x14ac:dyDescent="0.25">
      <c r="B12" s="21" t="s">
        <v>11</v>
      </c>
      <c r="C12" t="s">
        <v>12</v>
      </c>
      <c r="D12" t="s">
        <v>14</v>
      </c>
      <c r="E12" t="s">
        <v>13</v>
      </c>
      <c r="F12">
        <v>1800</v>
      </c>
      <c r="G12">
        <v>4.6159779614324998</v>
      </c>
      <c r="H12" s="23">
        <v>43559.875</v>
      </c>
      <c r="J12" s="21" t="s">
        <v>11</v>
      </c>
      <c r="K12" t="s">
        <v>12</v>
      </c>
      <c r="L12" t="s">
        <v>14</v>
      </c>
      <c r="M12" t="s">
        <v>13</v>
      </c>
      <c r="N12">
        <v>1800</v>
      </c>
      <c r="O12">
        <v>1.02038567493112</v>
      </c>
      <c r="P12" s="23">
        <v>43559.875</v>
      </c>
      <c r="R12" s="29">
        <f t="shared" si="0"/>
        <v>3.5955922865013799</v>
      </c>
    </row>
    <row r="13" spans="2:18" x14ac:dyDescent="0.25">
      <c r="B13" s="21" t="s">
        <v>11</v>
      </c>
      <c r="C13" t="s">
        <v>12</v>
      </c>
      <c r="D13" t="s">
        <v>14</v>
      </c>
      <c r="E13" t="s">
        <v>13</v>
      </c>
      <c r="F13">
        <v>2200</v>
      </c>
      <c r="G13">
        <v>4.3491276400367296</v>
      </c>
      <c r="H13" s="23">
        <v>43560.375</v>
      </c>
      <c r="J13" s="21" t="s">
        <v>11</v>
      </c>
      <c r="K13" t="s">
        <v>12</v>
      </c>
      <c r="L13" t="s">
        <v>14</v>
      </c>
      <c r="M13" t="s">
        <v>13</v>
      </c>
      <c r="N13">
        <v>2200</v>
      </c>
      <c r="O13">
        <v>0.42075298438934799</v>
      </c>
      <c r="P13" s="23">
        <v>43560.375</v>
      </c>
      <c r="R13" s="29">
        <f t="shared" si="0"/>
        <v>3.9283746556473815</v>
      </c>
    </row>
    <row r="14" spans="2:18" x14ac:dyDescent="0.25">
      <c r="B14" s="21" t="s">
        <v>11</v>
      </c>
      <c r="C14" t="s">
        <v>12</v>
      </c>
      <c r="D14" t="s">
        <v>14</v>
      </c>
      <c r="E14" t="s">
        <v>13</v>
      </c>
      <c r="F14">
        <v>2600</v>
      </c>
      <c r="G14">
        <v>4.2954086317722604</v>
      </c>
      <c r="H14" s="23">
        <v>43560.875</v>
      </c>
      <c r="J14" s="21" t="s">
        <v>11</v>
      </c>
      <c r="K14" t="s">
        <v>12</v>
      </c>
      <c r="L14" t="s">
        <v>14</v>
      </c>
      <c r="M14" t="s">
        <v>13</v>
      </c>
      <c r="N14">
        <v>2600</v>
      </c>
      <c r="O14">
        <v>0.23774104683195499</v>
      </c>
      <c r="P14" s="23">
        <v>43560.875</v>
      </c>
      <c r="R14" s="29">
        <f t="shared" si="0"/>
        <v>4.0576675849403054</v>
      </c>
    </row>
    <row r="15" spans="2:18" x14ac:dyDescent="0.25">
      <c r="B15" s="21" t="s">
        <v>11</v>
      </c>
      <c r="C15" t="s">
        <v>12</v>
      </c>
      <c r="D15" t="s">
        <v>14</v>
      </c>
      <c r="E15" t="s">
        <v>13</v>
      </c>
      <c r="F15">
        <v>3000</v>
      </c>
      <c r="G15">
        <v>4.24187327823691</v>
      </c>
      <c r="H15" s="23">
        <v>43561.375</v>
      </c>
      <c r="J15" s="21" t="s">
        <v>11</v>
      </c>
      <c r="K15" t="s">
        <v>12</v>
      </c>
      <c r="L15" t="s">
        <v>14</v>
      </c>
      <c r="M15" t="s">
        <v>13</v>
      </c>
      <c r="N15">
        <v>3000</v>
      </c>
      <c r="O15">
        <v>0.15426997245179</v>
      </c>
      <c r="P15" s="23">
        <v>43561.375</v>
      </c>
      <c r="R15" s="29">
        <f t="shared" si="0"/>
        <v>4.0876033057851195</v>
      </c>
    </row>
    <row r="16" spans="2:18" x14ac:dyDescent="0.25">
      <c r="B16" s="21" t="s">
        <v>11</v>
      </c>
      <c r="C16" t="s">
        <v>12</v>
      </c>
      <c r="D16" t="s">
        <v>14</v>
      </c>
      <c r="E16" t="s">
        <v>13</v>
      </c>
      <c r="F16">
        <v>3400</v>
      </c>
      <c r="G16">
        <v>4.1804407713498604</v>
      </c>
      <c r="H16" s="23">
        <v>43561.875</v>
      </c>
      <c r="J16" s="21" t="s">
        <v>11</v>
      </c>
      <c r="K16" t="s">
        <v>12</v>
      </c>
      <c r="L16" t="s">
        <v>14</v>
      </c>
      <c r="M16" t="s">
        <v>13</v>
      </c>
      <c r="N16">
        <v>3400</v>
      </c>
      <c r="O16">
        <v>0.10082644628099099</v>
      </c>
      <c r="P16" s="23">
        <v>43561.875</v>
      </c>
      <c r="R16" s="29">
        <f t="shared" si="0"/>
        <v>4.079614325068869</v>
      </c>
    </row>
    <row r="17" spans="2:18" x14ac:dyDescent="0.25">
      <c r="B17" s="21" t="s">
        <v>11</v>
      </c>
      <c r="C17" t="s">
        <v>12</v>
      </c>
      <c r="D17" t="s">
        <v>14</v>
      </c>
      <c r="E17" t="s">
        <v>13</v>
      </c>
      <c r="F17">
        <v>3800</v>
      </c>
      <c r="G17">
        <v>4.17713498622589</v>
      </c>
      <c r="H17" s="23">
        <v>43562.375</v>
      </c>
      <c r="J17" s="21" t="s">
        <v>11</v>
      </c>
      <c r="K17" t="s">
        <v>12</v>
      </c>
      <c r="L17" t="s">
        <v>14</v>
      </c>
      <c r="M17" t="s">
        <v>13</v>
      </c>
      <c r="N17">
        <v>3800</v>
      </c>
      <c r="O17">
        <v>7.5022956841138605E-2</v>
      </c>
      <c r="P17" s="23">
        <v>43562.375</v>
      </c>
      <c r="R17" s="29">
        <f t="shared" si="0"/>
        <v>4.1021120293847515</v>
      </c>
    </row>
    <row r="18" spans="2:18" x14ac:dyDescent="0.25">
      <c r="B18" s="21" t="s">
        <v>11</v>
      </c>
      <c r="C18" t="s">
        <v>12</v>
      </c>
      <c r="D18" t="s">
        <v>14</v>
      </c>
      <c r="E18" t="s">
        <v>13</v>
      </c>
      <c r="F18">
        <v>4200</v>
      </c>
      <c r="G18">
        <v>4.2251606978879703</v>
      </c>
      <c r="H18" s="23">
        <v>43562.875</v>
      </c>
      <c r="J18" s="21" t="s">
        <v>11</v>
      </c>
      <c r="K18" t="s">
        <v>12</v>
      </c>
      <c r="L18" t="s">
        <v>14</v>
      </c>
      <c r="M18" t="s">
        <v>13</v>
      </c>
      <c r="N18">
        <v>4200</v>
      </c>
      <c r="O18">
        <v>5.9136822773186402E-2</v>
      </c>
      <c r="P18" s="23">
        <v>43562.875</v>
      </c>
      <c r="R18" s="29">
        <f t="shared" si="0"/>
        <v>4.1660238751147842</v>
      </c>
    </row>
    <row r="19" spans="2:18" x14ac:dyDescent="0.25">
      <c r="B19" s="21" t="s">
        <v>11</v>
      </c>
      <c r="C19" t="s">
        <v>12</v>
      </c>
      <c r="D19" t="s">
        <v>14</v>
      </c>
      <c r="E19" t="s">
        <v>13</v>
      </c>
      <c r="F19">
        <v>4600</v>
      </c>
      <c r="G19">
        <v>4.1817263544536196</v>
      </c>
      <c r="H19" s="23">
        <v>43563.375</v>
      </c>
      <c r="J19" s="21" t="s">
        <v>11</v>
      </c>
      <c r="K19" t="s">
        <v>12</v>
      </c>
      <c r="L19" t="s">
        <v>14</v>
      </c>
      <c r="M19" t="s">
        <v>13</v>
      </c>
      <c r="N19">
        <v>4600</v>
      </c>
      <c r="O19">
        <v>4.7474747474747399E-2</v>
      </c>
      <c r="P19" s="23">
        <v>43563.375</v>
      </c>
      <c r="R19" s="29">
        <f t="shared" si="0"/>
        <v>4.1342516069788724</v>
      </c>
    </row>
    <row r="20" spans="2:18" x14ac:dyDescent="0.25">
      <c r="B20" s="21" t="s">
        <v>11</v>
      </c>
      <c r="C20" t="s">
        <v>12</v>
      </c>
      <c r="D20" t="s">
        <v>14</v>
      </c>
      <c r="E20" t="s">
        <v>13</v>
      </c>
      <c r="F20">
        <v>5000</v>
      </c>
      <c r="G20">
        <v>4.1165289256198303</v>
      </c>
      <c r="H20" s="23">
        <v>43563.875</v>
      </c>
      <c r="J20" s="21" t="s">
        <v>11</v>
      </c>
      <c r="K20" t="s">
        <v>12</v>
      </c>
      <c r="L20" t="s">
        <v>14</v>
      </c>
      <c r="M20" t="s">
        <v>13</v>
      </c>
      <c r="N20">
        <v>5000</v>
      </c>
      <c r="O20">
        <v>3.71900826446281E-2</v>
      </c>
      <c r="P20" s="23">
        <v>43563.875</v>
      </c>
      <c r="R20" s="29">
        <f t="shared" si="0"/>
        <v>4.0793388429752024</v>
      </c>
    </row>
    <row r="21" spans="2:18" x14ac:dyDescent="0.25">
      <c r="B21" s="21" t="s">
        <v>22</v>
      </c>
      <c r="C21" t="s">
        <v>12</v>
      </c>
      <c r="D21" t="s">
        <v>14</v>
      </c>
      <c r="E21" t="s">
        <v>13</v>
      </c>
      <c r="F21">
        <v>100</v>
      </c>
      <c r="G21">
        <v>9.0297520661156998</v>
      </c>
      <c r="H21" s="23">
        <v>43561.041666666664</v>
      </c>
      <c r="J21" s="21" t="s">
        <v>22</v>
      </c>
      <c r="K21" t="s">
        <v>12</v>
      </c>
      <c r="L21" t="s">
        <v>14</v>
      </c>
      <c r="M21" t="s">
        <v>13</v>
      </c>
      <c r="N21">
        <v>100</v>
      </c>
      <c r="O21">
        <v>9.0280073461891597</v>
      </c>
      <c r="P21" s="23">
        <v>43561.041666666664</v>
      </c>
      <c r="R21" s="29">
        <f t="shared" si="0"/>
        <v>1.7447199265401281E-3</v>
      </c>
    </row>
    <row r="22" spans="2:18" x14ac:dyDescent="0.25">
      <c r="B22" s="21" t="s">
        <v>22</v>
      </c>
      <c r="C22" t="s">
        <v>12</v>
      </c>
      <c r="D22" t="s">
        <v>14</v>
      </c>
      <c r="E22" t="s">
        <v>13</v>
      </c>
      <c r="F22">
        <v>200</v>
      </c>
      <c r="G22">
        <v>9.7150596877869599</v>
      </c>
      <c r="H22" s="23">
        <v>43562.5</v>
      </c>
      <c r="J22" s="21" t="s">
        <v>22</v>
      </c>
      <c r="K22" t="s">
        <v>12</v>
      </c>
      <c r="L22" t="s">
        <v>14</v>
      </c>
      <c r="M22" t="s">
        <v>13</v>
      </c>
      <c r="N22">
        <v>200</v>
      </c>
      <c r="O22">
        <v>9.7043158861340597</v>
      </c>
      <c r="P22" s="23">
        <v>43562.5</v>
      </c>
      <c r="R22" s="29">
        <f t="shared" si="0"/>
        <v>1.0743801652900231E-2</v>
      </c>
    </row>
    <row r="23" spans="2:18" x14ac:dyDescent="0.25">
      <c r="B23" s="21" t="s">
        <v>22</v>
      </c>
      <c r="C23" t="s">
        <v>12</v>
      </c>
      <c r="D23" t="s">
        <v>14</v>
      </c>
      <c r="E23" t="s">
        <v>13</v>
      </c>
      <c r="F23">
        <v>400</v>
      </c>
      <c r="G23">
        <v>10.183930211202901</v>
      </c>
      <c r="H23" s="23">
        <v>43563.958333333336</v>
      </c>
      <c r="J23" s="21" t="s">
        <v>22</v>
      </c>
      <c r="K23" t="s">
        <v>12</v>
      </c>
      <c r="L23" t="s">
        <v>14</v>
      </c>
      <c r="M23" t="s">
        <v>13</v>
      </c>
      <c r="N23">
        <v>400</v>
      </c>
      <c r="O23">
        <v>10.089072543617901</v>
      </c>
      <c r="P23" s="23">
        <v>43563.958333333336</v>
      </c>
      <c r="R23" s="29">
        <f t="shared" si="0"/>
        <v>9.4857667584999916E-2</v>
      </c>
    </row>
    <row r="24" spans="2:18" x14ac:dyDescent="0.25">
      <c r="B24" s="21" t="s">
        <v>22</v>
      </c>
      <c r="C24" t="s">
        <v>12</v>
      </c>
      <c r="D24" t="s">
        <v>14</v>
      </c>
      <c r="E24" t="s">
        <v>13</v>
      </c>
      <c r="F24">
        <v>600</v>
      </c>
      <c r="G24">
        <v>9.7195592286501302</v>
      </c>
      <c r="H24" s="23">
        <v>43565.5</v>
      </c>
      <c r="J24" s="21" t="s">
        <v>22</v>
      </c>
      <c r="K24" t="s">
        <v>12</v>
      </c>
      <c r="L24" t="s">
        <v>14</v>
      </c>
      <c r="M24" t="s">
        <v>13</v>
      </c>
      <c r="N24">
        <v>600</v>
      </c>
      <c r="O24">
        <v>9.0113865932047705</v>
      </c>
      <c r="P24" s="23">
        <v>43565.5</v>
      </c>
      <c r="R24" s="29">
        <f t="shared" si="0"/>
        <v>0.70817263544535969</v>
      </c>
    </row>
    <row r="25" spans="2:18" x14ac:dyDescent="0.25">
      <c r="B25" s="21" t="s">
        <v>22</v>
      </c>
      <c r="C25" t="s">
        <v>12</v>
      </c>
      <c r="D25" t="s">
        <v>14</v>
      </c>
      <c r="E25" t="s">
        <v>13</v>
      </c>
      <c r="F25">
        <v>800</v>
      </c>
      <c r="G25">
        <v>9.2413223140495795</v>
      </c>
      <c r="H25" s="23">
        <v>43566.958333333336</v>
      </c>
      <c r="J25" s="21" t="s">
        <v>22</v>
      </c>
      <c r="K25" t="s">
        <v>12</v>
      </c>
      <c r="L25" t="s">
        <v>14</v>
      </c>
      <c r="M25" t="s">
        <v>13</v>
      </c>
      <c r="N25">
        <v>800</v>
      </c>
      <c r="O25">
        <v>7.5638200183654698</v>
      </c>
      <c r="P25" s="23">
        <v>43566.958333333336</v>
      </c>
      <c r="R25" s="29">
        <f t="shared" si="0"/>
        <v>1.6775022956841097</v>
      </c>
    </row>
    <row r="26" spans="2:18" x14ac:dyDescent="0.25">
      <c r="B26" s="21" t="s">
        <v>22</v>
      </c>
      <c r="C26" t="s">
        <v>12</v>
      </c>
      <c r="D26" t="s">
        <v>14</v>
      </c>
      <c r="E26" t="s">
        <v>13</v>
      </c>
      <c r="F26">
        <v>1000</v>
      </c>
      <c r="G26">
        <v>8.7170798898071595</v>
      </c>
      <c r="H26" s="23">
        <v>43568.5</v>
      </c>
      <c r="J26" s="21" t="s">
        <v>22</v>
      </c>
      <c r="K26" t="s">
        <v>12</v>
      </c>
      <c r="L26" t="s">
        <v>14</v>
      </c>
      <c r="M26" t="s">
        <v>13</v>
      </c>
      <c r="N26">
        <v>1000</v>
      </c>
      <c r="O26">
        <v>6.2642791551882402</v>
      </c>
      <c r="P26" s="23">
        <v>43568.5</v>
      </c>
      <c r="R26" s="29">
        <f t="shared" si="0"/>
        <v>2.4528007346189193</v>
      </c>
    </row>
    <row r="27" spans="2:18" x14ac:dyDescent="0.25">
      <c r="B27" s="21" t="s">
        <v>22</v>
      </c>
      <c r="C27" t="s">
        <v>12</v>
      </c>
      <c r="D27" t="s">
        <v>14</v>
      </c>
      <c r="E27" t="s">
        <v>13</v>
      </c>
      <c r="F27">
        <v>1400</v>
      </c>
      <c r="G27">
        <v>7.7284664830119301</v>
      </c>
      <c r="H27" s="23">
        <v>43569.958333333336</v>
      </c>
      <c r="J27" s="21" t="s">
        <v>22</v>
      </c>
      <c r="K27" t="s">
        <v>12</v>
      </c>
      <c r="L27" t="s">
        <v>14</v>
      </c>
      <c r="M27" t="s">
        <v>13</v>
      </c>
      <c r="N27">
        <v>1400</v>
      </c>
      <c r="O27">
        <v>3.6677685950413199</v>
      </c>
      <c r="P27" s="23">
        <v>43569.958333333336</v>
      </c>
      <c r="R27" s="29">
        <f t="shared" si="0"/>
        <v>4.0606978879706102</v>
      </c>
    </row>
    <row r="28" spans="2:18" x14ac:dyDescent="0.25">
      <c r="B28" s="21" t="s">
        <v>22</v>
      </c>
      <c r="C28" t="s">
        <v>12</v>
      </c>
      <c r="D28" t="s">
        <v>14</v>
      </c>
      <c r="E28" t="s">
        <v>13</v>
      </c>
      <c r="F28">
        <v>1800</v>
      </c>
      <c r="G28">
        <v>7.32855831037649</v>
      </c>
      <c r="H28" s="23">
        <v>43571.5</v>
      </c>
      <c r="J28" s="21" t="s">
        <v>22</v>
      </c>
      <c r="K28" t="s">
        <v>12</v>
      </c>
      <c r="L28" t="s">
        <v>14</v>
      </c>
      <c r="M28" t="s">
        <v>13</v>
      </c>
      <c r="N28">
        <v>1800</v>
      </c>
      <c r="O28">
        <v>1.8676767676767601</v>
      </c>
      <c r="P28" s="23">
        <v>43571.5</v>
      </c>
      <c r="R28" s="29">
        <f t="shared" si="0"/>
        <v>5.4608815426997301</v>
      </c>
    </row>
    <row r="29" spans="2:18" x14ac:dyDescent="0.25">
      <c r="B29" s="21" t="s">
        <v>22</v>
      </c>
      <c r="C29" t="s">
        <v>12</v>
      </c>
      <c r="D29" t="s">
        <v>14</v>
      </c>
      <c r="E29" t="s">
        <v>13</v>
      </c>
      <c r="F29">
        <v>2200</v>
      </c>
      <c r="G29">
        <v>7.2485766758494004</v>
      </c>
      <c r="H29" s="23">
        <v>43572.958333333336</v>
      </c>
      <c r="J29" s="21" t="s">
        <v>22</v>
      </c>
      <c r="K29" t="s">
        <v>12</v>
      </c>
      <c r="L29" t="s">
        <v>14</v>
      </c>
      <c r="M29" t="s">
        <v>13</v>
      </c>
      <c r="N29">
        <v>2200</v>
      </c>
      <c r="O29">
        <v>0.57309458218549103</v>
      </c>
      <c r="P29" s="23">
        <v>43572.958333333336</v>
      </c>
      <c r="R29" s="29">
        <f t="shared" si="0"/>
        <v>6.6754820936639092</v>
      </c>
    </row>
    <row r="30" spans="2:18" x14ac:dyDescent="0.25">
      <c r="B30" s="21" t="s">
        <v>22</v>
      </c>
      <c r="C30" t="s">
        <v>12</v>
      </c>
      <c r="D30" t="s">
        <v>14</v>
      </c>
      <c r="E30" t="s">
        <v>13</v>
      </c>
      <c r="F30">
        <v>2600</v>
      </c>
      <c r="G30">
        <v>7.4344352617079803</v>
      </c>
      <c r="H30" s="23">
        <v>43574.5</v>
      </c>
      <c r="J30" s="21" t="s">
        <v>22</v>
      </c>
      <c r="K30" t="s">
        <v>12</v>
      </c>
      <c r="L30" t="s">
        <v>14</v>
      </c>
      <c r="M30" t="s">
        <v>13</v>
      </c>
      <c r="N30">
        <v>2600</v>
      </c>
      <c r="O30">
        <v>6.5656565656565594E-2</v>
      </c>
      <c r="P30" s="23">
        <v>43574.5</v>
      </c>
      <c r="R30" s="29">
        <f t="shared" si="0"/>
        <v>7.3687786960514146</v>
      </c>
    </row>
    <row r="31" spans="2:18" x14ac:dyDescent="0.25">
      <c r="B31" s="21" t="s">
        <v>22</v>
      </c>
      <c r="C31" t="s">
        <v>12</v>
      </c>
      <c r="D31" t="s">
        <v>14</v>
      </c>
      <c r="E31" t="s">
        <v>13</v>
      </c>
      <c r="F31">
        <v>3000</v>
      </c>
      <c r="G31">
        <v>8.7569329660238697</v>
      </c>
      <c r="H31" s="23">
        <v>43575.958333333336</v>
      </c>
      <c r="J31" s="21" t="s">
        <v>22</v>
      </c>
      <c r="K31" t="s">
        <v>12</v>
      </c>
      <c r="L31" t="s">
        <v>14</v>
      </c>
      <c r="M31" t="s">
        <v>13</v>
      </c>
      <c r="N31">
        <v>3000</v>
      </c>
      <c r="O31">
        <v>1.4967860422405801E-2</v>
      </c>
      <c r="P31" s="23">
        <v>43575.958333333336</v>
      </c>
      <c r="R31" s="29">
        <f t="shared" si="0"/>
        <v>8.741965105601464</v>
      </c>
    </row>
    <row r="32" spans="2:18" x14ac:dyDescent="0.25">
      <c r="B32" s="21" t="s">
        <v>22</v>
      </c>
      <c r="C32" t="s">
        <v>12</v>
      </c>
      <c r="D32" t="s">
        <v>14</v>
      </c>
      <c r="E32" t="s">
        <v>13</v>
      </c>
      <c r="F32">
        <v>3400</v>
      </c>
      <c r="G32">
        <v>11.501836547290999</v>
      </c>
      <c r="H32" s="23">
        <v>43577.5</v>
      </c>
      <c r="J32" s="21" t="s">
        <v>22</v>
      </c>
      <c r="K32" t="s">
        <v>12</v>
      </c>
      <c r="L32" t="s">
        <v>14</v>
      </c>
      <c r="M32" t="s">
        <v>13</v>
      </c>
      <c r="N32">
        <v>3400</v>
      </c>
      <c r="O32">
        <v>5.5096418732782301E-3</v>
      </c>
      <c r="P32" s="23">
        <v>43577.5</v>
      </c>
      <c r="R32" s="29">
        <f t="shared" si="0"/>
        <v>11.496326905417721</v>
      </c>
    </row>
    <row r="33" spans="2:18" x14ac:dyDescent="0.25">
      <c r="B33" s="21" t="s">
        <v>22</v>
      </c>
      <c r="C33" t="s">
        <v>12</v>
      </c>
      <c r="D33" t="s">
        <v>14</v>
      </c>
      <c r="E33" t="s">
        <v>13</v>
      </c>
      <c r="F33">
        <v>3800</v>
      </c>
      <c r="G33">
        <v>11.9313131313131</v>
      </c>
      <c r="H33" s="23">
        <v>43578.958333333336</v>
      </c>
      <c r="J33" s="21" t="s">
        <v>22</v>
      </c>
      <c r="K33" t="s">
        <v>12</v>
      </c>
      <c r="L33" t="s">
        <v>14</v>
      </c>
      <c r="M33" t="s">
        <v>13</v>
      </c>
      <c r="N33">
        <v>3800</v>
      </c>
      <c r="O33">
        <v>1.92837465564738E-3</v>
      </c>
      <c r="P33" s="23">
        <v>43578.958333333336</v>
      </c>
      <c r="R33" s="29">
        <f t="shared" si="0"/>
        <v>11.929384756657452</v>
      </c>
    </row>
    <row r="34" spans="2:18" x14ac:dyDescent="0.25">
      <c r="B34" s="21" t="s">
        <v>22</v>
      </c>
      <c r="C34" t="s">
        <v>12</v>
      </c>
      <c r="D34" t="s">
        <v>14</v>
      </c>
      <c r="E34" t="s">
        <v>13</v>
      </c>
      <c r="F34">
        <v>4200</v>
      </c>
      <c r="G34">
        <v>14.4033057851239</v>
      </c>
      <c r="H34" s="23">
        <v>43580.5</v>
      </c>
      <c r="J34" s="21" t="s">
        <v>22</v>
      </c>
      <c r="K34" t="s">
        <v>12</v>
      </c>
      <c r="L34" t="s">
        <v>14</v>
      </c>
      <c r="M34" t="s">
        <v>13</v>
      </c>
      <c r="N34">
        <v>4200</v>
      </c>
      <c r="O34">
        <v>8.2644628099173497E-4</v>
      </c>
      <c r="P34" s="23">
        <v>43580.5</v>
      </c>
      <c r="R34" s="29">
        <f t="shared" si="0"/>
        <v>14.402479338842907</v>
      </c>
    </row>
    <row r="35" spans="2:18" x14ac:dyDescent="0.25">
      <c r="B35" s="21" t="s">
        <v>22</v>
      </c>
      <c r="C35" t="s">
        <v>12</v>
      </c>
      <c r="D35" t="s">
        <v>14</v>
      </c>
      <c r="E35" t="s">
        <v>13</v>
      </c>
      <c r="F35">
        <v>4600</v>
      </c>
      <c r="G35">
        <v>16.306060606060601</v>
      </c>
      <c r="H35" s="23">
        <v>43581.958333333336</v>
      </c>
      <c r="J35" s="21" t="s">
        <v>22</v>
      </c>
      <c r="K35" t="s">
        <v>12</v>
      </c>
      <c r="L35" t="s">
        <v>14</v>
      </c>
      <c r="M35" t="s">
        <v>13</v>
      </c>
      <c r="N35">
        <v>4600</v>
      </c>
      <c r="O35">
        <v>3.67309458218549E-4</v>
      </c>
      <c r="P35" s="23">
        <v>43581.958333333336</v>
      </c>
      <c r="R35" s="29">
        <f t="shared" si="0"/>
        <v>16.305693296602382</v>
      </c>
    </row>
    <row r="36" spans="2:18" x14ac:dyDescent="0.25">
      <c r="B36" s="21" t="s">
        <v>22</v>
      </c>
      <c r="C36" t="s">
        <v>12</v>
      </c>
      <c r="D36" t="s">
        <v>14</v>
      </c>
      <c r="E36" t="s">
        <v>13</v>
      </c>
      <c r="F36">
        <v>5000</v>
      </c>
      <c r="G36">
        <v>18.833700642791499</v>
      </c>
      <c r="H36" s="23">
        <v>43583.5</v>
      </c>
      <c r="J36" s="21" t="s">
        <v>22</v>
      </c>
      <c r="K36" t="s">
        <v>12</v>
      </c>
      <c r="L36" t="s">
        <v>14</v>
      </c>
      <c r="M36" t="s">
        <v>13</v>
      </c>
      <c r="N36">
        <v>5000</v>
      </c>
      <c r="O36">
        <v>1.8365472910927399E-4</v>
      </c>
      <c r="P36" s="23">
        <v>43583.5</v>
      </c>
      <c r="R36" s="29">
        <f t="shared" si="0"/>
        <v>18.833516988062389</v>
      </c>
    </row>
    <row r="37" spans="2:18" x14ac:dyDescent="0.25">
      <c r="B37" s="21" t="s">
        <v>23</v>
      </c>
      <c r="C37" t="s">
        <v>12</v>
      </c>
      <c r="D37" t="s">
        <v>14</v>
      </c>
      <c r="E37" t="s">
        <v>13</v>
      </c>
      <c r="F37">
        <v>100</v>
      </c>
      <c r="G37">
        <v>11.3505968778696</v>
      </c>
      <c r="H37" s="23">
        <v>43573.958333333336</v>
      </c>
      <c r="J37" s="21" t="s">
        <v>23</v>
      </c>
      <c r="K37" t="s">
        <v>12</v>
      </c>
      <c r="L37" t="s">
        <v>14</v>
      </c>
      <c r="M37" t="s">
        <v>13</v>
      </c>
      <c r="N37">
        <v>100</v>
      </c>
      <c r="O37">
        <v>11.349035812672099</v>
      </c>
      <c r="P37" s="23">
        <v>43573.958333333336</v>
      </c>
      <c r="R37" s="29">
        <f t="shared" si="0"/>
        <v>1.5610651975013212E-3</v>
      </c>
    </row>
    <row r="38" spans="2:18" x14ac:dyDescent="0.25">
      <c r="B38" s="21" t="s">
        <v>23</v>
      </c>
      <c r="C38" t="s">
        <v>12</v>
      </c>
      <c r="D38" t="s">
        <v>14</v>
      </c>
      <c r="E38" t="s">
        <v>13</v>
      </c>
      <c r="F38">
        <v>200</v>
      </c>
      <c r="G38">
        <v>12.155647382920099</v>
      </c>
      <c r="H38" s="23">
        <v>43575.5</v>
      </c>
      <c r="J38" s="21" t="s">
        <v>23</v>
      </c>
      <c r="K38" t="s">
        <v>12</v>
      </c>
      <c r="L38" t="s">
        <v>14</v>
      </c>
      <c r="M38" t="s">
        <v>13</v>
      </c>
      <c r="N38">
        <v>200</v>
      </c>
      <c r="O38">
        <v>12.1528007346189</v>
      </c>
      <c r="P38" s="23">
        <v>43575.5</v>
      </c>
      <c r="R38" s="29">
        <f t="shared" si="0"/>
        <v>2.8466483011992949E-3</v>
      </c>
    </row>
    <row r="39" spans="2:18" x14ac:dyDescent="0.25">
      <c r="B39" s="21" t="s">
        <v>23</v>
      </c>
      <c r="C39" t="s">
        <v>12</v>
      </c>
      <c r="D39" t="s">
        <v>14</v>
      </c>
      <c r="E39" t="s">
        <v>13</v>
      </c>
      <c r="F39">
        <v>400</v>
      </c>
      <c r="G39">
        <v>12.964738292011001</v>
      </c>
      <c r="H39" s="23">
        <v>43576.958333333336</v>
      </c>
      <c r="J39" s="21" t="s">
        <v>23</v>
      </c>
      <c r="K39" t="s">
        <v>12</v>
      </c>
      <c r="L39" t="s">
        <v>14</v>
      </c>
      <c r="M39" t="s">
        <v>13</v>
      </c>
      <c r="N39">
        <v>400</v>
      </c>
      <c r="O39">
        <v>12.9587695133149</v>
      </c>
      <c r="P39" s="23">
        <v>43576.958333333336</v>
      </c>
      <c r="R39" s="29">
        <f t="shared" si="0"/>
        <v>5.968778696100685E-3</v>
      </c>
    </row>
    <row r="40" spans="2:18" x14ac:dyDescent="0.25">
      <c r="B40" s="21" t="s">
        <v>23</v>
      </c>
      <c r="C40" t="s">
        <v>12</v>
      </c>
      <c r="D40" t="s">
        <v>14</v>
      </c>
      <c r="E40" t="s">
        <v>13</v>
      </c>
      <c r="F40">
        <v>600</v>
      </c>
      <c r="G40">
        <v>11.660330578512299</v>
      </c>
      <c r="H40" s="23">
        <v>43578.5</v>
      </c>
      <c r="J40" s="21" t="s">
        <v>23</v>
      </c>
      <c r="K40" t="s">
        <v>12</v>
      </c>
      <c r="L40" t="s">
        <v>14</v>
      </c>
      <c r="M40" t="s">
        <v>13</v>
      </c>
      <c r="N40">
        <v>600</v>
      </c>
      <c r="O40">
        <v>10.5744719926538</v>
      </c>
      <c r="P40" s="23">
        <v>43578.5</v>
      </c>
      <c r="R40" s="29">
        <f t="shared" si="0"/>
        <v>1.0858585858584995</v>
      </c>
    </row>
    <row r="41" spans="2:18" x14ac:dyDescent="0.25">
      <c r="B41" s="21" t="s">
        <v>23</v>
      </c>
      <c r="C41" t="s">
        <v>12</v>
      </c>
      <c r="D41" t="s">
        <v>14</v>
      </c>
      <c r="E41" t="s">
        <v>13</v>
      </c>
      <c r="F41">
        <v>800</v>
      </c>
      <c r="G41">
        <v>10.039944903581199</v>
      </c>
      <c r="H41" s="23">
        <v>43579.958333333336</v>
      </c>
      <c r="J41" s="21" t="s">
        <v>23</v>
      </c>
      <c r="K41" t="s">
        <v>12</v>
      </c>
      <c r="L41" t="s">
        <v>14</v>
      </c>
      <c r="M41" t="s">
        <v>13</v>
      </c>
      <c r="N41">
        <v>800</v>
      </c>
      <c r="O41">
        <v>7.5440771349862201</v>
      </c>
      <c r="P41" s="23">
        <v>43579.958333333336</v>
      </c>
      <c r="R41" s="29">
        <f t="shared" si="0"/>
        <v>2.4958677685949793</v>
      </c>
    </row>
    <row r="42" spans="2:18" x14ac:dyDescent="0.25">
      <c r="B42" s="21" t="s">
        <v>23</v>
      </c>
      <c r="C42" t="s">
        <v>12</v>
      </c>
      <c r="D42" t="s">
        <v>14</v>
      </c>
      <c r="E42" t="s">
        <v>13</v>
      </c>
      <c r="F42">
        <v>1000</v>
      </c>
      <c r="G42">
        <v>8.5798898071625302</v>
      </c>
      <c r="H42" s="23">
        <v>43581.5</v>
      </c>
      <c r="J42" s="21" t="s">
        <v>23</v>
      </c>
      <c r="K42" t="s">
        <v>12</v>
      </c>
      <c r="L42" t="s">
        <v>14</v>
      </c>
      <c r="M42" t="s">
        <v>13</v>
      </c>
      <c r="N42">
        <v>1000</v>
      </c>
      <c r="O42">
        <v>5.01212121212121</v>
      </c>
      <c r="P42" s="23">
        <v>43581.5</v>
      </c>
      <c r="R42" s="29">
        <f t="shared" si="0"/>
        <v>3.5677685950413203</v>
      </c>
    </row>
    <row r="43" spans="2:18" x14ac:dyDescent="0.25">
      <c r="B43" s="21" t="s">
        <v>23</v>
      </c>
      <c r="C43" t="s">
        <v>12</v>
      </c>
      <c r="D43" t="s">
        <v>14</v>
      </c>
      <c r="E43" t="s">
        <v>13</v>
      </c>
      <c r="F43">
        <v>1400</v>
      </c>
      <c r="G43">
        <v>5.9933884297520601</v>
      </c>
      <c r="H43" s="23">
        <v>43582.958333333336</v>
      </c>
      <c r="J43" s="21" t="s">
        <v>23</v>
      </c>
      <c r="K43" t="s">
        <v>12</v>
      </c>
      <c r="L43" t="s">
        <v>14</v>
      </c>
      <c r="M43" t="s">
        <v>13</v>
      </c>
      <c r="N43">
        <v>1400</v>
      </c>
      <c r="O43">
        <v>1.2908172635445301</v>
      </c>
      <c r="P43" s="23">
        <v>43582.958333333336</v>
      </c>
      <c r="R43" s="29">
        <f t="shared" si="0"/>
        <v>4.7025711662075302</v>
      </c>
    </row>
    <row r="44" spans="2:18" x14ac:dyDescent="0.25">
      <c r="B44" s="21" t="s">
        <v>23</v>
      </c>
      <c r="C44" t="s">
        <v>12</v>
      </c>
      <c r="D44" t="s">
        <v>14</v>
      </c>
      <c r="E44" t="s">
        <v>13</v>
      </c>
      <c r="F44">
        <v>1800</v>
      </c>
      <c r="G44">
        <v>4.7086317722681299</v>
      </c>
      <c r="H44" s="23">
        <v>43584.5</v>
      </c>
      <c r="J44" s="21" t="s">
        <v>23</v>
      </c>
      <c r="K44" t="s">
        <v>12</v>
      </c>
      <c r="L44" t="s">
        <v>14</v>
      </c>
      <c r="M44" t="s">
        <v>13</v>
      </c>
      <c r="N44">
        <v>1800</v>
      </c>
      <c r="O44">
        <v>0.17998163452708901</v>
      </c>
      <c r="P44" s="23">
        <v>43584.5</v>
      </c>
      <c r="R44" s="29">
        <f t="shared" si="0"/>
        <v>4.5286501377410406</v>
      </c>
    </row>
    <row r="45" spans="2:18" x14ac:dyDescent="0.25">
      <c r="B45" s="21" t="s">
        <v>23</v>
      </c>
      <c r="C45" t="s">
        <v>12</v>
      </c>
      <c r="D45" t="s">
        <v>14</v>
      </c>
      <c r="E45" t="s">
        <v>13</v>
      </c>
      <c r="F45">
        <v>2200</v>
      </c>
      <c r="G45">
        <v>4.6059687786960497</v>
      </c>
      <c r="H45" s="23">
        <v>43585.958333333336</v>
      </c>
      <c r="J45" s="21" t="s">
        <v>23</v>
      </c>
      <c r="K45" t="s">
        <v>12</v>
      </c>
      <c r="L45" t="s">
        <v>14</v>
      </c>
      <c r="M45" t="s">
        <v>13</v>
      </c>
      <c r="N45">
        <v>2200</v>
      </c>
      <c r="O45">
        <v>0</v>
      </c>
      <c r="P45" s="23">
        <v>43585.958333333336</v>
      </c>
      <c r="R45" s="29">
        <f t="shared" si="0"/>
        <v>4.6059687786960497</v>
      </c>
    </row>
    <row r="46" spans="2:18" x14ac:dyDescent="0.25">
      <c r="B46" s="21" t="s">
        <v>23</v>
      </c>
      <c r="C46" t="s">
        <v>12</v>
      </c>
      <c r="D46" t="s">
        <v>14</v>
      </c>
      <c r="E46" t="s">
        <v>13</v>
      </c>
      <c r="F46">
        <v>2600</v>
      </c>
      <c r="G46">
        <v>5.8101010101010102</v>
      </c>
      <c r="H46" s="23">
        <v>43587.5</v>
      </c>
      <c r="J46" s="21" t="s">
        <v>23</v>
      </c>
      <c r="K46" t="s">
        <v>12</v>
      </c>
      <c r="L46" t="s">
        <v>14</v>
      </c>
      <c r="M46" t="s">
        <v>13</v>
      </c>
      <c r="N46">
        <v>2600</v>
      </c>
      <c r="O46">
        <v>0</v>
      </c>
      <c r="P46" s="23">
        <v>43587.5</v>
      </c>
      <c r="R46" s="29">
        <f t="shared" si="0"/>
        <v>5.8101010101010102</v>
      </c>
    </row>
    <row r="47" spans="2:18" x14ac:dyDescent="0.25">
      <c r="B47" s="21" t="s">
        <v>23</v>
      </c>
      <c r="C47" t="s">
        <v>12</v>
      </c>
      <c r="D47" t="s">
        <v>14</v>
      </c>
      <c r="E47" t="s">
        <v>13</v>
      </c>
      <c r="F47">
        <v>3000</v>
      </c>
      <c r="G47">
        <v>7.3907254361799799</v>
      </c>
      <c r="H47" s="23">
        <v>43588.958333333336</v>
      </c>
      <c r="J47" s="21" t="s">
        <v>23</v>
      </c>
      <c r="K47" t="s">
        <v>12</v>
      </c>
      <c r="L47" t="s">
        <v>14</v>
      </c>
      <c r="M47" t="s">
        <v>13</v>
      </c>
      <c r="N47">
        <v>3000</v>
      </c>
      <c r="O47">
        <v>0</v>
      </c>
      <c r="P47" s="23">
        <v>43588.958333333336</v>
      </c>
      <c r="R47" s="29">
        <f t="shared" si="0"/>
        <v>7.3907254361799799</v>
      </c>
    </row>
    <row r="48" spans="2:18" x14ac:dyDescent="0.25">
      <c r="B48" s="21" t="s">
        <v>23</v>
      </c>
      <c r="C48" t="s">
        <v>12</v>
      </c>
      <c r="D48" t="s">
        <v>14</v>
      </c>
      <c r="E48" t="s">
        <v>13</v>
      </c>
      <c r="F48">
        <v>3400</v>
      </c>
      <c r="G48">
        <v>8.8052341597796104</v>
      </c>
      <c r="H48" s="23">
        <v>43590.5</v>
      </c>
      <c r="J48" s="21" t="s">
        <v>23</v>
      </c>
      <c r="K48" t="s">
        <v>12</v>
      </c>
      <c r="L48" t="s">
        <v>14</v>
      </c>
      <c r="M48" t="s">
        <v>13</v>
      </c>
      <c r="N48">
        <v>3400</v>
      </c>
      <c r="O48">
        <v>0</v>
      </c>
      <c r="P48" s="23">
        <v>43590.5</v>
      </c>
      <c r="R48" s="29">
        <f t="shared" si="0"/>
        <v>8.8052341597796104</v>
      </c>
    </row>
    <row r="49" spans="2:18" x14ac:dyDescent="0.25">
      <c r="B49" s="21" t="s">
        <v>23</v>
      </c>
      <c r="C49" t="s">
        <v>12</v>
      </c>
      <c r="D49" t="s">
        <v>14</v>
      </c>
      <c r="E49" t="s">
        <v>13</v>
      </c>
      <c r="F49">
        <v>3800</v>
      </c>
      <c r="G49">
        <v>9.5060606060606005</v>
      </c>
      <c r="H49" s="23">
        <v>43591.958333333336</v>
      </c>
      <c r="J49" s="21" t="s">
        <v>23</v>
      </c>
      <c r="K49" t="s">
        <v>12</v>
      </c>
      <c r="L49" t="s">
        <v>14</v>
      </c>
      <c r="M49" t="s">
        <v>13</v>
      </c>
      <c r="N49">
        <v>3800</v>
      </c>
      <c r="O49">
        <v>0</v>
      </c>
      <c r="P49" s="23">
        <v>43591.958333333336</v>
      </c>
      <c r="R49" s="29">
        <f t="shared" si="0"/>
        <v>9.5060606060606005</v>
      </c>
    </row>
    <row r="50" spans="2:18" x14ac:dyDescent="0.25">
      <c r="B50" s="21" t="s">
        <v>23</v>
      </c>
      <c r="C50" t="s">
        <v>12</v>
      </c>
      <c r="D50" t="s">
        <v>14</v>
      </c>
      <c r="E50" t="s">
        <v>13</v>
      </c>
      <c r="F50">
        <v>4200</v>
      </c>
      <c r="G50">
        <v>9.7461891643709802</v>
      </c>
      <c r="H50" s="23">
        <v>43593.5</v>
      </c>
      <c r="J50" s="21" t="s">
        <v>23</v>
      </c>
      <c r="K50" t="s">
        <v>12</v>
      </c>
      <c r="L50" t="s">
        <v>14</v>
      </c>
      <c r="M50" t="s">
        <v>13</v>
      </c>
      <c r="N50">
        <v>4200</v>
      </c>
      <c r="O50" s="27">
        <v>9.1827364554637197E-5</v>
      </c>
      <c r="P50" s="23">
        <v>43593.5</v>
      </c>
      <c r="R50" s="29">
        <f t="shared" si="0"/>
        <v>9.7460973370064252</v>
      </c>
    </row>
    <row r="51" spans="2:18" x14ac:dyDescent="0.25">
      <c r="B51" s="21" t="s">
        <v>23</v>
      </c>
      <c r="C51" t="s">
        <v>12</v>
      </c>
      <c r="D51" t="s">
        <v>14</v>
      </c>
      <c r="E51" t="s">
        <v>13</v>
      </c>
      <c r="F51">
        <v>4600</v>
      </c>
      <c r="G51">
        <v>11.6987144168962</v>
      </c>
      <c r="H51" s="23">
        <v>43594.958333333336</v>
      </c>
      <c r="J51" s="21" t="s">
        <v>23</v>
      </c>
      <c r="K51" t="s">
        <v>12</v>
      </c>
      <c r="L51" t="s">
        <v>14</v>
      </c>
      <c r="M51" t="s">
        <v>13</v>
      </c>
      <c r="N51">
        <v>4600</v>
      </c>
      <c r="O51" s="27">
        <v>9.1827364554637197E-5</v>
      </c>
      <c r="P51" s="23">
        <v>43594.958333333336</v>
      </c>
      <c r="R51" s="29">
        <f t="shared" si="0"/>
        <v>11.698622589531645</v>
      </c>
    </row>
    <row r="52" spans="2:18" x14ac:dyDescent="0.25">
      <c r="B52" s="21" t="s">
        <v>23</v>
      </c>
      <c r="C52" t="s">
        <v>12</v>
      </c>
      <c r="D52" t="s">
        <v>14</v>
      </c>
      <c r="E52" t="s">
        <v>13</v>
      </c>
      <c r="F52">
        <v>5000</v>
      </c>
      <c r="G52">
        <v>14.519375573921</v>
      </c>
      <c r="H52" s="23">
        <v>43595.5</v>
      </c>
      <c r="J52" s="21" t="s">
        <v>23</v>
      </c>
      <c r="K52" t="s">
        <v>12</v>
      </c>
      <c r="L52" t="s">
        <v>14</v>
      </c>
      <c r="M52" t="s">
        <v>13</v>
      </c>
      <c r="N52">
        <v>5000</v>
      </c>
      <c r="O52">
        <v>0</v>
      </c>
      <c r="P52" s="23">
        <v>43595.5</v>
      </c>
      <c r="R52" s="29">
        <f t="shared" si="0"/>
        <v>14.519375573921</v>
      </c>
    </row>
    <row r="53" spans="2:18" x14ac:dyDescent="0.25">
      <c r="B53" s="21" t="s">
        <v>24</v>
      </c>
      <c r="C53" t="s">
        <v>12</v>
      </c>
      <c r="D53" t="s">
        <v>14</v>
      </c>
      <c r="E53" t="s">
        <v>13</v>
      </c>
      <c r="F53">
        <v>100</v>
      </c>
      <c r="G53">
        <v>7.2008264462809901</v>
      </c>
      <c r="H53" s="23">
        <v>43579.958333333336</v>
      </c>
      <c r="J53" s="21" t="s">
        <v>24</v>
      </c>
      <c r="K53" t="s">
        <v>12</v>
      </c>
      <c r="L53" t="s">
        <v>14</v>
      </c>
      <c r="M53" t="s">
        <v>13</v>
      </c>
      <c r="N53">
        <v>100</v>
      </c>
      <c r="O53">
        <v>7.1993572084481103</v>
      </c>
      <c r="P53" s="23">
        <v>43579.958333333336</v>
      </c>
      <c r="R53" s="29">
        <f t="shared" si="0"/>
        <v>1.4692378328797773E-3</v>
      </c>
    </row>
    <row r="54" spans="2:18" x14ac:dyDescent="0.25">
      <c r="B54" s="21" t="s">
        <v>24</v>
      </c>
      <c r="C54" t="s">
        <v>12</v>
      </c>
      <c r="D54" t="s">
        <v>14</v>
      </c>
      <c r="E54" t="s">
        <v>13</v>
      </c>
      <c r="F54">
        <v>200</v>
      </c>
      <c r="G54">
        <v>6.9736455463728104</v>
      </c>
      <c r="H54" s="23">
        <v>43581.5</v>
      </c>
      <c r="J54" s="21" t="s">
        <v>24</v>
      </c>
      <c r="K54" t="s">
        <v>12</v>
      </c>
      <c r="L54" t="s">
        <v>14</v>
      </c>
      <c r="M54" t="s">
        <v>13</v>
      </c>
      <c r="N54">
        <v>200</v>
      </c>
      <c r="O54">
        <v>6.9716253443526099</v>
      </c>
      <c r="P54" s="23">
        <v>43581.5</v>
      </c>
      <c r="R54" s="29">
        <f t="shared" si="0"/>
        <v>2.0202020202004789E-3</v>
      </c>
    </row>
    <row r="55" spans="2:18" x14ac:dyDescent="0.25">
      <c r="B55" s="21" t="s">
        <v>24</v>
      </c>
      <c r="C55" t="s">
        <v>12</v>
      </c>
      <c r="D55" t="s">
        <v>14</v>
      </c>
      <c r="E55" t="s">
        <v>13</v>
      </c>
      <c r="F55">
        <v>400</v>
      </c>
      <c r="G55">
        <v>4.9393021120293801</v>
      </c>
      <c r="H55" s="23">
        <v>43582.958333333336</v>
      </c>
      <c r="J55" s="21" t="s">
        <v>24</v>
      </c>
      <c r="K55" t="s">
        <v>12</v>
      </c>
      <c r="L55" t="s">
        <v>14</v>
      </c>
      <c r="M55" t="s">
        <v>13</v>
      </c>
      <c r="N55">
        <v>400</v>
      </c>
      <c r="O55">
        <v>4.9337006427915497</v>
      </c>
      <c r="P55" s="23">
        <v>43582.958333333336</v>
      </c>
      <c r="R55" s="29">
        <f t="shared" si="0"/>
        <v>5.6014692378303366E-3</v>
      </c>
    </row>
    <row r="56" spans="2:18" x14ac:dyDescent="0.25">
      <c r="B56" s="21" t="s">
        <v>24</v>
      </c>
      <c r="C56" t="s">
        <v>12</v>
      </c>
      <c r="D56" t="s">
        <v>14</v>
      </c>
      <c r="E56" t="s">
        <v>13</v>
      </c>
      <c r="F56">
        <v>600</v>
      </c>
      <c r="G56">
        <v>3.8644628099173501</v>
      </c>
      <c r="H56" s="23">
        <v>43584.5</v>
      </c>
      <c r="J56" s="21" t="s">
        <v>24</v>
      </c>
      <c r="K56" t="s">
        <v>12</v>
      </c>
      <c r="L56" t="s">
        <v>14</v>
      </c>
      <c r="M56" t="s">
        <v>13</v>
      </c>
      <c r="N56">
        <v>600</v>
      </c>
      <c r="O56">
        <v>3.0353535353535301</v>
      </c>
      <c r="P56" s="23">
        <v>43584.5</v>
      </c>
      <c r="R56" s="29">
        <f t="shared" si="0"/>
        <v>0.82910927456382</v>
      </c>
    </row>
    <row r="57" spans="2:18" x14ac:dyDescent="0.25">
      <c r="B57" s="21" t="s">
        <v>24</v>
      </c>
      <c r="C57" t="s">
        <v>12</v>
      </c>
      <c r="D57" t="s">
        <v>14</v>
      </c>
      <c r="E57" t="s">
        <v>13</v>
      </c>
      <c r="F57">
        <v>800</v>
      </c>
      <c r="G57">
        <v>3.06767676767676</v>
      </c>
      <c r="H57" s="23">
        <v>43585.958333333336</v>
      </c>
      <c r="J57" s="21" t="s">
        <v>24</v>
      </c>
      <c r="K57" t="s">
        <v>12</v>
      </c>
      <c r="L57" t="s">
        <v>14</v>
      </c>
      <c r="M57" t="s">
        <v>13</v>
      </c>
      <c r="N57">
        <v>800</v>
      </c>
      <c r="O57">
        <v>1.37190082644628</v>
      </c>
      <c r="P57" s="23">
        <v>43585.958333333336</v>
      </c>
      <c r="R57" s="29">
        <f t="shared" si="0"/>
        <v>1.69577594123048</v>
      </c>
    </row>
    <row r="58" spans="2:18" x14ac:dyDescent="0.25">
      <c r="B58" s="21" t="s">
        <v>24</v>
      </c>
      <c r="C58" t="s">
        <v>12</v>
      </c>
      <c r="D58" t="s">
        <v>14</v>
      </c>
      <c r="E58" t="s">
        <v>13</v>
      </c>
      <c r="F58">
        <v>1000</v>
      </c>
      <c r="G58">
        <v>2.6400367309458201</v>
      </c>
      <c r="H58" s="23">
        <v>43587.5</v>
      </c>
      <c r="J58" s="21" t="s">
        <v>24</v>
      </c>
      <c r="K58" t="s">
        <v>12</v>
      </c>
      <c r="L58" t="s">
        <v>14</v>
      </c>
      <c r="M58" t="s">
        <v>13</v>
      </c>
      <c r="N58">
        <v>1000</v>
      </c>
      <c r="O58">
        <v>0.282369146005509</v>
      </c>
      <c r="P58" s="23">
        <v>43587.5</v>
      </c>
      <c r="R58" s="29">
        <f t="shared" si="0"/>
        <v>2.357667584940311</v>
      </c>
    </row>
    <row r="59" spans="2:18" x14ac:dyDescent="0.25">
      <c r="B59" s="21" t="s">
        <v>24</v>
      </c>
      <c r="C59" t="s">
        <v>12</v>
      </c>
      <c r="D59" t="s">
        <v>14</v>
      </c>
      <c r="E59" t="s">
        <v>13</v>
      </c>
      <c r="F59">
        <v>1400</v>
      </c>
      <c r="G59">
        <v>2.1913682277318598</v>
      </c>
      <c r="H59" s="23">
        <v>43588.958356481482</v>
      </c>
      <c r="J59" s="21" t="s">
        <v>24</v>
      </c>
      <c r="K59" t="s">
        <v>12</v>
      </c>
      <c r="L59" t="s">
        <v>14</v>
      </c>
      <c r="M59" t="s">
        <v>13</v>
      </c>
      <c r="N59">
        <v>1400</v>
      </c>
      <c r="O59">
        <v>2.5160697887970599E-2</v>
      </c>
      <c r="P59" s="23">
        <v>43588.958356481482</v>
      </c>
      <c r="R59" s="29">
        <f t="shared" si="0"/>
        <v>2.1662075298438892</v>
      </c>
    </row>
    <row r="60" spans="2:18" x14ac:dyDescent="0.25">
      <c r="B60" s="21" t="s">
        <v>24</v>
      </c>
      <c r="C60" t="s">
        <v>12</v>
      </c>
      <c r="D60" t="s">
        <v>14</v>
      </c>
      <c r="E60" t="s">
        <v>13</v>
      </c>
      <c r="F60">
        <v>1800</v>
      </c>
      <c r="G60">
        <v>2.1034894398530701</v>
      </c>
      <c r="H60" s="23">
        <v>43590.500023148146</v>
      </c>
      <c r="J60" s="21" t="s">
        <v>24</v>
      </c>
      <c r="K60" t="s">
        <v>12</v>
      </c>
      <c r="L60" t="s">
        <v>14</v>
      </c>
      <c r="M60" t="s">
        <v>13</v>
      </c>
      <c r="N60">
        <v>1800</v>
      </c>
      <c r="O60">
        <v>5.2341597796143197E-3</v>
      </c>
      <c r="P60" s="23">
        <v>43590.500023148146</v>
      </c>
      <c r="R60" s="29">
        <f t="shared" si="0"/>
        <v>2.098255280073456</v>
      </c>
    </row>
    <row r="61" spans="2:18" x14ac:dyDescent="0.25">
      <c r="B61" s="21" t="s">
        <v>24</v>
      </c>
      <c r="C61" t="s">
        <v>12</v>
      </c>
      <c r="D61" t="s">
        <v>14</v>
      </c>
      <c r="E61" t="s">
        <v>13</v>
      </c>
      <c r="F61">
        <v>2200</v>
      </c>
      <c r="G61">
        <v>2.8869605142332402</v>
      </c>
      <c r="H61" s="23">
        <v>43591.958356481482</v>
      </c>
      <c r="J61" s="21" t="s">
        <v>24</v>
      </c>
      <c r="K61" t="s">
        <v>12</v>
      </c>
      <c r="L61" t="s">
        <v>14</v>
      </c>
      <c r="M61" t="s">
        <v>13</v>
      </c>
      <c r="N61">
        <v>2200</v>
      </c>
      <c r="O61">
        <v>1.1937557392102799E-3</v>
      </c>
      <c r="P61" s="23">
        <v>43591.958356481482</v>
      </c>
      <c r="R61" s="29">
        <f t="shared" si="0"/>
        <v>2.8857667584940301</v>
      </c>
    </row>
    <row r="62" spans="2:18" x14ac:dyDescent="0.25">
      <c r="B62" s="21" t="s">
        <v>24</v>
      </c>
      <c r="C62" t="s">
        <v>12</v>
      </c>
      <c r="D62" t="s">
        <v>14</v>
      </c>
      <c r="E62" t="s">
        <v>13</v>
      </c>
      <c r="F62">
        <v>2600</v>
      </c>
      <c r="G62">
        <v>4.1385674931129399</v>
      </c>
      <c r="H62" s="23">
        <v>43593.5000462963</v>
      </c>
      <c r="J62" s="21" t="s">
        <v>24</v>
      </c>
      <c r="K62" t="s">
        <v>12</v>
      </c>
      <c r="L62" t="s">
        <v>14</v>
      </c>
      <c r="M62" t="s">
        <v>13</v>
      </c>
      <c r="N62">
        <v>2600</v>
      </c>
      <c r="O62">
        <v>1.8365472910927399E-4</v>
      </c>
      <c r="P62" s="23">
        <v>43593.5000462963</v>
      </c>
      <c r="R62" s="29">
        <f t="shared" si="0"/>
        <v>4.1383838383838309</v>
      </c>
    </row>
    <row r="63" spans="2:18" x14ac:dyDescent="0.25">
      <c r="B63" s="21" t="s">
        <v>24</v>
      </c>
      <c r="C63" t="s">
        <v>12</v>
      </c>
      <c r="D63" t="s">
        <v>14</v>
      </c>
      <c r="E63" t="s">
        <v>13</v>
      </c>
      <c r="F63">
        <v>3000</v>
      </c>
      <c r="G63">
        <v>5.5882460973369996</v>
      </c>
      <c r="H63" s="23">
        <v>43594.958379629628</v>
      </c>
      <c r="J63" s="21" t="s">
        <v>24</v>
      </c>
      <c r="K63" t="s">
        <v>12</v>
      </c>
      <c r="L63" t="s">
        <v>14</v>
      </c>
      <c r="M63" t="s">
        <v>13</v>
      </c>
      <c r="N63">
        <v>3000</v>
      </c>
      <c r="O63">
        <v>1.8365472910927399E-4</v>
      </c>
      <c r="P63" s="23">
        <v>43594.958379629628</v>
      </c>
      <c r="R63" s="29">
        <f t="shared" si="0"/>
        <v>5.5880624426078906</v>
      </c>
    </row>
    <row r="64" spans="2:18" x14ac:dyDescent="0.25">
      <c r="B64" s="21" t="s">
        <v>24</v>
      </c>
      <c r="C64" t="s">
        <v>12</v>
      </c>
      <c r="D64" t="s">
        <v>14</v>
      </c>
      <c r="E64" t="s">
        <v>13</v>
      </c>
      <c r="F64">
        <v>3400</v>
      </c>
      <c r="G64">
        <v>7.3199265381083496</v>
      </c>
      <c r="H64" s="23">
        <v>43596.5000462963</v>
      </c>
      <c r="J64" s="21" t="s">
        <v>24</v>
      </c>
      <c r="K64" t="s">
        <v>12</v>
      </c>
      <c r="L64" t="s">
        <v>14</v>
      </c>
      <c r="M64" t="s">
        <v>13</v>
      </c>
      <c r="N64">
        <v>3400</v>
      </c>
      <c r="O64">
        <v>1.8365472910927399E-4</v>
      </c>
      <c r="P64" s="23">
        <v>43596.5000462963</v>
      </c>
      <c r="R64" s="29">
        <f t="shared" si="0"/>
        <v>7.3197428833792406</v>
      </c>
    </row>
    <row r="65" spans="2:18" x14ac:dyDescent="0.25">
      <c r="B65" s="21" t="s">
        <v>24</v>
      </c>
      <c r="C65" t="s">
        <v>12</v>
      </c>
      <c r="D65" t="s">
        <v>14</v>
      </c>
      <c r="E65" t="s">
        <v>13</v>
      </c>
      <c r="F65">
        <v>3800</v>
      </c>
      <c r="G65">
        <v>11.9815426997245</v>
      </c>
      <c r="H65" s="23">
        <v>43597.958379629628</v>
      </c>
      <c r="J65" s="21" t="s">
        <v>24</v>
      </c>
      <c r="K65" t="s">
        <v>12</v>
      </c>
      <c r="L65" t="s">
        <v>14</v>
      </c>
      <c r="M65" t="s">
        <v>13</v>
      </c>
      <c r="N65">
        <v>3800</v>
      </c>
      <c r="O65">
        <v>0</v>
      </c>
      <c r="P65" s="23">
        <v>43597.958379629628</v>
      </c>
      <c r="R65" s="29">
        <f t="shared" si="0"/>
        <v>11.9815426997245</v>
      </c>
    </row>
    <row r="66" spans="2:18" x14ac:dyDescent="0.25">
      <c r="B66" s="21" t="s">
        <v>24</v>
      </c>
      <c r="C66" t="s">
        <v>12</v>
      </c>
      <c r="D66" t="s">
        <v>14</v>
      </c>
      <c r="E66" t="s">
        <v>13</v>
      </c>
      <c r="F66">
        <v>4200</v>
      </c>
      <c r="G66">
        <v>16.033425160697799</v>
      </c>
      <c r="H66" s="23">
        <v>43599.5000462963</v>
      </c>
      <c r="J66" s="21" t="s">
        <v>24</v>
      </c>
      <c r="K66" t="s">
        <v>12</v>
      </c>
      <c r="L66" t="s">
        <v>14</v>
      </c>
      <c r="M66" t="s">
        <v>13</v>
      </c>
      <c r="N66">
        <v>4200</v>
      </c>
      <c r="O66">
        <v>0</v>
      </c>
      <c r="P66" s="23">
        <v>43599.5000462963</v>
      </c>
      <c r="R66" s="29">
        <f t="shared" si="0"/>
        <v>16.033425160697799</v>
      </c>
    </row>
    <row r="67" spans="2:18" x14ac:dyDescent="0.25">
      <c r="B67" s="21" t="s">
        <v>24</v>
      </c>
      <c r="C67" t="s">
        <v>12</v>
      </c>
      <c r="D67" t="s">
        <v>14</v>
      </c>
      <c r="E67" t="s">
        <v>13</v>
      </c>
      <c r="F67">
        <v>4600</v>
      </c>
      <c r="G67">
        <v>22.4536271808999</v>
      </c>
      <c r="H67" s="23">
        <v>43600.958379629628</v>
      </c>
      <c r="J67" s="21" t="s">
        <v>24</v>
      </c>
      <c r="K67" t="s">
        <v>12</v>
      </c>
      <c r="L67" t="s">
        <v>14</v>
      </c>
      <c r="M67" t="s">
        <v>13</v>
      </c>
      <c r="N67">
        <v>4600</v>
      </c>
      <c r="O67">
        <v>0</v>
      </c>
      <c r="P67" s="23">
        <v>43600.958379629628</v>
      </c>
      <c r="R67" s="29">
        <f t="shared" si="0"/>
        <v>22.4536271808999</v>
      </c>
    </row>
    <row r="68" spans="2:18" x14ac:dyDescent="0.25">
      <c r="B68" s="21" t="s">
        <v>24</v>
      </c>
      <c r="C68" t="s">
        <v>12</v>
      </c>
      <c r="D68" t="s">
        <v>14</v>
      </c>
      <c r="E68" t="s">
        <v>13</v>
      </c>
      <c r="F68">
        <v>5000</v>
      </c>
      <c r="G68">
        <v>25.813131313131301</v>
      </c>
      <c r="H68" s="23">
        <v>43604.458379629628</v>
      </c>
      <c r="J68" s="21" t="s">
        <v>24</v>
      </c>
      <c r="K68" t="s">
        <v>12</v>
      </c>
      <c r="L68" t="s">
        <v>14</v>
      </c>
      <c r="M68" t="s">
        <v>13</v>
      </c>
      <c r="N68">
        <v>5000</v>
      </c>
      <c r="O68">
        <v>0</v>
      </c>
      <c r="P68" s="23">
        <v>43604.458379629628</v>
      </c>
      <c r="R68" s="29">
        <f t="shared" si="0"/>
        <v>25.813131313131301</v>
      </c>
    </row>
    <row r="69" spans="2:18" x14ac:dyDescent="0.25">
      <c r="B69" s="21" t="s">
        <v>25</v>
      </c>
      <c r="C69" t="s">
        <v>12</v>
      </c>
      <c r="D69" t="s">
        <v>14</v>
      </c>
      <c r="E69" t="s">
        <v>13</v>
      </c>
      <c r="F69">
        <v>100</v>
      </c>
      <c r="G69">
        <v>29.332782369145999</v>
      </c>
      <c r="H69" s="23">
        <v>43581.333564814813</v>
      </c>
      <c r="J69" s="21" t="s">
        <v>25</v>
      </c>
      <c r="K69" t="s">
        <v>12</v>
      </c>
      <c r="L69" t="s">
        <v>14</v>
      </c>
      <c r="M69" t="s">
        <v>13</v>
      </c>
      <c r="N69">
        <v>100</v>
      </c>
      <c r="O69">
        <v>29.3272727272727</v>
      </c>
      <c r="P69" s="23">
        <v>43581.333564814813</v>
      </c>
      <c r="R69" s="29">
        <f t="shared" si="0"/>
        <v>5.5096418732993868E-3</v>
      </c>
    </row>
    <row r="70" spans="2:18" x14ac:dyDescent="0.25">
      <c r="B70" s="21" t="s">
        <v>25</v>
      </c>
      <c r="C70" t="s">
        <v>12</v>
      </c>
      <c r="D70" t="s">
        <v>14</v>
      </c>
      <c r="E70" t="s">
        <v>13</v>
      </c>
      <c r="F70">
        <v>200</v>
      </c>
      <c r="G70">
        <v>27.222497704315799</v>
      </c>
      <c r="H70" s="23">
        <v>43583.333611111113</v>
      </c>
      <c r="J70" s="21" t="s">
        <v>25</v>
      </c>
      <c r="K70" t="s">
        <v>12</v>
      </c>
      <c r="L70" t="s">
        <v>14</v>
      </c>
      <c r="M70" t="s">
        <v>13</v>
      </c>
      <c r="N70">
        <v>200</v>
      </c>
      <c r="O70">
        <v>27.213314967860398</v>
      </c>
      <c r="P70" s="23">
        <v>43583.333611111113</v>
      </c>
      <c r="R70" s="29">
        <f t="shared" ref="R70:R84" si="1">G70-O70</f>
        <v>9.1827364554006863E-3</v>
      </c>
    </row>
    <row r="71" spans="2:18" x14ac:dyDescent="0.25">
      <c r="B71" s="21" t="s">
        <v>25</v>
      </c>
      <c r="C71" t="s">
        <v>12</v>
      </c>
      <c r="D71" t="s">
        <v>14</v>
      </c>
      <c r="E71" t="s">
        <v>13</v>
      </c>
      <c r="F71">
        <v>400</v>
      </c>
      <c r="G71">
        <v>24.0973370064279</v>
      </c>
      <c r="H71" s="23">
        <v>43585.333611111113</v>
      </c>
      <c r="J71" s="21" t="s">
        <v>25</v>
      </c>
      <c r="K71" t="s">
        <v>12</v>
      </c>
      <c r="L71" t="s">
        <v>14</v>
      </c>
      <c r="M71" t="s">
        <v>13</v>
      </c>
      <c r="N71">
        <v>400</v>
      </c>
      <c r="O71">
        <v>24.0679522497704</v>
      </c>
      <c r="P71" s="23">
        <v>43585.333611111113</v>
      </c>
      <c r="R71" s="29">
        <f t="shared" si="1"/>
        <v>2.9384756657499622E-2</v>
      </c>
    </row>
    <row r="72" spans="2:18" x14ac:dyDescent="0.25">
      <c r="B72" s="21" t="s">
        <v>25</v>
      </c>
      <c r="C72" t="s">
        <v>12</v>
      </c>
      <c r="D72" t="s">
        <v>14</v>
      </c>
      <c r="E72" t="s">
        <v>13</v>
      </c>
      <c r="F72">
        <v>600</v>
      </c>
      <c r="G72">
        <v>17.816620752984299</v>
      </c>
      <c r="H72" s="23">
        <v>43587.333611111113</v>
      </c>
      <c r="J72" s="21" t="s">
        <v>25</v>
      </c>
      <c r="K72" t="s">
        <v>12</v>
      </c>
      <c r="L72" t="s">
        <v>14</v>
      </c>
      <c r="M72" t="s">
        <v>13</v>
      </c>
      <c r="N72">
        <v>600</v>
      </c>
      <c r="O72">
        <v>15.773737373737299</v>
      </c>
      <c r="P72" s="23">
        <v>43587.333611111113</v>
      </c>
      <c r="R72" s="29">
        <f t="shared" si="1"/>
        <v>2.0428833792469998</v>
      </c>
    </row>
    <row r="73" spans="2:18" x14ac:dyDescent="0.25">
      <c r="B73" s="21" t="s">
        <v>25</v>
      </c>
      <c r="C73" t="s">
        <v>12</v>
      </c>
      <c r="D73" t="s">
        <v>14</v>
      </c>
      <c r="E73" t="s">
        <v>13</v>
      </c>
      <c r="F73">
        <v>800</v>
      </c>
      <c r="G73">
        <v>16.188429752066099</v>
      </c>
      <c r="H73" s="23">
        <v>43589.333611111113</v>
      </c>
      <c r="J73" s="21" t="s">
        <v>25</v>
      </c>
      <c r="K73" t="s">
        <v>12</v>
      </c>
      <c r="L73" t="s">
        <v>14</v>
      </c>
      <c r="M73" t="s">
        <v>13</v>
      </c>
      <c r="N73">
        <v>800</v>
      </c>
      <c r="O73">
        <v>10.9232323232323</v>
      </c>
      <c r="P73" s="23">
        <v>43589.333611111113</v>
      </c>
      <c r="R73" s="29">
        <f t="shared" si="1"/>
        <v>5.2651974288337993</v>
      </c>
    </row>
    <row r="74" spans="2:18" x14ac:dyDescent="0.25">
      <c r="B74" s="21" t="s">
        <v>25</v>
      </c>
      <c r="C74" t="s">
        <v>12</v>
      </c>
      <c r="D74" t="s">
        <v>14</v>
      </c>
      <c r="E74" t="s">
        <v>13</v>
      </c>
      <c r="F74">
        <v>1000</v>
      </c>
      <c r="G74">
        <v>15.4198347107438</v>
      </c>
      <c r="H74" s="23">
        <v>43591.333611111113</v>
      </c>
      <c r="J74" s="21" t="s">
        <v>25</v>
      </c>
      <c r="K74" t="s">
        <v>12</v>
      </c>
      <c r="L74" t="s">
        <v>14</v>
      </c>
      <c r="M74" t="s">
        <v>13</v>
      </c>
      <c r="N74">
        <v>1000</v>
      </c>
      <c r="O74">
        <v>7.3495867768594998</v>
      </c>
      <c r="P74" s="23">
        <v>43591.333611111113</v>
      </c>
      <c r="R74" s="29">
        <f t="shared" si="1"/>
        <v>8.0702479338842998</v>
      </c>
    </row>
    <row r="75" spans="2:18" x14ac:dyDescent="0.25">
      <c r="B75" s="21" t="s">
        <v>25</v>
      </c>
      <c r="C75" t="s">
        <v>12</v>
      </c>
      <c r="D75" t="s">
        <v>14</v>
      </c>
      <c r="E75" t="s">
        <v>13</v>
      </c>
      <c r="F75">
        <v>1400</v>
      </c>
      <c r="G75">
        <v>15.194674012855801</v>
      </c>
      <c r="H75" s="23">
        <v>43593.333611111113</v>
      </c>
      <c r="J75" s="21" t="s">
        <v>25</v>
      </c>
      <c r="K75" t="s">
        <v>12</v>
      </c>
      <c r="L75" t="s">
        <v>14</v>
      </c>
      <c r="M75" t="s">
        <v>13</v>
      </c>
      <c r="N75">
        <v>1400</v>
      </c>
      <c r="O75">
        <v>3.6461891643709801</v>
      </c>
      <c r="P75" s="23">
        <v>43593.333611111113</v>
      </c>
      <c r="R75" s="29">
        <f t="shared" si="1"/>
        <v>11.54848484848482</v>
      </c>
    </row>
    <row r="76" spans="2:18" x14ac:dyDescent="0.25">
      <c r="B76" s="21" t="s">
        <v>25</v>
      </c>
      <c r="C76" t="s">
        <v>12</v>
      </c>
      <c r="D76" t="s">
        <v>14</v>
      </c>
      <c r="E76" t="s">
        <v>13</v>
      </c>
      <c r="F76">
        <v>1800</v>
      </c>
      <c r="G76">
        <v>16.349678604224</v>
      </c>
      <c r="H76" s="23">
        <v>43595.333611111113</v>
      </c>
      <c r="J76" s="21" t="s">
        <v>25</v>
      </c>
      <c r="K76" t="s">
        <v>12</v>
      </c>
      <c r="L76" t="s">
        <v>14</v>
      </c>
      <c r="M76" t="s">
        <v>13</v>
      </c>
      <c r="N76">
        <v>1800</v>
      </c>
      <c r="O76">
        <v>2.2408631772268102</v>
      </c>
      <c r="P76" s="23">
        <v>43595.333611111113</v>
      </c>
      <c r="R76" s="29">
        <f t="shared" si="1"/>
        <v>14.108815426997189</v>
      </c>
    </row>
    <row r="77" spans="2:18" x14ac:dyDescent="0.25">
      <c r="B77" s="21" t="s">
        <v>25</v>
      </c>
      <c r="C77" t="s">
        <v>12</v>
      </c>
      <c r="D77" t="s">
        <v>14</v>
      </c>
      <c r="E77" t="s">
        <v>13</v>
      </c>
      <c r="F77">
        <v>2200</v>
      </c>
      <c r="G77">
        <v>23.947842056932899</v>
      </c>
      <c r="H77" s="23">
        <v>43597.333611111113</v>
      </c>
      <c r="J77" s="21" t="s">
        <v>25</v>
      </c>
      <c r="K77" t="s">
        <v>12</v>
      </c>
      <c r="L77" t="s">
        <v>14</v>
      </c>
      <c r="M77" t="s">
        <v>13</v>
      </c>
      <c r="N77">
        <v>2200</v>
      </c>
      <c r="O77">
        <v>1.44407713498622</v>
      </c>
      <c r="P77" s="23">
        <v>43597.333611111113</v>
      </c>
      <c r="R77" s="29">
        <f t="shared" si="1"/>
        <v>22.503764921946679</v>
      </c>
    </row>
    <row r="78" spans="2:18" x14ac:dyDescent="0.25">
      <c r="B78" s="21" t="s">
        <v>25</v>
      </c>
      <c r="C78" t="s">
        <v>12</v>
      </c>
      <c r="D78" t="s">
        <v>14</v>
      </c>
      <c r="E78" t="s">
        <v>13</v>
      </c>
      <c r="F78">
        <v>2600</v>
      </c>
      <c r="G78">
        <v>33.5462809917355</v>
      </c>
      <c r="H78" s="23">
        <v>43599.333611111113</v>
      </c>
      <c r="J78" s="21" t="s">
        <v>25</v>
      </c>
      <c r="K78" t="s">
        <v>12</v>
      </c>
      <c r="L78" t="s">
        <v>14</v>
      </c>
      <c r="M78" t="s">
        <v>13</v>
      </c>
      <c r="N78">
        <v>2600</v>
      </c>
      <c r="O78">
        <v>0.76060606060605995</v>
      </c>
      <c r="P78" s="23">
        <v>43599.333611111113</v>
      </c>
      <c r="R78" s="29">
        <f t="shared" si="1"/>
        <v>32.785674931129442</v>
      </c>
    </row>
    <row r="79" spans="2:18" x14ac:dyDescent="0.25">
      <c r="B79" s="21" t="s">
        <v>25</v>
      </c>
      <c r="C79" t="s">
        <v>12</v>
      </c>
      <c r="D79" t="s">
        <v>14</v>
      </c>
      <c r="E79" t="s">
        <v>13</v>
      </c>
      <c r="F79">
        <v>3000</v>
      </c>
      <c r="G79">
        <v>55.402295684113803</v>
      </c>
      <c r="H79" s="23">
        <v>43601.333611111113</v>
      </c>
      <c r="J79" s="21" t="s">
        <v>25</v>
      </c>
      <c r="K79" t="s">
        <v>12</v>
      </c>
      <c r="L79" t="s">
        <v>14</v>
      </c>
      <c r="M79" t="s">
        <v>13</v>
      </c>
      <c r="N79">
        <v>3000</v>
      </c>
      <c r="O79">
        <v>0.67979797979797896</v>
      </c>
      <c r="P79" s="23">
        <v>43601.333611111113</v>
      </c>
      <c r="R79" s="29">
        <f t="shared" si="1"/>
        <v>54.72249770431582</v>
      </c>
    </row>
    <row r="80" spans="2:18" x14ac:dyDescent="0.25">
      <c r="B80" s="21" t="s">
        <v>25</v>
      </c>
      <c r="C80" t="s">
        <v>12</v>
      </c>
      <c r="D80" t="s">
        <v>14</v>
      </c>
      <c r="E80" t="s">
        <v>13</v>
      </c>
      <c r="F80">
        <v>3400</v>
      </c>
      <c r="G80">
        <v>75.564187327823603</v>
      </c>
      <c r="H80" s="23">
        <v>43603.333611111113</v>
      </c>
      <c r="J80" s="21" t="s">
        <v>25</v>
      </c>
      <c r="K80" t="s">
        <v>12</v>
      </c>
      <c r="L80" t="s">
        <v>14</v>
      </c>
      <c r="M80" t="s">
        <v>13</v>
      </c>
      <c r="N80">
        <v>3400</v>
      </c>
      <c r="O80">
        <v>0.78246097337006404</v>
      </c>
      <c r="P80" s="23">
        <v>43603.333611111113</v>
      </c>
      <c r="R80" s="29">
        <f t="shared" si="1"/>
        <v>74.781726354453539</v>
      </c>
    </row>
    <row r="81" spans="2:18" x14ac:dyDescent="0.25">
      <c r="B81" s="21" t="s">
        <v>25</v>
      </c>
      <c r="C81" t="s">
        <v>12</v>
      </c>
      <c r="D81" t="s">
        <v>14</v>
      </c>
      <c r="E81" t="s">
        <v>13</v>
      </c>
      <c r="F81">
        <v>3800</v>
      </c>
      <c r="G81">
        <v>89.017447199265305</v>
      </c>
      <c r="H81" s="23">
        <v>43605.333611111113</v>
      </c>
      <c r="J81" s="21" t="s">
        <v>25</v>
      </c>
      <c r="K81" t="s">
        <v>12</v>
      </c>
      <c r="L81" t="s">
        <v>14</v>
      </c>
      <c r="M81" t="s">
        <v>13</v>
      </c>
      <c r="N81">
        <v>3800</v>
      </c>
      <c r="O81">
        <v>0.804040404040404</v>
      </c>
      <c r="P81" s="23">
        <v>43605.333611111113</v>
      </c>
      <c r="R81" s="29">
        <f t="shared" si="1"/>
        <v>88.213406795224898</v>
      </c>
    </row>
    <row r="82" spans="2:18" x14ac:dyDescent="0.25">
      <c r="B82" s="21" t="s">
        <v>25</v>
      </c>
      <c r="C82" t="s">
        <v>12</v>
      </c>
      <c r="D82" t="s">
        <v>14</v>
      </c>
      <c r="E82" t="s">
        <v>13</v>
      </c>
      <c r="F82">
        <v>4200</v>
      </c>
      <c r="G82">
        <v>96.302295684113801</v>
      </c>
      <c r="H82" s="23">
        <v>43607.333611111113</v>
      </c>
      <c r="J82" s="21" t="s">
        <v>25</v>
      </c>
      <c r="K82" t="s">
        <v>12</v>
      </c>
      <c r="L82" t="s">
        <v>14</v>
      </c>
      <c r="M82" t="s">
        <v>13</v>
      </c>
      <c r="N82">
        <v>4200</v>
      </c>
      <c r="O82">
        <v>0.91910009182736396</v>
      </c>
      <c r="P82" s="23">
        <v>43607.333611111113</v>
      </c>
      <c r="R82" s="29">
        <f t="shared" si="1"/>
        <v>95.383195592286441</v>
      </c>
    </row>
    <row r="83" spans="2:18" x14ac:dyDescent="0.25">
      <c r="B83" s="21" t="s">
        <v>25</v>
      </c>
      <c r="C83" t="s">
        <v>12</v>
      </c>
      <c r="D83" t="s">
        <v>14</v>
      </c>
      <c r="E83" t="s">
        <v>13</v>
      </c>
      <c r="F83">
        <v>4600</v>
      </c>
      <c r="G83">
        <v>121.40202020202</v>
      </c>
      <c r="H83" s="23">
        <v>43609.333611111113</v>
      </c>
      <c r="J83" s="21" t="s">
        <v>25</v>
      </c>
      <c r="K83" t="s">
        <v>12</v>
      </c>
      <c r="L83" t="s">
        <v>14</v>
      </c>
      <c r="M83" t="s">
        <v>13</v>
      </c>
      <c r="N83">
        <v>4600</v>
      </c>
      <c r="O83">
        <v>1.0094582185491201</v>
      </c>
      <c r="P83" s="23">
        <v>43609.333611111113</v>
      </c>
      <c r="R83" s="29">
        <f t="shared" si="1"/>
        <v>120.39256198347088</v>
      </c>
    </row>
    <row r="84" spans="2:18" ht="15.75" thickBot="1" x14ac:dyDescent="0.3">
      <c r="B84" s="24" t="s">
        <v>25</v>
      </c>
      <c r="C84" s="25" t="s">
        <v>12</v>
      </c>
      <c r="D84" s="25" t="s">
        <v>14</v>
      </c>
      <c r="E84" s="25" t="s">
        <v>13</v>
      </c>
      <c r="F84" s="25">
        <v>5000</v>
      </c>
      <c r="G84" s="25">
        <v>154.33094582185399</v>
      </c>
      <c r="H84" s="26">
        <v>43611.291944444441</v>
      </c>
      <c r="J84" s="24" t="s">
        <v>25</v>
      </c>
      <c r="K84" s="25" t="s">
        <v>12</v>
      </c>
      <c r="L84" s="25" t="s">
        <v>14</v>
      </c>
      <c r="M84" s="25" t="s">
        <v>13</v>
      </c>
      <c r="N84" s="25">
        <v>5000</v>
      </c>
      <c r="O84" s="25">
        <v>1.11772268135904</v>
      </c>
      <c r="P84" s="26">
        <v>43611.291944444441</v>
      </c>
      <c r="R84" s="30">
        <f t="shared" si="1"/>
        <v>153.21322314049496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d52f05-26de-4415-99d1-d23bc5366578}" enabled="1" method="Standard" siteId="{6dd3c56c-993f-40e7-b100-7203fa9158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Spawning</vt:lpstr>
      <vt:lpstr>Juvenile-inchannel</vt:lpstr>
      <vt:lpstr>Juvenile-floodplain</vt:lpstr>
      <vt:lpstr>Map</vt:lpstr>
      <vt:lpstr>script_output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Bray, Benjamin</dc:creator>
  <cp:lastModifiedBy>Bray, Benjamin</cp:lastModifiedBy>
  <dcterms:created xsi:type="dcterms:W3CDTF">2015-06-05T18:17:20Z</dcterms:created>
  <dcterms:modified xsi:type="dcterms:W3CDTF">2024-07-08T16:39:40Z</dcterms:modified>
</cp:coreProperties>
</file>