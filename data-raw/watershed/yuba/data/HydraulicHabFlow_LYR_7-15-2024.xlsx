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liz/Desktop/"/>
    </mc:Choice>
  </mc:AlternateContent>
  <xr:revisionPtr revIDLastSave="0" documentId="8_{6BEDAD0B-3CC9-C24B-BAFA-7CFDF8B66B6E}" xr6:coauthVersionLast="47" xr6:coauthVersionMax="47" xr10:uidLastSave="{00000000-0000-0000-0000-000000000000}"/>
  <bookViews>
    <workbookView xWindow="0" yWindow="500" windowWidth="23260" windowHeight="14020" activeTab="1" xr2:uid="{00000000-000D-0000-FFFF-FFFF00000000}"/>
  </bookViews>
  <sheets>
    <sheet name="ReadMe" sheetId="2" r:id="rId1"/>
    <sheet name="LYR_HabFlowRelationships" sheetId="1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<sst xmlns="http://schemas.openxmlformats.org/spreadsheetml/2006/main" count="106" uniqueCount="43">
  <si>
    <t>July 2024</t>
  </si>
  <si>
    <r>
      <rPr>
        <sz val="11"/>
        <color theme="1"/>
        <rFont val="Aptos Narrow"/>
        <family val="2"/>
      </rPr>
      <t>•</t>
    </r>
    <r>
      <rPr>
        <sz val="11"/>
        <color theme="1"/>
        <rFont val="Calibri"/>
        <family val="2"/>
      </rPr>
      <t xml:space="preserve"> </t>
    </r>
    <r>
      <rPr>
        <sz val="11"/>
        <color theme="1"/>
        <rFont val="Calibri"/>
        <family val="2"/>
        <scheme val="minor"/>
      </rPr>
      <t>Depth &gt;=0.5 and &lt;= 4.0 ft</t>
    </r>
  </si>
  <si>
    <t>• Velocity &lt;=3.0 ft/sec</t>
  </si>
  <si>
    <t>Flow (cfs)</t>
  </si>
  <si>
    <t>Existing Condition</t>
  </si>
  <si>
    <t>Rearing Hydraulic Criteria:</t>
  </si>
  <si>
    <r>
      <rPr>
        <sz val="11"/>
        <color theme="1"/>
        <rFont val="Aptos Narrow"/>
        <family val="2"/>
      </rPr>
      <t>•</t>
    </r>
    <r>
      <rPr>
        <sz val="11"/>
        <color theme="1"/>
        <rFont val="Calibri"/>
        <family val="2"/>
      </rPr>
      <t xml:space="preserve"> </t>
    </r>
    <r>
      <rPr>
        <sz val="11"/>
        <color theme="1"/>
        <rFont val="Calibri"/>
        <family val="2"/>
        <scheme val="minor"/>
      </rPr>
      <t>Depth &gt;=1.0 and &lt;= 2.5 ft</t>
    </r>
  </si>
  <si>
    <t>• Velocity &gt;=1.0 and &lt;= 4.0 ft ft/sec</t>
  </si>
  <si>
    <t>Spawning Hydraulic Criteria:</t>
  </si>
  <si>
    <t>In-Channel Rearing</t>
  </si>
  <si>
    <t>Floodplain Rearing</t>
  </si>
  <si>
    <t>Spawning</t>
  </si>
  <si>
    <t>Existing Condition In-channel and Floodplain Rearing Habitat</t>
  </si>
  <si>
    <t>• Dominant substrate size 2-10 cm</t>
  </si>
  <si>
    <t>With HR&amp;L In-channel and Floodplain Rearing Habitat</t>
  </si>
  <si>
    <t>Spawning Substrate Criteria and Data:</t>
  </si>
  <si>
    <t>•  HR&amp;L Projects considered: Hallwood, Lower Long Bar, Upper Long Bar, Rose Bar Comprehensive</t>
  </si>
  <si>
    <t>• Using Hallwood rearing habitat-flow relationship (As-Built minus Existing), a rough estimate of habitat-flow relationships for the remaining HR&amp;L habitat enhancement actions in the lower Yuba River were produced based on the following steps:</t>
  </si>
  <si>
    <t xml:space="preserve">2D Model and DEM: </t>
  </si>
  <si>
    <t>• Mean diameter substrate data based on 2010-2011 and 2018-2020 surveys within the bankfull channel (5,000 cfs extent).</t>
  </si>
  <si>
    <r>
      <t xml:space="preserve">• Based on the Pre-Project and As-Built habitat-flow relationships for the Hallwood Project:
   o Calculate the acres of habitat enhanced that meet the suitability criteria for each flow over the design flow range overall and for in-channel and floodplain habitat separately. 
   o Add the Hallwood Project’s enhanced acres to the existing habitat-flow relationships for each flow over the design flow range. This provides an updated habitat-flow relationship for the Hallwood component of the HR&amp;L suite of actions for the DPD HZ of the lower Yuba River.
   o Calculate the proportionate difference (%) of total habitat enhanced (acreage) that conforms to the suitability criteria for each flow over the design flow range for the Hallwood Project. This difference is calculated as As-Built minus Existing habitat acreage at each   flow divided by the Hallwood grading extent area. This results in an estimate of the percentage of the entire grading extent that was enhanced (conforming to the suitability criteria) for each flow.
   o For the remainder of the HR&amp;L habitat enhancement projects in the lower Yuba River, multiply the Hallwood Project’s proportionate difference (%) of habitat enhanced (acreage that conforms to the suitability criteria) to the estimated project-specific grading extents (separately for estimated in-channel and floodplain grading extent) for each flow over the appropriate design flow range for those individual projects.
   o Add the estimated enhanced acres for each HR&amp;L Project to the appropriate existing habitat-flow relationship (Deer Creek HZ) for the remainder of the lower Yuba River for each flow over the appropriate design flow ranges. 
   o These foregoing steps provide a rough estimate of updated habitat-flow relationships for the lower Yuba River incorporating the suite of HR&amp;L habitat enhancement actions. 
</t>
    </r>
    <r>
      <rPr>
        <b/>
        <sz val="11"/>
        <color theme="1"/>
        <rFont val="Calibri"/>
        <family val="2"/>
        <scheme val="minor"/>
      </rPr>
      <t xml:space="preserve">• Accurate empirically-derived updated habitat-flow relationships would be developed after all HR&amp;L projects are completed, modeled and evaluated. </t>
    </r>
  </si>
  <si>
    <r>
      <t xml:space="preserve">• </t>
    </r>
    <r>
      <rPr>
        <sz val="11"/>
        <color theme="1"/>
        <rFont val="Calibri"/>
        <family val="2"/>
        <scheme val="minor"/>
      </rPr>
      <t>Where interpolation was necessary to provide modeled existing or estimated enhanced habitat area for specific flows, linear interpolaton was applied.</t>
    </r>
  </si>
  <si>
    <t>• Delineation of in-channel and floodplain based on 1,500 cfs wetted extent below DPD (as modified by Hallwood As-Built condition) and 1,750 cfs wetted extent above DPD.</t>
  </si>
  <si>
    <t>•  Estimated grading extents of indivudal HR&amp;L Projects are based on: (1) the actual grading extent for Hallwood and Lower Long Bar; and (2) estimated grading extents for Upper Long Bar and Rose Bar Comp based on preliminary or conceptual designs.</t>
  </si>
  <si>
    <t xml:space="preserve">• Based on preliminary YWA analysis of flow that meets the intent of Meaningful Floodplain Event (MFE) criteria during 80% of years using modeled daily hydrology below DPD and below Deer Creek. </t>
  </si>
  <si>
    <t>Modeled Flows</t>
  </si>
  <si>
    <r>
      <t xml:space="preserve">• </t>
    </r>
    <r>
      <rPr>
        <sz val="11"/>
        <color theme="1"/>
        <rFont val="Calibri"/>
        <family val="2"/>
        <scheme val="minor"/>
      </rPr>
      <t>Modeled flows and habitat identified for upstream of DPD and downstream of DPD</t>
    </r>
  </si>
  <si>
    <r>
      <t xml:space="preserve">• </t>
    </r>
    <r>
      <rPr>
        <sz val="11"/>
        <color theme="1"/>
        <rFont val="Calibri"/>
        <family val="2"/>
        <scheme val="minor"/>
      </rPr>
      <t>300-110,400 cfs for Existing Conditions In-Channel and Rearing Habitat</t>
    </r>
  </si>
  <si>
    <r>
      <t xml:space="preserve">• </t>
    </r>
    <r>
      <rPr>
        <sz val="11"/>
        <color theme="1"/>
        <rFont val="Calibri"/>
        <family val="2"/>
        <scheme val="minor"/>
      </rPr>
      <t>300-10,000 cfs for With HR&amp;L In-Channel and Rearing Habitat. Insufficient information is available to provide rearing habitat with HR&amp;L projects for flows above 10,000 cfs at this time.</t>
    </r>
  </si>
  <si>
    <t>Below DPD</t>
  </si>
  <si>
    <t>Above DPD</t>
  </si>
  <si>
    <t>Habitat-Flow Relationships (Acres)</t>
  </si>
  <si>
    <t>--</t>
  </si>
  <si>
    <r>
      <t xml:space="preserve">• </t>
    </r>
    <r>
      <rPr>
        <sz val="11"/>
        <color theme="1"/>
        <rFont val="Calibri"/>
        <family val="2"/>
        <scheme val="minor"/>
      </rPr>
      <t>300-110,400 cfs for Existing Conditions Spawning Habitat. Estimated spawning habitat is limited to the geomorphic bankfull channel (5,000 cfs extent).</t>
    </r>
    <r>
      <rPr>
        <sz val="11"/>
        <color theme="1"/>
        <rFont val="Calibri"/>
        <family val="2"/>
        <scheme val="minor"/>
      </rPr>
      <t xml:space="preserve"> Potential spawning habitat enhancement with HR&amp;L projects has not been estimated.</t>
    </r>
  </si>
  <si>
    <t xml:space="preserve">NOTE: Habitat-flow relationships with HR&amp;L projects in this workbook are based on rough approximations based on limited information that is currently available regarding projects that have not been fully designed, constructed, modeled and/or evaluated. The only way to actually estimate empirically-derived habitat suitability is to construct the habitat, create a new DEM, run a 2D hydraulic model and estimate the difference in area that conforms with the suitability criteria (depth and velocity, with the cover qualifying criterion for rearing and substrate for spawning) over the range of design flows. </t>
  </si>
  <si>
    <r>
      <t xml:space="preserve">• Water depths and water velocities in the lower Yuba River were simulated by using a TUFLOW HPC 2D hydrodynamic model of the lower Yuba River using a 2017 digital elevation model (DEM). The 2017 DEM was developed subsequent to high flows that occurred during Winter of 2017 using Airborne Light Detection and Ranging (LiDAR), boat-based multibeam and single beam echosounding, and ground-based topographic surveying with Real-time kinematic (RTK) Global Positioning System (GPS) and robotic total stationing. The 2D model was run with a 3’x3’ computation mesh for flows </t>
    </r>
    <r>
      <rPr>
        <sz val="11"/>
        <color theme="1"/>
        <rFont val="Symbol"/>
        <family val="1"/>
        <charset val="2"/>
      </rPr>
      <t>£</t>
    </r>
    <r>
      <rPr>
        <sz val="11"/>
        <color theme="1"/>
        <rFont val="Calibri"/>
        <family val="2"/>
        <scheme val="minor"/>
      </rPr>
      <t xml:space="preserve"> 30,000 cfs and a 10’x10’ mesh for flows &gt;30,000 to 110,400 cfs. Detailed discussion of the calibration, validation and deployment of the 2017 2D model of the lower Yuba River is provided in Pasternack (in prep) and the documentation of the methodologies employed to produce the 2017 DEM is provided in Silva and Pasternack (2018). </t>
    </r>
  </si>
  <si>
    <t>Existing and Estimated with HR&amp;L Habitat-Flow Relationships for In-Channel Rearing, Floodplain Rearing and Spawning in the lower Yuba River</t>
  </si>
  <si>
    <t>Rearing habitat with HR&amp;L projects is not estimated for flows above 10,000 cfs.</t>
  </si>
  <si>
    <t>With HR&amp;L*</t>
  </si>
  <si>
    <t>*</t>
  </si>
  <si>
    <t>With HR&amp;L habitat-flow relationships are preliminary estimates based on existing information and will change after all projects are constructed, modeled and evauated.</t>
  </si>
  <si>
    <t>See ReadMe tab for summary of assumptions, limitations and methodologies employed.</t>
  </si>
  <si>
    <t>•  Estimated proportion of in-channel and floodplain habitat of individual H&amp;L Projects are based on: (1) As-Built DEM and hydraulic modeling of Hallwood (cbec, pers. comm.); (2) estimated based on preliminary construction information for Lower Long Bar (C. Hammersmark, pers comm.); and (3) estimated based on conceptual designs or plans of Upper Long Bar and Rose Bar Comprehensive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</si>
</sst>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b/>
      <sz val="11"/>
      <color theme="1"/>
      <name val="Calibri"/>
      <family val="2"/>
      <scheme val="minor"/>
    </font>
    <font>
      <sz val="11"/>
      <color indexed="8"/>
      <name val="Calibri"/>
      <family val="2"/>
      <scheme val="minor"/>
    </font>
    <font>
      <sz val="11"/>
      <color theme="1"/>
      <name val="Calibri"/>
      <family val="2"/>
      <scheme val="minor"/>
    </font>
    <font>
      <sz val="11"/>
      <color theme="1"/>
      <name val="Calibri"/>
      <family val="2"/>
    </font>
    <font>
      <sz val="11"/>
      <color theme="1"/>
      <name val="Aptos Narrow"/>
      <family val="2"/>
    </font>
    <font>
      <sz val="11"/>
      <color theme="1"/>
      <name val="Arial"/>
      <family val="2"/>
    </font>
    <font>
      <b/>
      <sz val="11"/>
      <color theme="1"/>
      <name val="Arial"/>
      <family val="2"/>
    </font>
    <font>
      <sz val="11"/>
      <color rgb="FF000000"/>
      <name val="Arial"/>
      <family val="2"/>
    </font>
    <font>
      <sz val="11"/>
      <color theme="0"/>
      <name val="Arial"/>
      <family val="2"/>
    </font>
    <font>
      <b/>
      <sz val="10"/>
      <color rgb="FF000000"/>
      <name val="Arial"/>
      <family val="2"/>
    </font>
    <font>
      <b/>
      <sz val="10"/>
      <color theme="1"/>
      <name val="Arial"/>
      <family val="2"/>
    </font>
    <font>
      <b/>
      <u/>
      <sz val="11"/>
      <color theme="1"/>
      <name val="Calibri"/>
      <family val="2"/>
      <scheme val="minor"/>
    </font>
    <font>
      <sz val="11"/>
      <color theme="1"/>
      <name val="Symbol"/>
      <family val="1"/>
      <charset val="2"/>
    </font>
    <font>
      <b/>
      <sz val="11"/>
      <color rgb="FFFF000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1"/>
        <bgColor indexed="64"/>
      </patternFill>
    </fill>
    <fill>
      <patternFill patternType="solid">
        <fgColor rgb="FFFFC000"/>
        <bgColor indexed="64"/>
      </patternFill>
    </fill>
    <fill>
      <patternFill patternType="solid">
        <fgColor rgb="FFFF0000"/>
        <bgColor indexed="64"/>
      </patternFill>
    </fill>
  </fills>
  <borders count="1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rgb="FF000000"/>
      </bottom>
      <diagonal/>
    </border>
  </borders>
  <cellStyleXfs count="5">
    <xf numFmtId="0" fontId="0"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43" fontId="3" fillId="0" borderId="0" applyFont="0" applyFill="0" applyBorder="0" applyAlignment="0" applyProtection="0"/>
  </cellStyleXfs>
  <cellXfs count="32">
    <xf numFmtId="0" fontId="0" fillId="0" borderId="0" xfId="0"/>
    <xf numFmtId="49" fontId="0" fillId="0" borderId="0" xfId="4" applyNumberFormat="1" applyFont="1" applyAlignment="1">
      <alignment wrapText="1"/>
    </xf>
    <xf numFmtId="0" fontId="0" fillId="0" borderId="0" xfId="0" applyAlignment="1">
      <alignment wrapText="1"/>
    </xf>
    <xf numFmtId="0" fontId="0" fillId="0" borderId="0" xfId="0" applyAlignment="1">
      <alignment horizontal="left" wrapText="1"/>
    </xf>
    <xf numFmtId="0" fontId="1" fillId="0" borderId="0" xfId="0" applyFont="1" applyAlignment="1">
      <alignment wrapText="1"/>
    </xf>
    <xf numFmtId="0" fontId="12" fillId="0" borderId="0" xfId="0" applyFont="1" applyAlignment="1">
      <alignment wrapText="1"/>
    </xf>
    <xf numFmtId="0" fontId="14" fillId="0" borderId="0" xfId="0" applyFont="1" applyAlignment="1">
      <alignment wrapText="1"/>
    </xf>
    <xf numFmtId="0" fontId="10" fillId="0" borderId="4" xfId="0" applyFont="1" applyBorder="1" applyAlignment="1">
      <alignment horizontal="center" wrapText="1"/>
    </xf>
    <xf numFmtId="0" fontId="11" fillId="0" borderId="4" xfId="0" applyFont="1" applyBorder="1" applyAlignment="1">
      <alignment horizontal="center" wrapText="1"/>
    </xf>
    <xf numFmtId="0" fontId="11" fillId="4" borderId="4" xfId="0" applyFont="1" applyFill="1" applyBorder="1" applyAlignment="1">
      <alignment horizontal="center" wrapText="1"/>
    </xf>
    <xf numFmtId="3" fontId="8" fillId="0" borderId="4" xfId="0" applyNumberFormat="1" applyFont="1" applyBorder="1" applyAlignment="1">
      <alignment horizontal="center"/>
    </xf>
    <xf numFmtId="164" fontId="9" fillId="5" borderId="4" xfId="0" applyNumberFormat="1" applyFont="1" applyFill="1" applyBorder="1" applyAlignment="1">
      <alignment horizontal="center"/>
    </xf>
    <xf numFmtId="164" fontId="6" fillId="4" borderId="4" xfId="0" applyNumberFormat="1" applyFont="1" applyFill="1" applyBorder="1" applyAlignment="1">
      <alignment horizontal="center"/>
    </xf>
    <xf numFmtId="3" fontId="8" fillId="0" borderId="4" xfId="4" applyNumberFormat="1" applyFont="1" applyFill="1" applyBorder="1" applyAlignment="1">
      <alignment horizontal="center"/>
    </xf>
    <xf numFmtId="3" fontId="8" fillId="0" borderId="4" xfId="4" applyNumberFormat="1" applyFont="1" applyBorder="1" applyAlignment="1">
      <alignment horizontal="center"/>
    </xf>
    <xf numFmtId="0" fontId="0" fillId="4" borderId="4" xfId="0" quotePrefix="1" applyFill="1" applyBorder="1" applyAlignment="1">
      <alignment horizontal="center"/>
    </xf>
    <xf numFmtId="0" fontId="1" fillId="0" borderId="4" xfId="0" applyFont="1" applyBorder="1" applyAlignment="1">
      <alignment horizontal="right" vertical="top"/>
    </xf>
    <xf numFmtId="0" fontId="1" fillId="0" borderId="4" xfId="0" quotePrefix="1" applyFont="1" applyBorder="1" applyAlignment="1">
      <alignment horizontal="right"/>
    </xf>
    <xf numFmtId="0" fontId="1" fillId="0" borderId="4" xfId="0" applyFont="1" applyBorder="1" applyAlignment="1">
      <alignment horizontal="left" wrapText="1"/>
    </xf>
    <xf numFmtId="0" fontId="1" fillId="0" borderId="4" xfId="0" applyFont="1" applyBorder="1" applyAlignment="1">
      <alignment horizontal="left"/>
    </xf>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7" fillId="2" borderId="8" xfId="0" applyFont="1" applyFill="1" applyBorder="1" applyAlignment="1">
      <alignment horizontal="center" wrapText="1"/>
    </xf>
    <xf numFmtId="0" fontId="7" fillId="2" borderId="5" xfId="0" applyFont="1" applyFill="1" applyBorder="1" applyAlignment="1">
      <alignment horizontal="center" wrapText="1"/>
    </xf>
    <xf numFmtId="0" fontId="7" fillId="3" borderId="6" xfId="0" applyFont="1" applyFill="1" applyBorder="1" applyAlignment="1">
      <alignment horizontal="center"/>
    </xf>
    <xf numFmtId="0" fontId="7" fillId="3" borderId="7" xfId="0" applyFont="1" applyFill="1" applyBorder="1" applyAlignment="1">
      <alignment horizontal="center"/>
    </xf>
    <xf numFmtId="0" fontId="7" fillId="6" borderId="6" xfId="0" applyFont="1" applyFill="1" applyBorder="1" applyAlignment="1">
      <alignment horizontal="center"/>
    </xf>
    <xf numFmtId="0" fontId="7" fillId="6" borderId="7" xfId="0" applyFont="1" applyFill="1" applyBorder="1" applyAlignment="1">
      <alignment horizontal="center"/>
    </xf>
    <xf numFmtId="0" fontId="7" fillId="7" borderId="6" xfId="0" applyFont="1" applyFill="1" applyBorder="1" applyAlignment="1">
      <alignment horizontal="center"/>
    </xf>
    <xf numFmtId="0" fontId="7" fillId="7" borderId="7" xfId="0" applyFont="1" applyFill="1" applyBorder="1" applyAlignment="1">
      <alignment horizontal="center"/>
    </xf>
    <xf numFmtId="0" fontId="7" fillId="0" borderId="9" xfId="0" applyFont="1" applyBorder="1" applyAlignment="1">
      <alignment horizontal="center" wrapText="1"/>
    </xf>
  </cellXfs>
  <cellStyles count="5">
    <cellStyle name="Comma" xfId="4" builtinId="3"/>
    <cellStyle name="Comma 2" xfId="2" xr:uid="{D845E081-B47D-40F2-8D78-07DA96A1EF0D}"/>
    <cellStyle name="Normal" xfId="0" builtinId="0"/>
    <cellStyle name="Normal 2" xfId="1" xr:uid="{9B5C9934-7ADE-4B7D-BDE4-E7922858B44D}"/>
    <cellStyle name="Percent 2" xfId="3" xr:uid="{66EC4D34-44F1-4850-BD35-011021CE2B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77537182852144"/>
          <c:y val="4.1256440227775713E-2"/>
          <c:w val="0.82532874015748026"/>
          <c:h val="0.84923296097205725"/>
        </c:manualLayout>
      </c:layout>
      <c:scatterChart>
        <c:scatterStyle val="smoothMarker"/>
        <c:varyColors val="0"/>
        <c:ser>
          <c:idx val="0"/>
          <c:order val="0"/>
          <c:tx>
            <c:v>In-Channel_Existing_Below DPD</c:v>
          </c:tx>
          <c:spPr>
            <a:ln w="19050" cap="rnd">
              <a:solidFill>
                <a:schemeClr val="tx1"/>
              </a:solidFill>
              <a:round/>
            </a:ln>
            <a:effectLst/>
          </c:spPr>
          <c:marker>
            <c:symbol val="circle"/>
            <c:size val="5"/>
            <c:spPr>
              <a:solidFill>
                <a:srgbClr val="92D050"/>
              </a:solidFill>
              <a:ln w="9525">
                <a:solidFill>
                  <a:schemeClr val="tx1"/>
                </a:solidFill>
              </a:ln>
              <a:effectLst/>
            </c:spPr>
          </c:marker>
          <c:xVal>
            <c:numRef>
              <c:f>LYR_HabFlowRelationships!$A$5:$A$27</c:f>
              <c:numCache>
                <c:formatCode>#,##0</c:formatCode>
                <c:ptCount val="23"/>
                <c:pt idx="0">
                  <c:v>300</c:v>
                </c:pt>
                <c:pt idx="1">
                  <c:v>400</c:v>
                </c:pt>
                <c:pt idx="2">
                  <c:v>500</c:v>
                </c:pt>
                <c:pt idx="3">
                  <c:v>1000</c:v>
                </c:pt>
                <c:pt idx="4">
                  <c:v>1500</c:v>
                </c:pt>
                <c:pt idx="5">
                  <c:v>1750</c:v>
                </c:pt>
                <c:pt idx="6">
                  <c:v>2000</c:v>
                </c:pt>
                <c:pt idx="7">
                  <c:v>2500</c:v>
                </c:pt>
                <c:pt idx="8">
                  <c:v>3000</c:v>
                </c:pt>
                <c:pt idx="9">
                  <c:v>3500</c:v>
                </c:pt>
                <c:pt idx="10">
                  <c:v>4000</c:v>
                </c:pt>
                <c:pt idx="11">
                  <c:v>4500</c:v>
                </c:pt>
                <c:pt idx="12">
                  <c:v>5000</c:v>
                </c:pt>
                <c:pt idx="13">
                  <c:v>5500</c:v>
                </c:pt>
                <c:pt idx="14">
                  <c:v>6000</c:v>
                </c:pt>
                <c:pt idx="15">
                  <c:v>6500</c:v>
                </c:pt>
                <c:pt idx="16">
                  <c:v>7000</c:v>
                </c:pt>
                <c:pt idx="17">
                  <c:v>7500</c:v>
                </c:pt>
                <c:pt idx="18">
                  <c:v>8000</c:v>
                </c:pt>
                <c:pt idx="19">
                  <c:v>8500</c:v>
                </c:pt>
                <c:pt idx="20">
                  <c:v>9000</c:v>
                </c:pt>
                <c:pt idx="21">
                  <c:v>9500</c:v>
                </c:pt>
                <c:pt idx="22">
                  <c:v>10000</c:v>
                </c:pt>
              </c:numCache>
            </c:numRef>
          </c:xVal>
          <c:yVal>
            <c:numRef>
              <c:f>LYR_HabFlowRelationships!$B$5:$B$27</c:f>
              <c:numCache>
                <c:formatCode>0.0</c:formatCode>
                <c:ptCount val="23"/>
                <c:pt idx="0">
                  <c:v>157</c:v>
                </c:pt>
                <c:pt idx="1">
                  <c:v>159.5</c:v>
                </c:pt>
                <c:pt idx="2">
                  <c:v>159.4</c:v>
                </c:pt>
                <c:pt idx="3">
                  <c:v>151.6</c:v>
                </c:pt>
                <c:pt idx="4">
                  <c:v>136.30000000000001</c:v>
                </c:pt>
                <c:pt idx="5">
                  <c:v>124.6</c:v>
                </c:pt>
                <c:pt idx="6">
                  <c:v>112.8</c:v>
                </c:pt>
                <c:pt idx="7">
                  <c:v>90.3</c:v>
                </c:pt>
                <c:pt idx="8">
                  <c:v>73.8</c:v>
                </c:pt>
                <c:pt idx="9">
                  <c:v>62.1</c:v>
                </c:pt>
                <c:pt idx="10">
                  <c:v>52.6</c:v>
                </c:pt>
                <c:pt idx="11">
                  <c:v>44.7</c:v>
                </c:pt>
                <c:pt idx="12">
                  <c:v>38.1</c:v>
                </c:pt>
                <c:pt idx="13">
                  <c:v>33</c:v>
                </c:pt>
                <c:pt idx="14">
                  <c:v>29.3</c:v>
                </c:pt>
                <c:pt idx="15">
                  <c:v>26.5</c:v>
                </c:pt>
                <c:pt idx="16">
                  <c:v>24.4</c:v>
                </c:pt>
                <c:pt idx="17">
                  <c:v>22.3</c:v>
                </c:pt>
                <c:pt idx="18">
                  <c:v>20.9</c:v>
                </c:pt>
                <c:pt idx="19">
                  <c:v>19.5</c:v>
                </c:pt>
                <c:pt idx="20">
                  <c:v>18.2</c:v>
                </c:pt>
                <c:pt idx="21">
                  <c:v>17</c:v>
                </c:pt>
                <c:pt idx="22">
                  <c:v>16</c:v>
                </c:pt>
              </c:numCache>
            </c:numRef>
          </c:yVal>
          <c:smooth val="1"/>
          <c:extLst>
            <c:ext xmlns:c16="http://schemas.microsoft.com/office/drawing/2014/chart" uri="{C3380CC4-5D6E-409C-BE32-E72D297353CC}">
              <c16:uniqueId val="{00000001-390E-4D43-98E3-42F3764CAA9F}"/>
            </c:ext>
          </c:extLst>
        </c:ser>
        <c:ser>
          <c:idx val="1"/>
          <c:order val="1"/>
          <c:tx>
            <c:v>In-Channel_HR&amp;L_Below DPD</c:v>
          </c:tx>
          <c:spPr>
            <a:ln w="19050" cap="rnd">
              <a:solidFill>
                <a:srgbClr val="00B0F0"/>
              </a:solidFill>
              <a:round/>
            </a:ln>
            <a:effectLst/>
          </c:spPr>
          <c:marker>
            <c:symbol val="circle"/>
            <c:size val="5"/>
            <c:spPr>
              <a:solidFill>
                <a:srgbClr val="92D050"/>
              </a:solidFill>
              <a:ln w="9525">
                <a:solidFill>
                  <a:schemeClr val="tx1"/>
                </a:solidFill>
              </a:ln>
              <a:effectLst/>
            </c:spPr>
          </c:marker>
          <c:xVal>
            <c:numRef>
              <c:f>LYR_HabFlowRelationships!$A$5:$A$27</c:f>
              <c:numCache>
                <c:formatCode>#,##0</c:formatCode>
                <c:ptCount val="23"/>
                <c:pt idx="0">
                  <c:v>300</c:v>
                </c:pt>
                <c:pt idx="1">
                  <c:v>400</c:v>
                </c:pt>
                <c:pt idx="2">
                  <c:v>500</c:v>
                </c:pt>
                <c:pt idx="3">
                  <c:v>1000</c:v>
                </c:pt>
                <c:pt idx="4">
                  <c:v>1500</c:v>
                </c:pt>
                <c:pt idx="5">
                  <c:v>1750</c:v>
                </c:pt>
                <c:pt idx="6">
                  <c:v>2000</c:v>
                </c:pt>
                <c:pt idx="7">
                  <c:v>2500</c:v>
                </c:pt>
                <c:pt idx="8">
                  <c:v>3000</c:v>
                </c:pt>
                <c:pt idx="9">
                  <c:v>3500</c:v>
                </c:pt>
                <c:pt idx="10">
                  <c:v>4000</c:v>
                </c:pt>
                <c:pt idx="11">
                  <c:v>4500</c:v>
                </c:pt>
                <c:pt idx="12">
                  <c:v>5000</c:v>
                </c:pt>
                <c:pt idx="13">
                  <c:v>5500</c:v>
                </c:pt>
                <c:pt idx="14">
                  <c:v>6000</c:v>
                </c:pt>
                <c:pt idx="15">
                  <c:v>6500</c:v>
                </c:pt>
                <c:pt idx="16">
                  <c:v>7000</c:v>
                </c:pt>
                <c:pt idx="17">
                  <c:v>7500</c:v>
                </c:pt>
                <c:pt idx="18">
                  <c:v>8000</c:v>
                </c:pt>
                <c:pt idx="19">
                  <c:v>8500</c:v>
                </c:pt>
                <c:pt idx="20">
                  <c:v>9000</c:v>
                </c:pt>
                <c:pt idx="21">
                  <c:v>9500</c:v>
                </c:pt>
                <c:pt idx="22">
                  <c:v>10000</c:v>
                </c:pt>
              </c:numCache>
            </c:numRef>
          </c:xVal>
          <c:yVal>
            <c:numRef>
              <c:f>LYR_HabFlowRelationships!$D$5:$D$27</c:f>
              <c:numCache>
                <c:formatCode>0.0</c:formatCode>
                <c:ptCount val="23"/>
                <c:pt idx="0">
                  <c:v>166.7</c:v>
                </c:pt>
                <c:pt idx="1">
                  <c:v>172.4</c:v>
                </c:pt>
                <c:pt idx="2">
                  <c:v>175.5</c:v>
                </c:pt>
                <c:pt idx="3">
                  <c:v>170.5</c:v>
                </c:pt>
                <c:pt idx="4">
                  <c:v>158</c:v>
                </c:pt>
                <c:pt idx="5">
                  <c:v>142.1</c:v>
                </c:pt>
                <c:pt idx="6">
                  <c:v>126.1</c:v>
                </c:pt>
                <c:pt idx="7">
                  <c:v>96.6</c:v>
                </c:pt>
                <c:pt idx="8">
                  <c:v>76.900000000000006</c:v>
                </c:pt>
                <c:pt idx="9">
                  <c:v>62.9</c:v>
                </c:pt>
                <c:pt idx="10">
                  <c:v>51.1</c:v>
                </c:pt>
                <c:pt idx="11">
                  <c:v>41.4</c:v>
                </c:pt>
                <c:pt idx="12">
                  <c:v>33.5</c:v>
                </c:pt>
                <c:pt idx="13">
                  <c:v>27.6</c:v>
                </c:pt>
                <c:pt idx="14">
                  <c:v>23.2</c:v>
                </c:pt>
                <c:pt idx="15">
                  <c:v>20.100000000000001</c:v>
                </c:pt>
                <c:pt idx="16">
                  <c:v>17.7</c:v>
                </c:pt>
                <c:pt idx="17">
                  <c:v>15.4</c:v>
                </c:pt>
                <c:pt idx="18">
                  <c:v>13.5</c:v>
                </c:pt>
                <c:pt idx="19">
                  <c:v>11.8</c:v>
                </c:pt>
                <c:pt idx="20">
                  <c:v>10.1</c:v>
                </c:pt>
                <c:pt idx="21">
                  <c:v>8.8000000000000007</c:v>
                </c:pt>
                <c:pt idx="22">
                  <c:v>7.5</c:v>
                </c:pt>
              </c:numCache>
            </c:numRef>
          </c:yVal>
          <c:smooth val="1"/>
          <c:extLst>
            <c:ext xmlns:c16="http://schemas.microsoft.com/office/drawing/2014/chart" uri="{C3380CC4-5D6E-409C-BE32-E72D297353CC}">
              <c16:uniqueId val="{00000002-390E-4D43-98E3-42F3764CAA9F}"/>
            </c:ext>
          </c:extLst>
        </c:ser>
        <c:dLbls>
          <c:showLegendKey val="0"/>
          <c:showVal val="0"/>
          <c:showCatName val="0"/>
          <c:showSerName val="0"/>
          <c:showPercent val="0"/>
          <c:showBubbleSize val="0"/>
        </c:dLbls>
        <c:axId val="396173279"/>
        <c:axId val="584476495"/>
      </c:scatterChart>
      <c:valAx>
        <c:axId val="396173279"/>
        <c:scaling>
          <c:orientation val="minMax"/>
          <c:max val="1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Flow (cfs)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out"/>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84476495"/>
        <c:crosses val="autoZero"/>
        <c:crossBetween val="midCat"/>
        <c:majorUnit val="1000"/>
        <c:minorUnit val="500"/>
      </c:valAx>
      <c:valAx>
        <c:axId val="584476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Rearing Habitat Area (acres)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96173279"/>
        <c:crosses val="autoZero"/>
        <c:crossBetween val="midCat"/>
      </c:valAx>
      <c:spPr>
        <a:noFill/>
        <a:ln>
          <a:noFill/>
        </a:ln>
        <a:effectLst/>
      </c:spPr>
    </c:plotArea>
    <c:legend>
      <c:legendPos val="r"/>
      <c:layout>
        <c:manualLayout>
          <c:xMode val="edge"/>
          <c:yMode val="edge"/>
          <c:x val="0.48445734908136484"/>
          <c:y val="5.1334883575329782E-2"/>
          <c:w val="0.45443153980752404"/>
          <c:h val="0.14721313779887291"/>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77537182852144"/>
          <c:y val="4.1256440227775713E-2"/>
          <c:w val="0.82532874015748026"/>
          <c:h val="0.84923296097205725"/>
        </c:manualLayout>
      </c:layout>
      <c:scatterChart>
        <c:scatterStyle val="smoothMarker"/>
        <c:varyColors val="0"/>
        <c:ser>
          <c:idx val="0"/>
          <c:order val="0"/>
          <c:tx>
            <c:v>In-Channel_Existing_Above DPD</c:v>
          </c:tx>
          <c:spPr>
            <a:ln w="19050" cap="rnd">
              <a:solidFill>
                <a:schemeClr val="tx1"/>
              </a:solidFill>
              <a:round/>
            </a:ln>
            <a:effectLst/>
          </c:spPr>
          <c:marker>
            <c:symbol val="circle"/>
            <c:size val="5"/>
            <c:spPr>
              <a:solidFill>
                <a:srgbClr val="92D050"/>
              </a:solidFill>
              <a:ln w="9525">
                <a:solidFill>
                  <a:schemeClr val="tx1"/>
                </a:solidFill>
              </a:ln>
              <a:effectLst/>
            </c:spPr>
          </c:marker>
          <c:xVal>
            <c:numRef>
              <c:f>LYR_HabFlowRelationships!$A$5:$A$27</c:f>
              <c:numCache>
                <c:formatCode>#,##0</c:formatCode>
                <c:ptCount val="23"/>
                <c:pt idx="0">
                  <c:v>300</c:v>
                </c:pt>
                <c:pt idx="1">
                  <c:v>400</c:v>
                </c:pt>
                <c:pt idx="2">
                  <c:v>500</c:v>
                </c:pt>
                <c:pt idx="3">
                  <c:v>1000</c:v>
                </c:pt>
                <c:pt idx="4">
                  <c:v>1500</c:v>
                </c:pt>
                <c:pt idx="5">
                  <c:v>1750</c:v>
                </c:pt>
                <c:pt idx="6">
                  <c:v>2000</c:v>
                </c:pt>
                <c:pt idx="7">
                  <c:v>2500</c:v>
                </c:pt>
                <c:pt idx="8">
                  <c:v>3000</c:v>
                </c:pt>
                <c:pt idx="9">
                  <c:v>3500</c:v>
                </c:pt>
                <c:pt idx="10">
                  <c:v>4000</c:v>
                </c:pt>
                <c:pt idx="11">
                  <c:v>4500</c:v>
                </c:pt>
                <c:pt idx="12">
                  <c:v>5000</c:v>
                </c:pt>
                <c:pt idx="13">
                  <c:v>5500</c:v>
                </c:pt>
                <c:pt idx="14">
                  <c:v>6000</c:v>
                </c:pt>
                <c:pt idx="15">
                  <c:v>6500</c:v>
                </c:pt>
                <c:pt idx="16">
                  <c:v>7000</c:v>
                </c:pt>
                <c:pt idx="17">
                  <c:v>7500</c:v>
                </c:pt>
                <c:pt idx="18">
                  <c:v>8000</c:v>
                </c:pt>
                <c:pt idx="19">
                  <c:v>8500</c:v>
                </c:pt>
                <c:pt idx="20">
                  <c:v>9000</c:v>
                </c:pt>
                <c:pt idx="21">
                  <c:v>9500</c:v>
                </c:pt>
                <c:pt idx="22">
                  <c:v>10000</c:v>
                </c:pt>
              </c:numCache>
            </c:numRef>
          </c:xVal>
          <c:yVal>
            <c:numRef>
              <c:f>LYR_HabFlowRelationships!$C$5:$C$27</c:f>
              <c:numCache>
                <c:formatCode>0.0</c:formatCode>
                <c:ptCount val="23"/>
                <c:pt idx="0">
                  <c:v>153.80000000000001</c:v>
                </c:pt>
                <c:pt idx="1">
                  <c:v>158.1</c:v>
                </c:pt>
                <c:pt idx="2">
                  <c:v>158.9</c:v>
                </c:pt>
                <c:pt idx="3">
                  <c:v>153.5</c:v>
                </c:pt>
                <c:pt idx="4">
                  <c:v>141.30000000000001</c:v>
                </c:pt>
                <c:pt idx="5">
                  <c:v>134.69999999999999</c:v>
                </c:pt>
                <c:pt idx="6">
                  <c:v>119.1</c:v>
                </c:pt>
                <c:pt idx="7">
                  <c:v>96.4</c:v>
                </c:pt>
                <c:pt idx="8">
                  <c:v>77.3</c:v>
                </c:pt>
                <c:pt idx="9">
                  <c:v>61.9</c:v>
                </c:pt>
                <c:pt idx="10">
                  <c:v>51.1</c:v>
                </c:pt>
                <c:pt idx="11">
                  <c:v>41.4</c:v>
                </c:pt>
                <c:pt idx="12">
                  <c:v>33.1</c:v>
                </c:pt>
                <c:pt idx="13">
                  <c:v>24.8</c:v>
                </c:pt>
                <c:pt idx="14">
                  <c:v>20.3</c:v>
                </c:pt>
                <c:pt idx="15">
                  <c:v>16.600000000000001</c:v>
                </c:pt>
                <c:pt idx="16">
                  <c:v>14.1</c:v>
                </c:pt>
                <c:pt idx="17">
                  <c:v>11.6</c:v>
                </c:pt>
                <c:pt idx="18">
                  <c:v>10.1</c:v>
                </c:pt>
                <c:pt idx="19">
                  <c:v>8.5</c:v>
                </c:pt>
                <c:pt idx="20">
                  <c:v>5.9</c:v>
                </c:pt>
                <c:pt idx="21">
                  <c:v>5.9</c:v>
                </c:pt>
                <c:pt idx="22">
                  <c:v>5</c:v>
                </c:pt>
              </c:numCache>
            </c:numRef>
          </c:yVal>
          <c:smooth val="1"/>
          <c:extLst>
            <c:ext xmlns:c16="http://schemas.microsoft.com/office/drawing/2014/chart" uri="{C3380CC4-5D6E-409C-BE32-E72D297353CC}">
              <c16:uniqueId val="{00000000-A266-422A-8349-739C53CEC67C}"/>
            </c:ext>
          </c:extLst>
        </c:ser>
        <c:ser>
          <c:idx val="1"/>
          <c:order val="1"/>
          <c:tx>
            <c:v>In-Channel_HR&amp;L_Above DPD</c:v>
          </c:tx>
          <c:spPr>
            <a:ln w="19050" cap="rnd">
              <a:solidFill>
                <a:srgbClr val="00B0F0"/>
              </a:solidFill>
              <a:round/>
            </a:ln>
            <a:effectLst/>
          </c:spPr>
          <c:marker>
            <c:symbol val="circle"/>
            <c:size val="5"/>
            <c:spPr>
              <a:solidFill>
                <a:srgbClr val="92D050"/>
              </a:solidFill>
              <a:ln w="9525">
                <a:solidFill>
                  <a:schemeClr val="tx1"/>
                </a:solidFill>
              </a:ln>
              <a:effectLst/>
            </c:spPr>
          </c:marker>
          <c:xVal>
            <c:numRef>
              <c:f>LYR_HabFlowRelationships!$A$5:$A$27</c:f>
              <c:numCache>
                <c:formatCode>#,##0</c:formatCode>
                <c:ptCount val="23"/>
                <c:pt idx="0">
                  <c:v>300</c:v>
                </c:pt>
                <c:pt idx="1">
                  <c:v>400</c:v>
                </c:pt>
                <c:pt idx="2">
                  <c:v>500</c:v>
                </c:pt>
                <c:pt idx="3">
                  <c:v>1000</c:v>
                </c:pt>
                <c:pt idx="4">
                  <c:v>1500</c:v>
                </c:pt>
                <c:pt idx="5">
                  <c:v>1750</c:v>
                </c:pt>
                <c:pt idx="6">
                  <c:v>2000</c:v>
                </c:pt>
                <c:pt idx="7">
                  <c:v>2500</c:v>
                </c:pt>
                <c:pt idx="8">
                  <c:v>3000</c:v>
                </c:pt>
                <c:pt idx="9">
                  <c:v>3500</c:v>
                </c:pt>
                <c:pt idx="10">
                  <c:v>4000</c:v>
                </c:pt>
                <c:pt idx="11">
                  <c:v>4500</c:v>
                </c:pt>
                <c:pt idx="12">
                  <c:v>5000</c:v>
                </c:pt>
                <c:pt idx="13">
                  <c:v>5500</c:v>
                </c:pt>
                <c:pt idx="14">
                  <c:v>6000</c:v>
                </c:pt>
                <c:pt idx="15">
                  <c:v>6500</c:v>
                </c:pt>
                <c:pt idx="16">
                  <c:v>7000</c:v>
                </c:pt>
                <c:pt idx="17">
                  <c:v>7500</c:v>
                </c:pt>
                <c:pt idx="18">
                  <c:v>8000</c:v>
                </c:pt>
                <c:pt idx="19">
                  <c:v>8500</c:v>
                </c:pt>
                <c:pt idx="20">
                  <c:v>9000</c:v>
                </c:pt>
                <c:pt idx="21">
                  <c:v>9500</c:v>
                </c:pt>
                <c:pt idx="22">
                  <c:v>10000</c:v>
                </c:pt>
              </c:numCache>
            </c:numRef>
          </c:xVal>
          <c:yVal>
            <c:numRef>
              <c:f>LYR_HabFlowRelationships!$E$5:$E$27</c:f>
              <c:numCache>
                <c:formatCode>0.0</c:formatCode>
                <c:ptCount val="23"/>
                <c:pt idx="0">
                  <c:v>163.5</c:v>
                </c:pt>
                <c:pt idx="1">
                  <c:v>171</c:v>
                </c:pt>
                <c:pt idx="2">
                  <c:v>175.1</c:v>
                </c:pt>
                <c:pt idx="3">
                  <c:v>172.4</c:v>
                </c:pt>
                <c:pt idx="4">
                  <c:v>163.1</c:v>
                </c:pt>
                <c:pt idx="5">
                  <c:v>149.9</c:v>
                </c:pt>
                <c:pt idx="6">
                  <c:v>127.6</c:v>
                </c:pt>
                <c:pt idx="7">
                  <c:v>104</c:v>
                </c:pt>
                <c:pt idx="8">
                  <c:v>85.7</c:v>
                </c:pt>
                <c:pt idx="9">
                  <c:v>70.900000000000006</c:v>
                </c:pt>
                <c:pt idx="10">
                  <c:v>60.7</c:v>
                </c:pt>
                <c:pt idx="11">
                  <c:v>51.6</c:v>
                </c:pt>
                <c:pt idx="12">
                  <c:v>44.1</c:v>
                </c:pt>
                <c:pt idx="13">
                  <c:v>36.5</c:v>
                </c:pt>
                <c:pt idx="14">
                  <c:v>32.700000000000003</c:v>
                </c:pt>
                <c:pt idx="15">
                  <c:v>29.6</c:v>
                </c:pt>
                <c:pt idx="16">
                  <c:v>27.6</c:v>
                </c:pt>
                <c:pt idx="17">
                  <c:v>25.4</c:v>
                </c:pt>
                <c:pt idx="18">
                  <c:v>24.1</c:v>
                </c:pt>
                <c:pt idx="19">
                  <c:v>22.7</c:v>
                </c:pt>
                <c:pt idx="20">
                  <c:v>19.899999999999999</c:v>
                </c:pt>
                <c:pt idx="21">
                  <c:v>19.8</c:v>
                </c:pt>
                <c:pt idx="22">
                  <c:v>18.7</c:v>
                </c:pt>
              </c:numCache>
            </c:numRef>
          </c:yVal>
          <c:smooth val="1"/>
          <c:extLst>
            <c:ext xmlns:c16="http://schemas.microsoft.com/office/drawing/2014/chart" uri="{C3380CC4-5D6E-409C-BE32-E72D297353CC}">
              <c16:uniqueId val="{00000001-A266-422A-8349-739C53CEC67C}"/>
            </c:ext>
          </c:extLst>
        </c:ser>
        <c:dLbls>
          <c:showLegendKey val="0"/>
          <c:showVal val="0"/>
          <c:showCatName val="0"/>
          <c:showSerName val="0"/>
          <c:showPercent val="0"/>
          <c:showBubbleSize val="0"/>
        </c:dLbls>
        <c:axId val="396173279"/>
        <c:axId val="584476495"/>
      </c:scatterChart>
      <c:valAx>
        <c:axId val="396173279"/>
        <c:scaling>
          <c:orientation val="minMax"/>
          <c:max val="1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Flow (cfs)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out"/>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84476495"/>
        <c:crosses val="autoZero"/>
        <c:crossBetween val="midCat"/>
        <c:majorUnit val="1000"/>
        <c:minorUnit val="500"/>
      </c:valAx>
      <c:valAx>
        <c:axId val="584476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Rearing Habitat Area (acres)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96173279"/>
        <c:crosses val="autoZero"/>
        <c:crossBetween val="midCat"/>
      </c:valAx>
      <c:spPr>
        <a:noFill/>
        <a:ln>
          <a:noFill/>
        </a:ln>
        <a:effectLst/>
      </c:spPr>
    </c:plotArea>
    <c:legend>
      <c:legendPos val="r"/>
      <c:layout>
        <c:manualLayout>
          <c:xMode val="edge"/>
          <c:yMode val="edge"/>
          <c:x val="0.48445734908136484"/>
          <c:y val="5.1334883575329782E-2"/>
          <c:w val="0.45443153980752404"/>
          <c:h val="0.14721313779887291"/>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77537182852144"/>
          <c:y val="4.1256440227775713E-2"/>
          <c:w val="0.82532874015748026"/>
          <c:h val="0.84923296097205725"/>
        </c:manualLayout>
      </c:layout>
      <c:scatterChart>
        <c:scatterStyle val="smoothMarker"/>
        <c:varyColors val="0"/>
        <c:ser>
          <c:idx val="0"/>
          <c:order val="0"/>
          <c:tx>
            <c:v>Floodplain_Existing_Below DPD</c:v>
          </c:tx>
          <c:spPr>
            <a:ln w="19050" cap="rnd">
              <a:solidFill>
                <a:schemeClr val="tx1"/>
              </a:solidFill>
              <a:round/>
            </a:ln>
            <a:effectLst/>
          </c:spPr>
          <c:marker>
            <c:symbol val="circle"/>
            <c:size val="5"/>
            <c:spPr>
              <a:solidFill>
                <a:srgbClr val="FFC000"/>
              </a:solidFill>
              <a:ln w="9525">
                <a:solidFill>
                  <a:schemeClr val="tx1"/>
                </a:solidFill>
              </a:ln>
              <a:effectLst/>
            </c:spPr>
          </c:marker>
          <c:xVal>
            <c:numRef>
              <c:f>LYR_HabFlowRelationships!$A$5:$A$27</c:f>
              <c:numCache>
                <c:formatCode>#,##0</c:formatCode>
                <c:ptCount val="23"/>
                <c:pt idx="0">
                  <c:v>300</c:v>
                </c:pt>
                <c:pt idx="1">
                  <c:v>400</c:v>
                </c:pt>
                <c:pt idx="2">
                  <c:v>500</c:v>
                </c:pt>
                <c:pt idx="3">
                  <c:v>1000</c:v>
                </c:pt>
                <c:pt idx="4">
                  <c:v>1500</c:v>
                </c:pt>
                <c:pt idx="5">
                  <c:v>1750</c:v>
                </c:pt>
                <c:pt idx="6">
                  <c:v>2000</c:v>
                </c:pt>
                <c:pt idx="7">
                  <c:v>2500</c:v>
                </c:pt>
                <c:pt idx="8">
                  <c:v>3000</c:v>
                </c:pt>
                <c:pt idx="9">
                  <c:v>3500</c:v>
                </c:pt>
                <c:pt idx="10">
                  <c:v>4000</c:v>
                </c:pt>
                <c:pt idx="11">
                  <c:v>4500</c:v>
                </c:pt>
                <c:pt idx="12">
                  <c:v>5000</c:v>
                </c:pt>
                <c:pt idx="13">
                  <c:v>5500</c:v>
                </c:pt>
                <c:pt idx="14">
                  <c:v>6000</c:v>
                </c:pt>
                <c:pt idx="15">
                  <c:v>6500</c:v>
                </c:pt>
                <c:pt idx="16">
                  <c:v>7000</c:v>
                </c:pt>
                <c:pt idx="17">
                  <c:v>7500</c:v>
                </c:pt>
                <c:pt idx="18">
                  <c:v>8000</c:v>
                </c:pt>
                <c:pt idx="19">
                  <c:v>8500</c:v>
                </c:pt>
                <c:pt idx="20">
                  <c:v>9000</c:v>
                </c:pt>
                <c:pt idx="21">
                  <c:v>9500</c:v>
                </c:pt>
                <c:pt idx="22">
                  <c:v>10000</c:v>
                </c:pt>
              </c:numCache>
            </c:numRef>
          </c:xVal>
          <c:yVal>
            <c:numRef>
              <c:f>LYR_HabFlowRelationships!$F$5:$F$27</c:f>
              <c:numCache>
                <c:formatCode>0.0</c:formatCode>
                <c:ptCount val="23"/>
                <c:pt idx="0">
                  <c:v>0</c:v>
                </c:pt>
                <c:pt idx="1">
                  <c:v>0</c:v>
                </c:pt>
                <c:pt idx="2">
                  <c:v>0</c:v>
                </c:pt>
                <c:pt idx="3">
                  <c:v>0</c:v>
                </c:pt>
                <c:pt idx="4">
                  <c:v>0</c:v>
                </c:pt>
                <c:pt idx="5">
                  <c:v>4.7</c:v>
                </c:pt>
                <c:pt idx="6">
                  <c:v>9.4</c:v>
                </c:pt>
                <c:pt idx="7">
                  <c:v>23.7</c:v>
                </c:pt>
                <c:pt idx="8">
                  <c:v>38.299999999999997</c:v>
                </c:pt>
                <c:pt idx="9">
                  <c:v>50.3</c:v>
                </c:pt>
                <c:pt idx="10">
                  <c:v>60.8</c:v>
                </c:pt>
                <c:pt idx="11">
                  <c:v>71.2</c:v>
                </c:pt>
                <c:pt idx="12">
                  <c:v>79.8</c:v>
                </c:pt>
                <c:pt idx="13">
                  <c:v>87.9</c:v>
                </c:pt>
                <c:pt idx="14">
                  <c:v>95.4</c:v>
                </c:pt>
                <c:pt idx="15">
                  <c:v>103.3</c:v>
                </c:pt>
                <c:pt idx="16">
                  <c:v>111.3</c:v>
                </c:pt>
                <c:pt idx="17">
                  <c:v>119.3</c:v>
                </c:pt>
                <c:pt idx="18">
                  <c:v>127.3</c:v>
                </c:pt>
                <c:pt idx="19">
                  <c:v>135.30000000000001</c:v>
                </c:pt>
                <c:pt idx="20">
                  <c:v>140.5</c:v>
                </c:pt>
                <c:pt idx="21">
                  <c:v>145.4</c:v>
                </c:pt>
                <c:pt idx="22">
                  <c:v>149.30000000000001</c:v>
                </c:pt>
              </c:numCache>
            </c:numRef>
          </c:yVal>
          <c:smooth val="1"/>
          <c:extLst>
            <c:ext xmlns:c16="http://schemas.microsoft.com/office/drawing/2014/chart" uri="{C3380CC4-5D6E-409C-BE32-E72D297353CC}">
              <c16:uniqueId val="{00000000-EA2C-4625-BD23-25DEFE5F3528}"/>
            </c:ext>
          </c:extLst>
        </c:ser>
        <c:ser>
          <c:idx val="1"/>
          <c:order val="1"/>
          <c:tx>
            <c:v>Floodplain_HR&amp;L_Below DPD</c:v>
          </c:tx>
          <c:spPr>
            <a:ln w="19050" cap="rnd">
              <a:solidFill>
                <a:srgbClr val="00B0F0"/>
              </a:solidFill>
              <a:round/>
            </a:ln>
            <a:effectLst/>
          </c:spPr>
          <c:marker>
            <c:symbol val="circle"/>
            <c:size val="5"/>
            <c:spPr>
              <a:solidFill>
                <a:srgbClr val="FFC000"/>
              </a:solidFill>
              <a:ln w="9525">
                <a:solidFill>
                  <a:schemeClr val="tx1"/>
                </a:solidFill>
              </a:ln>
              <a:effectLst/>
            </c:spPr>
          </c:marker>
          <c:xVal>
            <c:numRef>
              <c:f>LYR_HabFlowRelationships!$A$5:$A$27</c:f>
              <c:numCache>
                <c:formatCode>#,##0</c:formatCode>
                <c:ptCount val="23"/>
                <c:pt idx="0">
                  <c:v>300</c:v>
                </c:pt>
                <c:pt idx="1">
                  <c:v>400</c:v>
                </c:pt>
                <c:pt idx="2">
                  <c:v>500</c:v>
                </c:pt>
                <c:pt idx="3">
                  <c:v>1000</c:v>
                </c:pt>
                <c:pt idx="4">
                  <c:v>1500</c:v>
                </c:pt>
                <c:pt idx="5">
                  <c:v>1750</c:v>
                </c:pt>
                <c:pt idx="6">
                  <c:v>2000</c:v>
                </c:pt>
                <c:pt idx="7">
                  <c:v>2500</c:v>
                </c:pt>
                <c:pt idx="8">
                  <c:v>3000</c:v>
                </c:pt>
                <c:pt idx="9">
                  <c:v>3500</c:v>
                </c:pt>
                <c:pt idx="10">
                  <c:v>4000</c:v>
                </c:pt>
                <c:pt idx="11">
                  <c:v>4500</c:v>
                </c:pt>
                <c:pt idx="12">
                  <c:v>5000</c:v>
                </c:pt>
                <c:pt idx="13">
                  <c:v>5500</c:v>
                </c:pt>
                <c:pt idx="14">
                  <c:v>6000</c:v>
                </c:pt>
                <c:pt idx="15">
                  <c:v>6500</c:v>
                </c:pt>
                <c:pt idx="16">
                  <c:v>7000</c:v>
                </c:pt>
                <c:pt idx="17">
                  <c:v>7500</c:v>
                </c:pt>
                <c:pt idx="18">
                  <c:v>8000</c:v>
                </c:pt>
                <c:pt idx="19">
                  <c:v>8500</c:v>
                </c:pt>
                <c:pt idx="20">
                  <c:v>9000</c:v>
                </c:pt>
                <c:pt idx="21">
                  <c:v>9500</c:v>
                </c:pt>
                <c:pt idx="22">
                  <c:v>10000</c:v>
                </c:pt>
              </c:numCache>
            </c:numRef>
          </c:xVal>
          <c:yVal>
            <c:numRef>
              <c:f>LYR_HabFlowRelationships!$H$5:$H$27</c:f>
              <c:numCache>
                <c:formatCode>0.0</c:formatCode>
                <c:ptCount val="23"/>
                <c:pt idx="0">
                  <c:v>0</c:v>
                </c:pt>
                <c:pt idx="1">
                  <c:v>0</c:v>
                </c:pt>
                <c:pt idx="2">
                  <c:v>0</c:v>
                </c:pt>
                <c:pt idx="3">
                  <c:v>0</c:v>
                </c:pt>
                <c:pt idx="4">
                  <c:v>0</c:v>
                </c:pt>
                <c:pt idx="5">
                  <c:v>10.6</c:v>
                </c:pt>
                <c:pt idx="6">
                  <c:v>21.3</c:v>
                </c:pt>
                <c:pt idx="7">
                  <c:v>39.9</c:v>
                </c:pt>
                <c:pt idx="8">
                  <c:v>59.8</c:v>
                </c:pt>
                <c:pt idx="9">
                  <c:v>76.099999999999994</c:v>
                </c:pt>
                <c:pt idx="10">
                  <c:v>90.6</c:v>
                </c:pt>
                <c:pt idx="11">
                  <c:v>104.6</c:v>
                </c:pt>
                <c:pt idx="12">
                  <c:v>116.9</c:v>
                </c:pt>
                <c:pt idx="13">
                  <c:v>128.1</c:v>
                </c:pt>
                <c:pt idx="14">
                  <c:v>138.1</c:v>
                </c:pt>
                <c:pt idx="15">
                  <c:v>148.19999999999999</c:v>
                </c:pt>
                <c:pt idx="16">
                  <c:v>157.80000000000001</c:v>
                </c:pt>
                <c:pt idx="17">
                  <c:v>167.1</c:v>
                </c:pt>
                <c:pt idx="18">
                  <c:v>176.2</c:v>
                </c:pt>
                <c:pt idx="19">
                  <c:v>185</c:v>
                </c:pt>
                <c:pt idx="20">
                  <c:v>190.1</c:v>
                </c:pt>
                <c:pt idx="21">
                  <c:v>194.7</c:v>
                </c:pt>
                <c:pt idx="22">
                  <c:v>198.3</c:v>
                </c:pt>
              </c:numCache>
            </c:numRef>
          </c:yVal>
          <c:smooth val="1"/>
          <c:extLst>
            <c:ext xmlns:c16="http://schemas.microsoft.com/office/drawing/2014/chart" uri="{C3380CC4-5D6E-409C-BE32-E72D297353CC}">
              <c16:uniqueId val="{00000001-EA2C-4625-BD23-25DEFE5F3528}"/>
            </c:ext>
          </c:extLst>
        </c:ser>
        <c:dLbls>
          <c:showLegendKey val="0"/>
          <c:showVal val="0"/>
          <c:showCatName val="0"/>
          <c:showSerName val="0"/>
          <c:showPercent val="0"/>
          <c:showBubbleSize val="0"/>
        </c:dLbls>
        <c:axId val="396173279"/>
        <c:axId val="584476495"/>
      </c:scatterChart>
      <c:valAx>
        <c:axId val="396173279"/>
        <c:scaling>
          <c:orientation val="minMax"/>
          <c:max val="1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Flow (cfs)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out"/>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84476495"/>
        <c:crosses val="autoZero"/>
        <c:crossBetween val="midCat"/>
        <c:majorUnit val="1000"/>
        <c:minorUnit val="500"/>
      </c:valAx>
      <c:valAx>
        <c:axId val="584476495"/>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Rearing Habitat Area (acres)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96173279"/>
        <c:crosses val="autoZero"/>
        <c:crossBetween val="midCat"/>
      </c:valAx>
      <c:spPr>
        <a:noFill/>
        <a:ln>
          <a:noFill/>
        </a:ln>
        <a:effectLst/>
      </c:spPr>
    </c:plotArea>
    <c:legend>
      <c:legendPos val="r"/>
      <c:layout>
        <c:manualLayout>
          <c:xMode val="edge"/>
          <c:yMode val="edge"/>
          <c:x val="0.12334623797025372"/>
          <c:y val="4.7584298100077436E-2"/>
          <c:w val="0.45443153980752404"/>
          <c:h val="0.14721313779887291"/>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77537182852144"/>
          <c:y val="4.1256440227775713E-2"/>
          <c:w val="0.82532874015748026"/>
          <c:h val="0.84923296097205725"/>
        </c:manualLayout>
      </c:layout>
      <c:scatterChart>
        <c:scatterStyle val="smoothMarker"/>
        <c:varyColors val="0"/>
        <c:ser>
          <c:idx val="0"/>
          <c:order val="0"/>
          <c:tx>
            <c:v>Floodplain_Existing_Above DPD</c:v>
          </c:tx>
          <c:spPr>
            <a:ln w="19050" cap="rnd">
              <a:solidFill>
                <a:schemeClr val="tx1"/>
              </a:solidFill>
              <a:round/>
            </a:ln>
            <a:effectLst/>
          </c:spPr>
          <c:marker>
            <c:symbol val="circle"/>
            <c:size val="5"/>
            <c:spPr>
              <a:solidFill>
                <a:srgbClr val="FFC000"/>
              </a:solidFill>
              <a:ln w="9525">
                <a:solidFill>
                  <a:schemeClr val="tx1"/>
                </a:solidFill>
              </a:ln>
              <a:effectLst/>
            </c:spPr>
          </c:marker>
          <c:xVal>
            <c:numRef>
              <c:f>LYR_HabFlowRelationships!$A$5:$A$27</c:f>
              <c:numCache>
                <c:formatCode>#,##0</c:formatCode>
                <c:ptCount val="23"/>
                <c:pt idx="0">
                  <c:v>300</c:v>
                </c:pt>
                <c:pt idx="1">
                  <c:v>400</c:v>
                </c:pt>
                <c:pt idx="2">
                  <c:v>500</c:v>
                </c:pt>
                <c:pt idx="3">
                  <c:v>1000</c:v>
                </c:pt>
                <c:pt idx="4">
                  <c:v>1500</c:v>
                </c:pt>
                <c:pt idx="5">
                  <c:v>1750</c:v>
                </c:pt>
                <c:pt idx="6">
                  <c:v>2000</c:v>
                </c:pt>
                <c:pt idx="7">
                  <c:v>2500</c:v>
                </c:pt>
                <c:pt idx="8">
                  <c:v>3000</c:v>
                </c:pt>
                <c:pt idx="9">
                  <c:v>3500</c:v>
                </c:pt>
                <c:pt idx="10">
                  <c:v>4000</c:v>
                </c:pt>
                <c:pt idx="11">
                  <c:v>4500</c:v>
                </c:pt>
                <c:pt idx="12">
                  <c:v>5000</c:v>
                </c:pt>
                <c:pt idx="13">
                  <c:v>5500</c:v>
                </c:pt>
                <c:pt idx="14">
                  <c:v>6000</c:v>
                </c:pt>
                <c:pt idx="15">
                  <c:v>6500</c:v>
                </c:pt>
                <c:pt idx="16">
                  <c:v>7000</c:v>
                </c:pt>
                <c:pt idx="17">
                  <c:v>7500</c:v>
                </c:pt>
                <c:pt idx="18">
                  <c:v>8000</c:v>
                </c:pt>
                <c:pt idx="19">
                  <c:v>8500</c:v>
                </c:pt>
                <c:pt idx="20">
                  <c:v>9000</c:v>
                </c:pt>
                <c:pt idx="21">
                  <c:v>9500</c:v>
                </c:pt>
                <c:pt idx="22">
                  <c:v>10000</c:v>
                </c:pt>
              </c:numCache>
            </c:numRef>
          </c:xVal>
          <c:yVal>
            <c:numRef>
              <c:f>LYR_HabFlowRelationships!$G$5:$G$27</c:f>
              <c:numCache>
                <c:formatCode>0.0</c:formatCode>
                <c:ptCount val="23"/>
                <c:pt idx="0">
                  <c:v>0</c:v>
                </c:pt>
                <c:pt idx="1">
                  <c:v>0</c:v>
                </c:pt>
                <c:pt idx="2">
                  <c:v>0</c:v>
                </c:pt>
                <c:pt idx="3">
                  <c:v>0</c:v>
                </c:pt>
                <c:pt idx="4">
                  <c:v>0</c:v>
                </c:pt>
                <c:pt idx="5">
                  <c:v>0</c:v>
                </c:pt>
                <c:pt idx="6">
                  <c:v>9.1</c:v>
                </c:pt>
                <c:pt idx="7">
                  <c:v>23.4</c:v>
                </c:pt>
                <c:pt idx="8">
                  <c:v>35</c:v>
                </c:pt>
                <c:pt idx="9">
                  <c:v>46.4</c:v>
                </c:pt>
                <c:pt idx="10">
                  <c:v>52.8</c:v>
                </c:pt>
                <c:pt idx="11">
                  <c:v>60.6</c:v>
                </c:pt>
                <c:pt idx="12">
                  <c:v>72.2</c:v>
                </c:pt>
                <c:pt idx="13">
                  <c:v>82.9</c:v>
                </c:pt>
                <c:pt idx="14">
                  <c:v>89.2</c:v>
                </c:pt>
                <c:pt idx="15">
                  <c:v>93</c:v>
                </c:pt>
                <c:pt idx="16">
                  <c:v>96.9</c:v>
                </c:pt>
                <c:pt idx="17">
                  <c:v>100.8</c:v>
                </c:pt>
                <c:pt idx="18">
                  <c:v>99.3</c:v>
                </c:pt>
                <c:pt idx="19">
                  <c:v>97.8</c:v>
                </c:pt>
                <c:pt idx="20">
                  <c:v>104.3</c:v>
                </c:pt>
                <c:pt idx="21">
                  <c:v>114.9</c:v>
                </c:pt>
                <c:pt idx="22">
                  <c:v>117.5</c:v>
                </c:pt>
              </c:numCache>
            </c:numRef>
          </c:yVal>
          <c:smooth val="1"/>
          <c:extLst>
            <c:ext xmlns:c16="http://schemas.microsoft.com/office/drawing/2014/chart" uri="{C3380CC4-5D6E-409C-BE32-E72D297353CC}">
              <c16:uniqueId val="{00000000-6CA0-42F5-95C7-DAEF02DE4AFD}"/>
            </c:ext>
          </c:extLst>
        </c:ser>
        <c:ser>
          <c:idx val="1"/>
          <c:order val="1"/>
          <c:tx>
            <c:v>Floodplain_HR&amp;L_Above DPD</c:v>
          </c:tx>
          <c:spPr>
            <a:ln w="19050" cap="rnd">
              <a:solidFill>
                <a:srgbClr val="00B0F0"/>
              </a:solidFill>
              <a:round/>
            </a:ln>
            <a:effectLst/>
          </c:spPr>
          <c:marker>
            <c:symbol val="circle"/>
            <c:size val="5"/>
            <c:spPr>
              <a:solidFill>
                <a:srgbClr val="FFC000"/>
              </a:solidFill>
              <a:ln w="9525">
                <a:solidFill>
                  <a:schemeClr val="tx1"/>
                </a:solidFill>
              </a:ln>
              <a:effectLst/>
            </c:spPr>
          </c:marker>
          <c:xVal>
            <c:numRef>
              <c:f>LYR_HabFlowRelationships!$A$5:$A$27</c:f>
              <c:numCache>
                <c:formatCode>#,##0</c:formatCode>
                <c:ptCount val="23"/>
                <c:pt idx="0">
                  <c:v>300</c:v>
                </c:pt>
                <c:pt idx="1">
                  <c:v>400</c:v>
                </c:pt>
                <c:pt idx="2">
                  <c:v>500</c:v>
                </c:pt>
                <c:pt idx="3">
                  <c:v>1000</c:v>
                </c:pt>
                <c:pt idx="4">
                  <c:v>1500</c:v>
                </c:pt>
                <c:pt idx="5">
                  <c:v>1750</c:v>
                </c:pt>
                <c:pt idx="6">
                  <c:v>2000</c:v>
                </c:pt>
                <c:pt idx="7">
                  <c:v>2500</c:v>
                </c:pt>
                <c:pt idx="8">
                  <c:v>3000</c:v>
                </c:pt>
                <c:pt idx="9">
                  <c:v>3500</c:v>
                </c:pt>
                <c:pt idx="10">
                  <c:v>4000</c:v>
                </c:pt>
                <c:pt idx="11">
                  <c:v>4500</c:v>
                </c:pt>
                <c:pt idx="12">
                  <c:v>5000</c:v>
                </c:pt>
                <c:pt idx="13">
                  <c:v>5500</c:v>
                </c:pt>
                <c:pt idx="14">
                  <c:v>6000</c:v>
                </c:pt>
                <c:pt idx="15">
                  <c:v>6500</c:v>
                </c:pt>
                <c:pt idx="16">
                  <c:v>7000</c:v>
                </c:pt>
                <c:pt idx="17">
                  <c:v>7500</c:v>
                </c:pt>
                <c:pt idx="18">
                  <c:v>8000</c:v>
                </c:pt>
                <c:pt idx="19">
                  <c:v>8500</c:v>
                </c:pt>
                <c:pt idx="20">
                  <c:v>9000</c:v>
                </c:pt>
                <c:pt idx="21">
                  <c:v>9500</c:v>
                </c:pt>
                <c:pt idx="22">
                  <c:v>10000</c:v>
                </c:pt>
              </c:numCache>
            </c:numRef>
          </c:xVal>
          <c:yVal>
            <c:numRef>
              <c:f>LYR_HabFlowRelationships!$I$5:$I$27</c:f>
              <c:numCache>
                <c:formatCode>0.0</c:formatCode>
                <c:ptCount val="23"/>
                <c:pt idx="0">
                  <c:v>0</c:v>
                </c:pt>
                <c:pt idx="1">
                  <c:v>0</c:v>
                </c:pt>
                <c:pt idx="2">
                  <c:v>0</c:v>
                </c:pt>
                <c:pt idx="3">
                  <c:v>0</c:v>
                </c:pt>
                <c:pt idx="4">
                  <c:v>0</c:v>
                </c:pt>
                <c:pt idx="5">
                  <c:v>0</c:v>
                </c:pt>
                <c:pt idx="6">
                  <c:v>25.9</c:v>
                </c:pt>
                <c:pt idx="7">
                  <c:v>38.4</c:v>
                </c:pt>
                <c:pt idx="8">
                  <c:v>51.4</c:v>
                </c:pt>
                <c:pt idx="9">
                  <c:v>64.2</c:v>
                </c:pt>
                <c:pt idx="10">
                  <c:v>71.7</c:v>
                </c:pt>
                <c:pt idx="11">
                  <c:v>80.7</c:v>
                </c:pt>
                <c:pt idx="12">
                  <c:v>94</c:v>
                </c:pt>
                <c:pt idx="13">
                  <c:v>106.1</c:v>
                </c:pt>
                <c:pt idx="14">
                  <c:v>113.7</c:v>
                </c:pt>
                <c:pt idx="15">
                  <c:v>118.7</c:v>
                </c:pt>
                <c:pt idx="16">
                  <c:v>123.5</c:v>
                </c:pt>
                <c:pt idx="17">
                  <c:v>128.1</c:v>
                </c:pt>
                <c:pt idx="18">
                  <c:v>127</c:v>
                </c:pt>
                <c:pt idx="19">
                  <c:v>125.8</c:v>
                </c:pt>
                <c:pt idx="20">
                  <c:v>132</c:v>
                </c:pt>
                <c:pt idx="21">
                  <c:v>142.4</c:v>
                </c:pt>
                <c:pt idx="22">
                  <c:v>144.5</c:v>
                </c:pt>
              </c:numCache>
            </c:numRef>
          </c:yVal>
          <c:smooth val="1"/>
          <c:extLst>
            <c:ext xmlns:c16="http://schemas.microsoft.com/office/drawing/2014/chart" uri="{C3380CC4-5D6E-409C-BE32-E72D297353CC}">
              <c16:uniqueId val="{00000001-6CA0-42F5-95C7-DAEF02DE4AFD}"/>
            </c:ext>
          </c:extLst>
        </c:ser>
        <c:dLbls>
          <c:showLegendKey val="0"/>
          <c:showVal val="0"/>
          <c:showCatName val="0"/>
          <c:showSerName val="0"/>
          <c:showPercent val="0"/>
          <c:showBubbleSize val="0"/>
        </c:dLbls>
        <c:axId val="396173279"/>
        <c:axId val="584476495"/>
      </c:scatterChart>
      <c:valAx>
        <c:axId val="396173279"/>
        <c:scaling>
          <c:orientation val="minMax"/>
          <c:max val="1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Flow (cfs)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out"/>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84476495"/>
        <c:crosses val="autoZero"/>
        <c:crossBetween val="midCat"/>
        <c:majorUnit val="1000"/>
        <c:minorUnit val="500"/>
      </c:valAx>
      <c:valAx>
        <c:axId val="584476495"/>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Rearing Habitat Area (acres)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96173279"/>
        <c:crosses val="autoZero"/>
        <c:crossBetween val="midCat"/>
      </c:valAx>
      <c:spPr>
        <a:noFill/>
        <a:ln>
          <a:noFill/>
        </a:ln>
        <a:effectLst/>
      </c:spPr>
    </c:plotArea>
    <c:legend>
      <c:legendPos val="r"/>
      <c:layout>
        <c:manualLayout>
          <c:xMode val="edge"/>
          <c:yMode val="edge"/>
          <c:x val="0.12334623797025372"/>
          <c:y val="4.7584298100077436E-2"/>
          <c:w val="0.45443153980752404"/>
          <c:h val="0.14721313779887291"/>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77537182852144"/>
          <c:y val="4.1256440227775713E-2"/>
          <c:w val="0.82532874015748026"/>
          <c:h val="0.84923296097205725"/>
        </c:manualLayout>
      </c:layout>
      <c:scatterChart>
        <c:scatterStyle val="smoothMarker"/>
        <c:varyColors val="0"/>
        <c:ser>
          <c:idx val="0"/>
          <c:order val="0"/>
          <c:tx>
            <c:v>Spawning_Existing_Below DPD</c:v>
          </c:tx>
          <c:spPr>
            <a:ln w="19050" cap="rnd">
              <a:solidFill>
                <a:schemeClr val="tx1"/>
              </a:solidFill>
              <a:round/>
            </a:ln>
            <a:effectLst/>
          </c:spPr>
          <c:marker>
            <c:symbol val="circle"/>
            <c:size val="5"/>
            <c:spPr>
              <a:solidFill>
                <a:srgbClr val="FFC000"/>
              </a:solidFill>
              <a:ln w="9525">
                <a:solidFill>
                  <a:schemeClr val="tx1"/>
                </a:solidFill>
              </a:ln>
              <a:effectLst/>
            </c:spPr>
          </c:marker>
          <c:xVal>
            <c:numRef>
              <c:f>LYR_HabFlowRelationships!$A$5:$A$30</c:f>
              <c:numCache>
                <c:formatCode>#,##0</c:formatCode>
                <c:ptCount val="26"/>
                <c:pt idx="0">
                  <c:v>300</c:v>
                </c:pt>
                <c:pt idx="1">
                  <c:v>400</c:v>
                </c:pt>
                <c:pt idx="2">
                  <c:v>500</c:v>
                </c:pt>
                <c:pt idx="3">
                  <c:v>1000</c:v>
                </c:pt>
                <c:pt idx="4">
                  <c:v>1500</c:v>
                </c:pt>
                <c:pt idx="5">
                  <c:v>1750</c:v>
                </c:pt>
                <c:pt idx="6">
                  <c:v>2000</c:v>
                </c:pt>
                <c:pt idx="7">
                  <c:v>2500</c:v>
                </c:pt>
                <c:pt idx="8">
                  <c:v>3000</c:v>
                </c:pt>
                <c:pt idx="9">
                  <c:v>3500</c:v>
                </c:pt>
                <c:pt idx="10">
                  <c:v>4000</c:v>
                </c:pt>
                <c:pt idx="11">
                  <c:v>4500</c:v>
                </c:pt>
                <c:pt idx="12">
                  <c:v>5000</c:v>
                </c:pt>
                <c:pt idx="13">
                  <c:v>5500</c:v>
                </c:pt>
                <c:pt idx="14">
                  <c:v>6000</c:v>
                </c:pt>
                <c:pt idx="15">
                  <c:v>6500</c:v>
                </c:pt>
                <c:pt idx="16">
                  <c:v>7000</c:v>
                </c:pt>
                <c:pt idx="17">
                  <c:v>7500</c:v>
                </c:pt>
                <c:pt idx="18">
                  <c:v>8000</c:v>
                </c:pt>
                <c:pt idx="19">
                  <c:v>8500</c:v>
                </c:pt>
                <c:pt idx="20">
                  <c:v>9000</c:v>
                </c:pt>
                <c:pt idx="21">
                  <c:v>9500</c:v>
                </c:pt>
                <c:pt idx="22">
                  <c:v>10000</c:v>
                </c:pt>
                <c:pt idx="23">
                  <c:v>15000</c:v>
                </c:pt>
                <c:pt idx="24">
                  <c:v>18293</c:v>
                </c:pt>
                <c:pt idx="25">
                  <c:v>21100</c:v>
                </c:pt>
              </c:numCache>
            </c:numRef>
          </c:xVal>
          <c:yVal>
            <c:numRef>
              <c:f>LYR_HabFlowRelationships!$J$5:$J$30</c:f>
              <c:numCache>
                <c:formatCode>0.0</c:formatCode>
                <c:ptCount val="26"/>
                <c:pt idx="0">
                  <c:v>29.6</c:v>
                </c:pt>
                <c:pt idx="1">
                  <c:v>34.9</c:v>
                </c:pt>
                <c:pt idx="2">
                  <c:v>37.1</c:v>
                </c:pt>
                <c:pt idx="3">
                  <c:v>34.700000000000003</c:v>
                </c:pt>
                <c:pt idx="4">
                  <c:v>31.2</c:v>
                </c:pt>
                <c:pt idx="5">
                  <c:v>30</c:v>
                </c:pt>
                <c:pt idx="6">
                  <c:v>28.7</c:v>
                </c:pt>
                <c:pt idx="7">
                  <c:v>27.1</c:v>
                </c:pt>
                <c:pt idx="8">
                  <c:v>25.8</c:v>
                </c:pt>
                <c:pt idx="9">
                  <c:v>24.4</c:v>
                </c:pt>
                <c:pt idx="10">
                  <c:v>23.8</c:v>
                </c:pt>
                <c:pt idx="11">
                  <c:v>23.8</c:v>
                </c:pt>
                <c:pt idx="12">
                  <c:v>23.6</c:v>
                </c:pt>
                <c:pt idx="13">
                  <c:v>23.5</c:v>
                </c:pt>
                <c:pt idx="14">
                  <c:v>22.7</c:v>
                </c:pt>
                <c:pt idx="15">
                  <c:v>20.7</c:v>
                </c:pt>
                <c:pt idx="16">
                  <c:v>17.899999999999999</c:v>
                </c:pt>
                <c:pt idx="17">
                  <c:v>15.2</c:v>
                </c:pt>
                <c:pt idx="18">
                  <c:v>12.7</c:v>
                </c:pt>
                <c:pt idx="19">
                  <c:v>10.199999999999999</c:v>
                </c:pt>
                <c:pt idx="20">
                  <c:v>8</c:v>
                </c:pt>
                <c:pt idx="21">
                  <c:v>6.3</c:v>
                </c:pt>
                <c:pt idx="22">
                  <c:v>4.9000000000000004</c:v>
                </c:pt>
                <c:pt idx="23">
                  <c:v>0.5</c:v>
                </c:pt>
                <c:pt idx="24">
                  <c:v>0.1</c:v>
                </c:pt>
                <c:pt idx="25">
                  <c:v>0</c:v>
                </c:pt>
              </c:numCache>
            </c:numRef>
          </c:yVal>
          <c:smooth val="1"/>
          <c:extLst>
            <c:ext xmlns:c16="http://schemas.microsoft.com/office/drawing/2014/chart" uri="{C3380CC4-5D6E-409C-BE32-E72D297353CC}">
              <c16:uniqueId val="{00000000-D7DB-4CD3-A92D-8231048A99F5}"/>
            </c:ext>
          </c:extLst>
        </c:ser>
        <c:ser>
          <c:idx val="1"/>
          <c:order val="1"/>
          <c:tx>
            <c:v>Spawning_Existing_Above DPD</c:v>
          </c:tx>
          <c:spPr>
            <a:ln w="19050" cap="rnd">
              <a:solidFill>
                <a:schemeClr val="tx1"/>
              </a:solidFill>
              <a:round/>
            </a:ln>
            <a:effectLst/>
          </c:spPr>
          <c:marker>
            <c:symbol val="circle"/>
            <c:size val="5"/>
            <c:spPr>
              <a:solidFill>
                <a:srgbClr val="FF0000"/>
              </a:solidFill>
              <a:ln w="9525">
                <a:solidFill>
                  <a:schemeClr val="tx1"/>
                </a:solidFill>
              </a:ln>
              <a:effectLst/>
            </c:spPr>
          </c:marker>
          <c:xVal>
            <c:numRef>
              <c:f>LYR_HabFlowRelationships!$A$5:$A$30</c:f>
              <c:numCache>
                <c:formatCode>#,##0</c:formatCode>
                <c:ptCount val="26"/>
                <c:pt idx="0">
                  <c:v>300</c:v>
                </c:pt>
                <c:pt idx="1">
                  <c:v>400</c:v>
                </c:pt>
                <c:pt idx="2">
                  <c:v>500</c:v>
                </c:pt>
                <c:pt idx="3">
                  <c:v>1000</c:v>
                </c:pt>
                <c:pt idx="4">
                  <c:v>1500</c:v>
                </c:pt>
                <c:pt idx="5">
                  <c:v>1750</c:v>
                </c:pt>
                <c:pt idx="6">
                  <c:v>2000</c:v>
                </c:pt>
                <c:pt idx="7">
                  <c:v>2500</c:v>
                </c:pt>
                <c:pt idx="8">
                  <c:v>3000</c:v>
                </c:pt>
                <c:pt idx="9">
                  <c:v>3500</c:v>
                </c:pt>
                <c:pt idx="10">
                  <c:v>4000</c:v>
                </c:pt>
                <c:pt idx="11">
                  <c:v>4500</c:v>
                </c:pt>
                <c:pt idx="12">
                  <c:v>5000</c:v>
                </c:pt>
                <c:pt idx="13">
                  <c:v>5500</c:v>
                </c:pt>
                <c:pt idx="14">
                  <c:v>6000</c:v>
                </c:pt>
                <c:pt idx="15">
                  <c:v>6500</c:v>
                </c:pt>
                <c:pt idx="16">
                  <c:v>7000</c:v>
                </c:pt>
                <c:pt idx="17">
                  <c:v>7500</c:v>
                </c:pt>
                <c:pt idx="18">
                  <c:v>8000</c:v>
                </c:pt>
                <c:pt idx="19">
                  <c:v>8500</c:v>
                </c:pt>
                <c:pt idx="20">
                  <c:v>9000</c:v>
                </c:pt>
                <c:pt idx="21">
                  <c:v>9500</c:v>
                </c:pt>
                <c:pt idx="22">
                  <c:v>10000</c:v>
                </c:pt>
                <c:pt idx="23">
                  <c:v>15000</c:v>
                </c:pt>
                <c:pt idx="24">
                  <c:v>18293</c:v>
                </c:pt>
                <c:pt idx="25">
                  <c:v>21100</c:v>
                </c:pt>
              </c:numCache>
            </c:numRef>
          </c:xVal>
          <c:yVal>
            <c:numRef>
              <c:f>LYR_HabFlowRelationships!$K$5:$K$30</c:f>
              <c:numCache>
                <c:formatCode>0.0</c:formatCode>
                <c:ptCount val="26"/>
                <c:pt idx="0">
                  <c:v>23.4</c:v>
                </c:pt>
                <c:pt idx="1">
                  <c:v>28.1</c:v>
                </c:pt>
                <c:pt idx="2">
                  <c:v>30.7</c:v>
                </c:pt>
                <c:pt idx="3">
                  <c:v>30.2</c:v>
                </c:pt>
                <c:pt idx="4">
                  <c:v>27.5</c:v>
                </c:pt>
                <c:pt idx="5">
                  <c:v>26.5</c:v>
                </c:pt>
                <c:pt idx="6">
                  <c:v>25.6</c:v>
                </c:pt>
                <c:pt idx="7">
                  <c:v>24.2</c:v>
                </c:pt>
                <c:pt idx="8">
                  <c:v>22.9</c:v>
                </c:pt>
                <c:pt idx="9">
                  <c:v>21.8</c:v>
                </c:pt>
                <c:pt idx="10">
                  <c:v>22</c:v>
                </c:pt>
                <c:pt idx="11">
                  <c:v>22</c:v>
                </c:pt>
                <c:pt idx="12">
                  <c:v>21.8</c:v>
                </c:pt>
                <c:pt idx="13">
                  <c:v>20.7</c:v>
                </c:pt>
                <c:pt idx="14">
                  <c:v>19.8</c:v>
                </c:pt>
                <c:pt idx="15">
                  <c:v>18.5</c:v>
                </c:pt>
                <c:pt idx="16">
                  <c:v>16.600000000000001</c:v>
                </c:pt>
                <c:pt idx="17">
                  <c:v>14.6</c:v>
                </c:pt>
                <c:pt idx="18">
                  <c:v>13.6</c:v>
                </c:pt>
                <c:pt idx="19">
                  <c:v>12.5</c:v>
                </c:pt>
                <c:pt idx="20">
                  <c:v>7</c:v>
                </c:pt>
                <c:pt idx="21">
                  <c:v>5.5</c:v>
                </c:pt>
                <c:pt idx="22">
                  <c:v>4.0999999999999996</c:v>
                </c:pt>
                <c:pt idx="23">
                  <c:v>0.6</c:v>
                </c:pt>
                <c:pt idx="24">
                  <c:v>0.1</c:v>
                </c:pt>
                <c:pt idx="25">
                  <c:v>0</c:v>
                </c:pt>
              </c:numCache>
            </c:numRef>
          </c:yVal>
          <c:smooth val="1"/>
          <c:extLst>
            <c:ext xmlns:c16="http://schemas.microsoft.com/office/drawing/2014/chart" uri="{C3380CC4-5D6E-409C-BE32-E72D297353CC}">
              <c16:uniqueId val="{00000002-D7DB-4CD3-A92D-8231048A99F5}"/>
            </c:ext>
          </c:extLst>
        </c:ser>
        <c:dLbls>
          <c:showLegendKey val="0"/>
          <c:showVal val="0"/>
          <c:showCatName val="0"/>
          <c:showSerName val="0"/>
          <c:showPercent val="0"/>
          <c:showBubbleSize val="0"/>
        </c:dLbls>
        <c:axId val="396173279"/>
        <c:axId val="584476495"/>
      </c:scatterChart>
      <c:valAx>
        <c:axId val="396173279"/>
        <c:scaling>
          <c:orientation val="minMax"/>
          <c:max val="1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Flow (cfs)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out"/>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84476495"/>
        <c:crosses val="autoZero"/>
        <c:crossBetween val="midCat"/>
        <c:majorUnit val="1000"/>
        <c:minorUnit val="500"/>
      </c:valAx>
      <c:valAx>
        <c:axId val="584476495"/>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Spawning Habitat Area (acres)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96173279"/>
        <c:crosses val="autoZero"/>
        <c:crossBetween val="midCat"/>
      </c:valAx>
      <c:spPr>
        <a:noFill/>
        <a:ln>
          <a:noFill/>
        </a:ln>
        <a:effectLst/>
      </c:spPr>
    </c:plotArea>
    <c:legend>
      <c:legendPos val="r"/>
      <c:layout>
        <c:manualLayout>
          <c:xMode val="edge"/>
          <c:yMode val="edge"/>
          <c:x val="0.48445734908136484"/>
          <c:y val="5.1334883575329782E-2"/>
          <c:w val="0.44444444444444442"/>
          <c:h val="0.19427323989748793"/>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37</xdr:row>
      <xdr:rowOff>28575</xdr:rowOff>
    </xdr:from>
    <xdr:to>
      <xdr:col>0</xdr:col>
      <xdr:colOff>5337810</xdr:colOff>
      <xdr:row>37</xdr:row>
      <xdr:rowOff>1367790</xdr:rowOff>
    </xdr:to>
    <xdr:pic>
      <xdr:nvPicPr>
        <xdr:cNvPr id="10" name="Picture 9">
          <a:extLst>
            <a:ext uri="{FF2B5EF4-FFF2-40B4-BE49-F238E27FC236}">
              <a16:creationId xmlns:a16="http://schemas.microsoft.com/office/drawing/2014/main" id="{0143B183-8146-55A1-875A-FABFD5590B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10125075"/>
          <a:ext cx="5295900" cy="1323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0</xdr:colOff>
      <xdr:row>2</xdr:row>
      <xdr:rowOff>176212</xdr:rowOff>
    </xdr:from>
    <xdr:to>
      <xdr:col>19</xdr:col>
      <xdr:colOff>304800</xdr:colOff>
      <xdr:row>19</xdr:row>
      <xdr:rowOff>180975</xdr:rowOff>
    </xdr:to>
    <xdr:graphicFrame macro="">
      <xdr:nvGraphicFramePr>
        <xdr:cNvPr id="4" name="Chart 3">
          <a:extLst>
            <a:ext uri="{FF2B5EF4-FFF2-40B4-BE49-F238E27FC236}">
              <a16:creationId xmlns:a16="http://schemas.microsoft.com/office/drawing/2014/main" id="{0525C65F-F55B-7B7A-5BE1-7217D03185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361950</xdr:colOff>
      <xdr:row>2</xdr:row>
      <xdr:rowOff>180975</xdr:rowOff>
    </xdr:from>
    <xdr:to>
      <xdr:col>27</xdr:col>
      <xdr:colOff>57150</xdr:colOff>
      <xdr:row>19</xdr:row>
      <xdr:rowOff>185738</xdr:rowOff>
    </xdr:to>
    <xdr:graphicFrame macro="">
      <xdr:nvGraphicFramePr>
        <xdr:cNvPr id="5" name="Chart 4">
          <a:extLst>
            <a:ext uri="{FF2B5EF4-FFF2-40B4-BE49-F238E27FC236}">
              <a16:creationId xmlns:a16="http://schemas.microsoft.com/office/drawing/2014/main" id="{4262B875-7F00-4305-98DF-529CE9ECF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20</xdr:row>
      <xdr:rowOff>133350</xdr:rowOff>
    </xdr:from>
    <xdr:to>
      <xdr:col>19</xdr:col>
      <xdr:colOff>304800</xdr:colOff>
      <xdr:row>38</xdr:row>
      <xdr:rowOff>90488</xdr:rowOff>
    </xdr:to>
    <xdr:graphicFrame macro="">
      <xdr:nvGraphicFramePr>
        <xdr:cNvPr id="6" name="Chart 5">
          <a:extLst>
            <a:ext uri="{FF2B5EF4-FFF2-40B4-BE49-F238E27FC236}">
              <a16:creationId xmlns:a16="http://schemas.microsoft.com/office/drawing/2014/main" id="{902A8043-11AA-4107-AB6D-EF9003C19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371475</xdr:colOff>
      <xdr:row>20</xdr:row>
      <xdr:rowOff>133350</xdr:rowOff>
    </xdr:from>
    <xdr:to>
      <xdr:col>27</xdr:col>
      <xdr:colOff>66675</xdr:colOff>
      <xdr:row>38</xdr:row>
      <xdr:rowOff>90488</xdr:rowOff>
    </xdr:to>
    <xdr:graphicFrame macro="">
      <xdr:nvGraphicFramePr>
        <xdr:cNvPr id="7" name="Chart 6">
          <a:extLst>
            <a:ext uri="{FF2B5EF4-FFF2-40B4-BE49-F238E27FC236}">
              <a16:creationId xmlns:a16="http://schemas.microsoft.com/office/drawing/2014/main" id="{4FDEE75D-82D7-429D-8788-96BC186EF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19050</xdr:colOff>
      <xdr:row>39</xdr:row>
      <xdr:rowOff>57150</xdr:rowOff>
    </xdr:from>
    <xdr:to>
      <xdr:col>19</xdr:col>
      <xdr:colOff>323850</xdr:colOff>
      <xdr:row>56</xdr:row>
      <xdr:rowOff>4763</xdr:rowOff>
    </xdr:to>
    <xdr:graphicFrame macro="">
      <xdr:nvGraphicFramePr>
        <xdr:cNvPr id="8" name="Chart 7">
          <a:extLst>
            <a:ext uri="{FF2B5EF4-FFF2-40B4-BE49-F238E27FC236}">
              <a16:creationId xmlns:a16="http://schemas.microsoft.com/office/drawing/2014/main" id="{6E0C4DCE-2C89-4859-A111-05F1C0B02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8"/>
  <sheetViews>
    <sheetView zoomScaleNormal="100" workbookViewId="0">
      <selection activeCell="A40" sqref="A40"/>
    </sheetView>
  </sheetViews>
  <sheetFormatPr baseColWidth="10" defaultColWidth="8.83203125" defaultRowHeight="15" x14ac:dyDescent="0.2"/>
  <cols>
    <col min="1" max="1" width="156.5" style="2" customWidth="1"/>
  </cols>
  <sheetData>
    <row r="1" spans="1:1" ht="16" x14ac:dyDescent="0.2">
      <c r="A1" s="1" t="s">
        <v>0</v>
      </c>
    </row>
    <row r="2" spans="1:1" ht="16" x14ac:dyDescent="0.2">
      <c r="A2" s="5" t="s">
        <v>36</v>
      </c>
    </row>
    <row r="3" spans="1:1" x14ac:dyDescent="0.2">
      <c r="A3" s="5"/>
    </row>
    <row r="4" spans="1:1" ht="64" x14ac:dyDescent="0.2">
      <c r="A4" s="6" t="s">
        <v>34</v>
      </c>
    </row>
    <row r="6" spans="1:1" ht="16" x14ac:dyDescent="0.2">
      <c r="A6" s="4" t="s">
        <v>18</v>
      </c>
    </row>
    <row r="7" spans="1:1" ht="82.5" customHeight="1" x14ac:dyDescent="0.2">
      <c r="A7" s="2" t="s">
        <v>35</v>
      </c>
    </row>
    <row r="9" spans="1:1" ht="16" x14ac:dyDescent="0.2">
      <c r="A9" s="4" t="s">
        <v>25</v>
      </c>
    </row>
    <row r="10" spans="1:1" ht="16" x14ac:dyDescent="0.2">
      <c r="A10" s="4" t="s">
        <v>26</v>
      </c>
    </row>
    <row r="11" spans="1:1" ht="16" x14ac:dyDescent="0.2">
      <c r="A11" s="2" t="s">
        <v>27</v>
      </c>
    </row>
    <row r="12" spans="1:1" ht="16" x14ac:dyDescent="0.2">
      <c r="A12" s="2" t="s">
        <v>28</v>
      </c>
    </row>
    <row r="13" spans="1:1" ht="32" x14ac:dyDescent="0.2">
      <c r="A13" s="2" t="s">
        <v>33</v>
      </c>
    </row>
    <row r="14" spans="1:1" ht="16" x14ac:dyDescent="0.2">
      <c r="A14" s="4" t="s">
        <v>21</v>
      </c>
    </row>
    <row r="16" spans="1:1" ht="16" x14ac:dyDescent="0.2">
      <c r="A16" s="4" t="s">
        <v>5</v>
      </c>
    </row>
    <row r="17" spans="1:1" ht="16" x14ac:dyDescent="0.2">
      <c r="A17" s="2" t="s">
        <v>1</v>
      </c>
    </row>
    <row r="18" spans="1:1" ht="16" x14ac:dyDescent="0.2">
      <c r="A18" s="2" t="s">
        <v>2</v>
      </c>
    </row>
    <row r="20" spans="1:1" ht="16" x14ac:dyDescent="0.2">
      <c r="A20" s="4" t="s">
        <v>8</v>
      </c>
    </row>
    <row r="21" spans="1:1" ht="16" x14ac:dyDescent="0.2">
      <c r="A21" s="2" t="s">
        <v>6</v>
      </c>
    </row>
    <row r="22" spans="1:1" ht="16" x14ac:dyDescent="0.2">
      <c r="A22" s="2" t="s">
        <v>7</v>
      </c>
    </row>
    <row r="24" spans="1:1" ht="16" x14ac:dyDescent="0.2">
      <c r="A24" s="4" t="s">
        <v>15</v>
      </c>
    </row>
    <row r="25" spans="1:1" ht="16" x14ac:dyDescent="0.2">
      <c r="A25" s="2" t="s">
        <v>13</v>
      </c>
    </row>
    <row r="26" spans="1:1" ht="16" x14ac:dyDescent="0.2">
      <c r="A26" s="2" t="s">
        <v>19</v>
      </c>
    </row>
    <row r="28" spans="1:1" ht="16" x14ac:dyDescent="0.2">
      <c r="A28" s="4" t="s">
        <v>12</v>
      </c>
    </row>
    <row r="29" spans="1:1" ht="16" x14ac:dyDescent="0.2">
      <c r="A29" s="2" t="s">
        <v>22</v>
      </c>
    </row>
    <row r="30" spans="1:1" ht="16" x14ac:dyDescent="0.2">
      <c r="A30" s="2" t="s">
        <v>24</v>
      </c>
    </row>
    <row r="32" spans="1:1" ht="16" x14ac:dyDescent="0.2">
      <c r="A32" s="4" t="s">
        <v>14</v>
      </c>
    </row>
    <row r="33" spans="1:1" ht="16" x14ac:dyDescent="0.2">
      <c r="A33" s="2" t="s">
        <v>16</v>
      </c>
    </row>
    <row r="34" spans="1:1" ht="32" x14ac:dyDescent="0.2">
      <c r="A34" s="2" t="s">
        <v>17</v>
      </c>
    </row>
    <row r="35" spans="1:1" ht="224" x14ac:dyDescent="0.2">
      <c r="A35" s="3" t="s">
        <v>20</v>
      </c>
    </row>
    <row r="36" spans="1:1" ht="32" x14ac:dyDescent="0.2">
      <c r="A36" s="2" t="s">
        <v>23</v>
      </c>
    </row>
    <row r="37" spans="1:1" ht="48" x14ac:dyDescent="0.2">
      <c r="A37" s="2" t="s">
        <v>42</v>
      </c>
    </row>
    <row r="38" spans="1:1" ht="112.5" customHeight="1"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DB148-1629-40C1-B24B-8729A8C73E62}">
  <dimension ref="A1:K43"/>
  <sheetViews>
    <sheetView tabSelected="1" workbookViewId="0">
      <selection activeCell="I11" sqref="I11"/>
    </sheetView>
  </sheetViews>
  <sheetFormatPr baseColWidth="10" defaultColWidth="8.83203125" defaultRowHeight="15" x14ac:dyDescent="0.2"/>
  <sheetData>
    <row r="1" spans="1:11" ht="15" customHeight="1" x14ac:dyDescent="0.2">
      <c r="B1" s="23" t="s">
        <v>31</v>
      </c>
      <c r="C1" s="24"/>
      <c r="D1" s="24"/>
      <c r="E1" s="24"/>
      <c r="F1" s="24"/>
      <c r="G1" s="24"/>
      <c r="H1" s="24"/>
      <c r="I1" s="24"/>
      <c r="J1" s="24"/>
      <c r="K1" s="24"/>
    </row>
    <row r="2" spans="1:11" x14ac:dyDescent="0.2">
      <c r="B2" s="25" t="s">
        <v>9</v>
      </c>
      <c r="C2" s="26"/>
      <c r="D2" s="26"/>
      <c r="E2" s="26"/>
      <c r="F2" s="27" t="s">
        <v>10</v>
      </c>
      <c r="G2" s="28"/>
      <c r="H2" s="28"/>
      <c r="I2" s="28"/>
      <c r="J2" s="29" t="s">
        <v>11</v>
      </c>
      <c r="K2" s="30"/>
    </row>
    <row r="3" spans="1:11" ht="15" customHeight="1" x14ac:dyDescent="0.2">
      <c r="B3" s="31" t="s">
        <v>4</v>
      </c>
      <c r="C3" s="31"/>
      <c r="D3" s="31" t="s">
        <v>38</v>
      </c>
      <c r="E3" s="31"/>
      <c r="F3" s="31" t="s">
        <v>4</v>
      </c>
      <c r="G3" s="31"/>
      <c r="H3" s="31" t="s">
        <v>38</v>
      </c>
      <c r="I3" s="31"/>
      <c r="J3" s="31" t="s">
        <v>4</v>
      </c>
      <c r="K3" s="31"/>
    </row>
    <row r="4" spans="1:11" ht="29" x14ac:dyDescent="0.2">
      <c r="A4" s="7" t="s">
        <v>3</v>
      </c>
      <c r="B4" s="8" t="s">
        <v>29</v>
      </c>
      <c r="C4" s="8" t="s">
        <v>30</v>
      </c>
      <c r="D4" s="9" t="s">
        <v>29</v>
      </c>
      <c r="E4" s="9" t="s">
        <v>30</v>
      </c>
      <c r="F4" s="8" t="s">
        <v>29</v>
      </c>
      <c r="G4" s="8" t="s">
        <v>30</v>
      </c>
      <c r="H4" s="9" t="s">
        <v>29</v>
      </c>
      <c r="I4" s="9" t="s">
        <v>30</v>
      </c>
      <c r="J4" s="8" t="s">
        <v>29</v>
      </c>
      <c r="K4" s="8" t="s">
        <v>30</v>
      </c>
    </row>
    <row r="5" spans="1:11" x14ac:dyDescent="0.2">
      <c r="A5" s="10">
        <v>300</v>
      </c>
      <c r="B5" s="11">
        <v>157</v>
      </c>
      <c r="C5" s="11">
        <v>153.80000000000001</v>
      </c>
      <c r="D5" s="12">
        <v>166.7</v>
      </c>
      <c r="E5" s="12">
        <v>163.5</v>
      </c>
      <c r="F5" s="11">
        <v>0</v>
      </c>
      <c r="G5" s="11">
        <v>0</v>
      </c>
      <c r="H5" s="12">
        <v>0</v>
      </c>
      <c r="I5" s="12">
        <v>0</v>
      </c>
      <c r="J5" s="11">
        <v>29.6</v>
      </c>
      <c r="K5" s="11">
        <v>23.4</v>
      </c>
    </row>
    <row r="6" spans="1:11" x14ac:dyDescent="0.2">
      <c r="A6" s="10">
        <v>400</v>
      </c>
      <c r="B6" s="11">
        <v>159.5</v>
      </c>
      <c r="C6" s="11">
        <v>158.1</v>
      </c>
      <c r="D6" s="12">
        <v>172.4</v>
      </c>
      <c r="E6" s="12">
        <v>171</v>
      </c>
      <c r="F6" s="11">
        <v>0</v>
      </c>
      <c r="G6" s="11">
        <v>0</v>
      </c>
      <c r="H6" s="12">
        <v>0</v>
      </c>
      <c r="I6" s="12">
        <v>0</v>
      </c>
      <c r="J6" s="11">
        <v>34.9</v>
      </c>
      <c r="K6" s="11">
        <v>28.1</v>
      </c>
    </row>
    <row r="7" spans="1:11" x14ac:dyDescent="0.2">
      <c r="A7" s="10">
        <v>500</v>
      </c>
      <c r="B7" s="11">
        <v>159.4</v>
      </c>
      <c r="C7" s="11">
        <v>158.9</v>
      </c>
      <c r="D7" s="12">
        <v>175.5</v>
      </c>
      <c r="E7" s="12">
        <v>175.1</v>
      </c>
      <c r="F7" s="11">
        <v>0</v>
      </c>
      <c r="G7" s="11">
        <v>0</v>
      </c>
      <c r="H7" s="12">
        <v>0</v>
      </c>
      <c r="I7" s="12">
        <v>0</v>
      </c>
      <c r="J7" s="11">
        <v>37.1</v>
      </c>
      <c r="K7" s="11">
        <v>30.7</v>
      </c>
    </row>
    <row r="8" spans="1:11" x14ac:dyDescent="0.2">
      <c r="A8" s="13">
        <v>1000</v>
      </c>
      <c r="B8" s="11">
        <v>151.6</v>
      </c>
      <c r="C8" s="11">
        <v>153.5</v>
      </c>
      <c r="D8" s="12">
        <v>170.5</v>
      </c>
      <c r="E8" s="12">
        <v>172.4</v>
      </c>
      <c r="F8" s="11">
        <v>0</v>
      </c>
      <c r="G8" s="11">
        <v>0</v>
      </c>
      <c r="H8" s="12">
        <v>0</v>
      </c>
      <c r="I8" s="12">
        <v>0</v>
      </c>
      <c r="J8" s="11">
        <v>34.700000000000003</v>
      </c>
      <c r="K8" s="11">
        <v>30.2</v>
      </c>
    </row>
    <row r="9" spans="1:11" x14ac:dyDescent="0.2">
      <c r="A9" s="13">
        <v>1500</v>
      </c>
      <c r="B9" s="11">
        <v>136.30000000000001</v>
      </c>
      <c r="C9" s="11">
        <v>141.30000000000001</v>
      </c>
      <c r="D9" s="12">
        <v>158</v>
      </c>
      <c r="E9" s="12">
        <v>163.1</v>
      </c>
      <c r="F9" s="11">
        <v>0</v>
      </c>
      <c r="G9" s="11">
        <v>0</v>
      </c>
      <c r="H9" s="12">
        <v>0</v>
      </c>
      <c r="I9" s="12">
        <v>0</v>
      </c>
      <c r="J9" s="11">
        <v>31.2</v>
      </c>
      <c r="K9" s="11">
        <v>27.5</v>
      </c>
    </row>
    <row r="10" spans="1:11" x14ac:dyDescent="0.2">
      <c r="A10" s="13">
        <v>1750</v>
      </c>
      <c r="B10" s="11">
        <v>124.6</v>
      </c>
      <c r="C10" s="11">
        <v>134.69999999999999</v>
      </c>
      <c r="D10" s="12">
        <v>142.1</v>
      </c>
      <c r="E10" s="12">
        <v>149.9</v>
      </c>
      <c r="F10" s="11">
        <v>4.7</v>
      </c>
      <c r="G10" s="11">
        <v>0</v>
      </c>
      <c r="H10" s="12">
        <v>10.6</v>
      </c>
      <c r="I10" s="12">
        <v>0</v>
      </c>
      <c r="J10" s="11">
        <v>30</v>
      </c>
      <c r="K10" s="11">
        <v>26.5</v>
      </c>
    </row>
    <row r="11" spans="1:11" x14ac:dyDescent="0.2">
      <c r="A11" s="14">
        <v>2000</v>
      </c>
      <c r="B11" s="11">
        <v>112.8</v>
      </c>
      <c r="C11" s="11">
        <v>119.1</v>
      </c>
      <c r="D11" s="12">
        <v>126.1</v>
      </c>
      <c r="E11" s="12">
        <v>127.6</v>
      </c>
      <c r="F11" s="11">
        <v>9.4</v>
      </c>
      <c r="G11" s="11">
        <v>9.1</v>
      </c>
      <c r="H11" s="12">
        <v>21.3</v>
      </c>
      <c r="I11" s="12">
        <v>25.9</v>
      </c>
      <c r="J11" s="11">
        <v>28.7</v>
      </c>
      <c r="K11" s="11">
        <v>25.6</v>
      </c>
    </row>
    <row r="12" spans="1:11" x14ac:dyDescent="0.2">
      <c r="A12" s="14">
        <v>2500</v>
      </c>
      <c r="B12" s="11">
        <v>90.3</v>
      </c>
      <c r="C12" s="11">
        <v>96.4</v>
      </c>
      <c r="D12" s="12">
        <v>96.6</v>
      </c>
      <c r="E12" s="12">
        <v>104</v>
      </c>
      <c r="F12" s="11">
        <v>23.7</v>
      </c>
      <c r="G12" s="11">
        <v>23.4</v>
      </c>
      <c r="H12" s="12">
        <v>39.9</v>
      </c>
      <c r="I12" s="12">
        <v>38.4</v>
      </c>
      <c r="J12" s="11">
        <v>27.1</v>
      </c>
      <c r="K12" s="11">
        <v>24.2</v>
      </c>
    </row>
    <row r="13" spans="1:11" x14ac:dyDescent="0.2">
      <c r="A13" s="14">
        <v>3000</v>
      </c>
      <c r="B13" s="11">
        <v>73.8</v>
      </c>
      <c r="C13" s="11">
        <v>77.3</v>
      </c>
      <c r="D13" s="12">
        <v>76.900000000000006</v>
      </c>
      <c r="E13" s="12">
        <v>85.7</v>
      </c>
      <c r="F13" s="11">
        <v>38.299999999999997</v>
      </c>
      <c r="G13" s="11">
        <v>35</v>
      </c>
      <c r="H13" s="12">
        <v>59.8</v>
      </c>
      <c r="I13" s="12">
        <v>51.4</v>
      </c>
      <c r="J13" s="11">
        <v>25.8</v>
      </c>
      <c r="K13" s="11">
        <v>22.9</v>
      </c>
    </row>
    <row r="14" spans="1:11" x14ac:dyDescent="0.2">
      <c r="A14" s="14">
        <v>3500</v>
      </c>
      <c r="B14" s="11">
        <v>62.1</v>
      </c>
      <c r="C14" s="11">
        <v>61.9</v>
      </c>
      <c r="D14" s="12">
        <v>62.9</v>
      </c>
      <c r="E14" s="12">
        <v>70.900000000000006</v>
      </c>
      <c r="F14" s="11">
        <v>50.3</v>
      </c>
      <c r="G14" s="11">
        <v>46.4</v>
      </c>
      <c r="H14" s="12">
        <v>76.099999999999994</v>
      </c>
      <c r="I14" s="12">
        <v>64.2</v>
      </c>
      <c r="J14" s="11">
        <v>24.4</v>
      </c>
      <c r="K14" s="11">
        <v>21.8</v>
      </c>
    </row>
    <row r="15" spans="1:11" x14ac:dyDescent="0.2">
      <c r="A15" s="14">
        <v>4000</v>
      </c>
      <c r="B15" s="11">
        <v>52.6</v>
      </c>
      <c r="C15" s="11">
        <v>51.1</v>
      </c>
      <c r="D15" s="12">
        <v>51.1</v>
      </c>
      <c r="E15" s="12">
        <v>60.7</v>
      </c>
      <c r="F15" s="11">
        <v>60.8</v>
      </c>
      <c r="G15" s="11">
        <v>52.8</v>
      </c>
      <c r="H15" s="12">
        <v>90.6</v>
      </c>
      <c r="I15" s="12">
        <v>71.7</v>
      </c>
      <c r="J15" s="11">
        <v>23.8</v>
      </c>
      <c r="K15" s="11">
        <v>22</v>
      </c>
    </row>
    <row r="16" spans="1:11" x14ac:dyDescent="0.2">
      <c r="A16" s="14">
        <v>4500</v>
      </c>
      <c r="B16" s="11">
        <v>44.7</v>
      </c>
      <c r="C16" s="11">
        <v>41.4</v>
      </c>
      <c r="D16" s="12">
        <v>41.4</v>
      </c>
      <c r="E16" s="12">
        <v>51.6</v>
      </c>
      <c r="F16" s="11">
        <v>71.2</v>
      </c>
      <c r="G16" s="11">
        <v>60.6</v>
      </c>
      <c r="H16" s="12">
        <v>104.6</v>
      </c>
      <c r="I16" s="12">
        <v>80.7</v>
      </c>
      <c r="J16" s="11">
        <v>23.8</v>
      </c>
      <c r="K16" s="11">
        <v>22</v>
      </c>
    </row>
    <row r="17" spans="1:11" x14ac:dyDescent="0.2">
      <c r="A17" s="14">
        <v>5000</v>
      </c>
      <c r="B17" s="11">
        <v>38.1</v>
      </c>
      <c r="C17" s="11">
        <v>33.1</v>
      </c>
      <c r="D17" s="12">
        <v>33.5</v>
      </c>
      <c r="E17" s="12">
        <v>44.1</v>
      </c>
      <c r="F17" s="11">
        <v>79.8</v>
      </c>
      <c r="G17" s="11">
        <v>72.2</v>
      </c>
      <c r="H17" s="12">
        <v>116.9</v>
      </c>
      <c r="I17" s="12">
        <v>94</v>
      </c>
      <c r="J17" s="11">
        <v>23.6</v>
      </c>
      <c r="K17" s="11">
        <v>21.8</v>
      </c>
    </row>
    <row r="18" spans="1:11" x14ac:dyDescent="0.2">
      <c r="A18" s="14">
        <v>5500</v>
      </c>
      <c r="B18" s="11">
        <v>33</v>
      </c>
      <c r="C18" s="11">
        <v>24.8</v>
      </c>
      <c r="D18" s="12">
        <v>27.6</v>
      </c>
      <c r="E18" s="12">
        <v>36.5</v>
      </c>
      <c r="F18" s="11">
        <v>87.9</v>
      </c>
      <c r="G18" s="11">
        <v>82.9</v>
      </c>
      <c r="H18" s="12">
        <v>128.1</v>
      </c>
      <c r="I18" s="12">
        <v>106.1</v>
      </c>
      <c r="J18" s="11">
        <v>23.5</v>
      </c>
      <c r="K18" s="11">
        <v>20.7</v>
      </c>
    </row>
    <row r="19" spans="1:11" x14ac:dyDescent="0.2">
      <c r="A19" s="14">
        <v>6000</v>
      </c>
      <c r="B19" s="11">
        <v>29.3</v>
      </c>
      <c r="C19" s="11">
        <v>20.3</v>
      </c>
      <c r="D19" s="12">
        <v>23.2</v>
      </c>
      <c r="E19" s="12">
        <v>32.700000000000003</v>
      </c>
      <c r="F19" s="11">
        <v>95.4</v>
      </c>
      <c r="G19" s="11">
        <v>89.2</v>
      </c>
      <c r="H19" s="12">
        <v>138.1</v>
      </c>
      <c r="I19" s="12">
        <v>113.7</v>
      </c>
      <c r="J19" s="11">
        <v>22.7</v>
      </c>
      <c r="K19" s="11">
        <v>19.8</v>
      </c>
    </row>
    <row r="20" spans="1:11" x14ac:dyDescent="0.2">
      <c r="A20" s="14">
        <v>6500</v>
      </c>
      <c r="B20" s="11">
        <v>26.5</v>
      </c>
      <c r="C20" s="11">
        <v>16.600000000000001</v>
      </c>
      <c r="D20" s="12">
        <v>20.100000000000001</v>
      </c>
      <c r="E20" s="12">
        <v>29.6</v>
      </c>
      <c r="F20" s="11">
        <v>103.3</v>
      </c>
      <c r="G20" s="11">
        <v>93</v>
      </c>
      <c r="H20" s="12">
        <v>148.19999999999999</v>
      </c>
      <c r="I20" s="12">
        <v>118.7</v>
      </c>
      <c r="J20" s="11">
        <v>20.7</v>
      </c>
      <c r="K20" s="11">
        <v>18.5</v>
      </c>
    </row>
    <row r="21" spans="1:11" x14ac:dyDescent="0.2">
      <c r="A21" s="14">
        <v>7000</v>
      </c>
      <c r="B21" s="11">
        <v>24.4</v>
      </c>
      <c r="C21" s="11">
        <v>14.1</v>
      </c>
      <c r="D21" s="12">
        <v>17.7</v>
      </c>
      <c r="E21" s="12">
        <v>27.6</v>
      </c>
      <c r="F21" s="11">
        <v>111.3</v>
      </c>
      <c r="G21" s="11">
        <v>96.9</v>
      </c>
      <c r="H21" s="12">
        <v>157.80000000000001</v>
      </c>
      <c r="I21" s="12">
        <v>123.5</v>
      </c>
      <c r="J21" s="11">
        <v>17.899999999999999</v>
      </c>
      <c r="K21" s="11">
        <v>16.600000000000001</v>
      </c>
    </row>
    <row r="22" spans="1:11" x14ac:dyDescent="0.2">
      <c r="A22" s="14">
        <v>7500</v>
      </c>
      <c r="B22" s="11">
        <v>22.3</v>
      </c>
      <c r="C22" s="11">
        <v>11.6</v>
      </c>
      <c r="D22" s="12">
        <v>15.4</v>
      </c>
      <c r="E22" s="12">
        <v>25.4</v>
      </c>
      <c r="F22" s="11">
        <v>119.3</v>
      </c>
      <c r="G22" s="11">
        <v>100.8</v>
      </c>
      <c r="H22" s="12">
        <v>167.1</v>
      </c>
      <c r="I22" s="12">
        <v>128.1</v>
      </c>
      <c r="J22" s="11">
        <v>15.2</v>
      </c>
      <c r="K22" s="11">
        <v>14.6</v>
      </c>
    </row>
    <row r="23" spans="1:11" x14ac:dyDescent="0.2">
      <c r="A23" s="14">
        <v>8000</v>
      </c>
      <c r="B23" s="11">
        <v>20.9</v>
      </c>
      <c r="C23" s="11">
        <v>10.1</v>
      </c>
      <c r="D23" s="12">
        <v>13.5</v>
      </c>
      <c r="E23" s="12">
        <v>24.1</v>
      </c>
      <c r="F23" s="11">
        <v>127.3</v>
      </c>
      <c r="G23" s="11">
        <v>99.3</v>
      </c>
      <c r="H23" s="12">
        <v>176.2</v>
      </c>
      <c r="I23" s="12">
        <v>127</v>
      </c>
      <c r="J23" s="11">
        <v>12.7</v>
      </c>
      <c r="K23" s="11">
        <v>13.6</v>
      </c>
    </row>
    <row r="24" spans="1:11" x14ac:dyDescent="0.2">
      <c r="A24" s="14">
        <v>8500</v>
      </c>
      <c r="B24" s="11">
        <v>19.5</v>
      </c>
      <c r="C24" s="11">
        <v>8.5</v>
      </c>
      <c r="D24" s="12">
        <v>11.8</v>
      </c>
      <c r="E24" s="12">
        <v>22.7</v>
      </c>
      <c r="F24" s="11">
        <v>135.30000000000001</v>
      </c>
      <c r="G24" s="11">
        <v>97.8</v>
      </c>
      <c r="H24" s="12">
        <v>185</v>
      </c>
      <c r="I24" s="12">
        <v>125.8</v>
      </c>
      <c r="J24" s="11">
        <v>10.199999999999999</v>
      </c>
      <c r="K24" s="11">
        <v>12.5</v>
      </c>
    </row>
    <row r="25" spans="1:11" x14ac:dyDescent="0.2">
      <c r="A25" s="14">
        <v>9000</v>
      </c>
      <c r="B25" s="11">
        <v>18.2</v>
      </c>
      <c r="C25" s="11">
        <v>5.9</v>
      </c>
      <c r="D25" s="12">
        <v>10.1</v>
      </c>
      <c r="E25" s="12">
        <v>19.899999999999999</v>
      </c>
      <c r="F25" s="11">
        <v>140.5</v>
      </c>
      <c r="G25" s="11">
        <v>104.3</v>
      </c>
      <c r="H25" s="12">
        <v>190.1</v>
      </c>
      <c r="I25" s="12">
        <v>132</v>
      </c>
      <c r="J25" s="11">
        <v>8</v>
      </c>
      <c r="K25" s="11">
        <v>7</v>
      </c>
    </row>
    <row r="26" spans="1:11" x14ac:dyDescent="0.2">
      <c r="A26" s="14">
        <v>9500</v>
      </c>
      <c r="B26" s="11">
        <v>17</v>
      </c>
      <c r="C26" s="11">
        <v>5.9</v>
      </c>
      <c r="D26" s="12">
        <v>8.8000000000000007</v>
      </c>
      <c r="E26" s="12">
        <v>19.8</v>
      </c>
      <c r="F26" s="11">
        <v>145.4</v>
      </c>
      <c r="G26" s="11">
        <v>114.9</v>
      </c>
      <c r="H26" s="12">
        <v>194.7</v>
      </c>
      <c r="I26" s="12">
        <v>142.4</v>
      </c>
      <c r="J26" s="11">
        <v>6.3</v>
      </c>
      <c r="K26" s="11">
        <v>5.5</v>
      </c>
    </row>
    <row r="27" spans="1:11" x14ac:dyDescent="0.2">
      <c r="A27" s="14">
        <v>10000</v>
      </c>
      <c r="B27" s="11">
        <v>16</v>
      </c>
      <c r="C27" s="11">
        <v>5</v>
      </c>
      <c r="D27" s="12">
        <v>7.5</v>
      </c>
      <c r="E27" s="12">
        <v>18.7</v>
      </c>
      <c r="F27" s="11">
        <v>149.30000000000001</v>
      </c>
      <c r="G27" s="11">
        <v>117.5</v>
      </c>
      <c r="H27" s="12">
        <v>198.3</v>
      </c>
      <c r="I27" s="12">
        <v>144.5</v>
      </c>
      <c r="J27" s="11">
        <v>4.9000000000000004</v>
      </c>
      <c r="K27" s="11">
        <v>4.0999999999999996</v>
      </c>
    </row>
    <row r="28" spans="1:11" x14ac:dyDescent="0.2">
      <c r="A28" s="14">
        <v>15000</v>
      </c>
      <c r="B28" s="11">
        <v>10.4</v>
      </c>
      <c r="C28" s="11">
        <v>1.3</v>
      </c>
      <c r="D28" s="15" t="s">
        <v>32</v>
      </c>
      <c r="E28" s="15" t="s">
        <v>32</v>
      </c>
      <c r="F28" s="11">
        <v>198</v>
      </c>
      <c r="G28" s="11">
        <v>124.1</v>
      </c>
      <c r="H28" s="15" t="s">
        <v>32</v>
      </c>
      <c r="I28" s="15" t="s">
        <v>32</v>
      </c>
      <c r="J28" s="11">
        <v>0.5</v>
      </c>
      <c r="K28" s="11">
        <v>0.6</v>
      </c>
    </row>
    <row r="29" spans="1:11" x14ac:dyDescent="0.2">
      <c r="A29" s="14">
        <v>18293</v>
      </c>
      <c r="B29" s="11">
        <v>7.7</v>
      </c>
      <c r="C29" s="11">
        <v>0.6</v>
      </c>
      <c r="D29" s="15" t="s">
        <v>32</v>
      </c>
      <c r="E29" s="15" t="s">
        <v>32</v>
      </c>
      <c r="F29" s="11">
        <v>226.1</v>
      </c>
      <c r="G29" s="11">
        <v>179.5</v>
      </c>
      <c r="H29" s="15" t="s">
        <v>32</v>
      </c>
      <c r="I29" s="15" t="s">
        <v>32</v>
      </c>
      <c r="J29" s="11">
        <v>0.1</v>
      </c>
      <c r="K29" s="11">
        <v>0.1</v>
      </c>
    </row>
    <row r="30" spans="1:11" x14ac:dyDescent="0.2">
      <c r="A30" s="14">
        <v>21100</v>
      </c>
      <c r="B30" s="11">
        <v>5.8</v>
      </c>
      <c r="C30" s="11">
        <v>0.5</v>
      </c>
      <c r="D30" s="15" t="s">
        <v>32</v>
      </c>
      <c r="E30" s="15" t="s">
        <v>32</v>
      </c>
      <c r="F30" s="11">
        <v>252</v>
      </c>
      <c r="G30" s="11">
        <v>193.2</v>
      </c>
      <c r="H30" s="15" t="s">
        <v>32</v>
      </c>
      <c r="I30" s="15" t="s">
        <v>32</v>
      </c>
      <c r="J30" s="11">
        <v>0</v>
      </c>
      <c r="K30" s="11">
        <v>0</v>
      </c>
    </row>
    <row r="31" spans="1:11" x14ac:dyDescent="0.2">
      <c r="A31" s="14">
        <v>30000</v>
      </c>
      <c r="B31" s="11">
        <v>1.5</v>
      </c>
      <c r="C31" s="11">
        <v>0.3</v>
      </c>
      <c r="D31" s="15" t="s">
        <v>32</v>
      </c>
      <c r="E31" s="15" t="s">
        <v>32</v>
      </c>
      <c r="F31" s="11">
        <v>271.2</v>
      </c>
      <c r="G31" s="11">
        <v>186.9</v>
      </c>
      <c r="H31" s="15" t="s">
        <v>32</v>
      </c>
      <c r="I31" s="15" t="s">
        <v>32</v>
      </c>
      <c r="J31" s="11">
        <v>0</v>
      </c>
      <c r="K31" s="11">
        <v>0</v>
      </c>
    </row>
    <row r="32" spans="1:11" x14ac:dyDescent="0.2">
      <c r="A32" s="14">
        <v>42200</v>
      </c>
      <c r="B32" s="11">
        <v>0.2</v>
      </c>
      <c r="C32" s="11">
        <v>0.1</v>
      </c>
      <c r="D32" s="15" t="s">
        <v>32</v>
      </c>
      <c r="E32" s="15" t="s">
        <v>32</v>
      </c>
      <c r="F32" s="11">
        <v>190</v>
      </c>
      <c r="G32" s="11">
        <v>155.80000000000001</v>
      </c>
      <c r="H32" s="15" t="s">
        <v>32</v>
      </c>
      <c r="I32" s="15" t="s">
        <v>32</v>
      </c>
      <c r="J32" s="11">
        <v>0</v>
      </c>
      <c r="K32" s="11">
        <v>0</v>
      </c>
    </row>
    <row r="33" spans="1:11" x14ac:dyDescent="0.2">
      <c r="A33" s="14">
        <v>47166</v>
      </c>
      <c r="B33" s="11">
        <v>0.1</v>
      </c>
      <c r="C33" s="11">
        <v>0.1</v>
      </c>
      <c r="D33" s="15" t="s">
        <v>32</v>
      </c>
      <c r="E33" s="15" t="s">
        <v>32</v>
      </c>
      <c r="F33" s="11">
        <v>176.7</v>
      </c>
      <c r="G33" s="11">
        <v>141</v>
      </c>
      <c r="H33" s="15" t="s">
        <v>32</v>
      </c>
      <c r="I33" s="15" t="s">
        <v>32</v>
      </c>
      <c r="J33" s="11">
        <v>0</v>
      </c>
      <c r="K33" s="11">
        <v>0</v>
      </c>
    </row>
    <row r="34" spans="1:11" x14ac:dyDescent="0.2">
      <c r="A34" s="14">
        <v>62550</v>
      </c>
      <c r="B34" s="11">
        <v>0.1</v>
      </c>
      <c r="C34" s="11">
        <v>0</v>
      </c>
      <c r="D34" s="15" t="s">
        <v>32</v>
      </c>
      <c r="E34" s="15" t="s">
        <v>32</v>
      </c>
      <c r="F34" s="11">
        <v>133.30000000000001</v>
      </c>
      <c r="G34" s="11">
        <v>111</v>
      </c>
      <c r="H34" s="15" t="s">
        <v>32</v>
      </c>
      <c r="I34" s="15" t="s">
        <v>32</v>
      </c>
      <c r="J34" s="11">
        <v>0</v>
      </c>
      <c r="K34" s="11">
        <v>0</v>
      </c>
    </row>
    <row r="35" spans="1:11" x14ac:dyDescent="0.2">
      <c r="A35" s="14">
        <v>74445</v>
      </c>
      <c r="B35" s="11">
        <v>0</v>
      </c>
      <c r="C35" s="11">
        <v>0</v>
      </c>
      <c r="D35" s="15" t="s">
        <v>32</v>
      </c>
      <c r="E35" s="15" t="s">
        <v>32</v>
      </c>
      <c r="F35" s="11">
        <v>105.2</v>
      </c>
      <c r="G35" s="11">
        <v>93.6</v>
      </c>
      <c r="H35" s="15" t="s">
        <v>32</v>
      </c>
      <c r="I35" s="15" t="s">
        <v>32</v>
      </c>
      <c r="J35" s="11">
        <v>0</v>
      </c>
      <c r="K35" s="11">
        <v>0</v>
      </c>
    </row>
    <row r="36" spans="1:11" x14ac:dyDescent="0.2">
      <c r="A36" s="14">
        <v>84400</v>
      </c>
      <c r="B36" s="11">
        <v>0</v>
      </c>
      <c r="C36" s="11">
        <v>0</v>
      </c>
      <c r="D36" s="15" t="s">
        <v>32</v>
      </c>
      <c r="E36" s="15" t="s">
        <v>32</v>
      </c>
      <c r="F36" s="11">
        <v>98.6</v>
      </c>
      <c r="G36" s="11">
        <v>88</v>
      </c>
      <c r="H36" s="15" t="s">
        <v>32</v>
      </c>
      <c r="I36" s="15" t="s">
        <v>32</v>
      </c>
      <c r="J36" s="11">
        <v>0</v>
      </c>
      <c r="K36" s="11">
        <v>0</v>
      </c>
    </row>
    <row r="37" spans="1:11" x14ac:dyDescent="0.2">
      <c r="A37" s="14">
        <v>87100</v>
      </c>
      <c r="B37" s="11">
        <v>0</v>
      </c>
      <c r="C37" s="11">
        <v>0</v>
      </c>
      <c r="D37" s="15" t="s">
        <v>32</v>
      </c>
      <c r="E37" s="15" t="s">
        <v>32</v>
      </c>
      <c r="F37" s="11">
        <v>97.5</v>
      </c>
      <c r="G37" s="11">
        <v>89.4</v>
      </c>
      <c r="H37" s="15" t="s">
        <v>32</v>
      </c>
      <c r="I37" s="15" t="s">
        <v>32</v>
      </c>
      <c r="J37" s="11">
        <v>0</v>
      </c>
      <c r="K37" s="11">
        <v>0</v>
      </c>
    </row>
    <row r="38" spans="1:11" x14ac:dyDescent="0.2">
      <c r="A38" s="14">
        <v>92591</v>
      </c>
      <c r="B38" s="11">
        <v>0</v>
      </c>
      <c r="C38" s="11">
        <v>0</v>
      </c>
      <c r="D38" s="15" t="s">
        <v>32</v>
      </c>
      <c r="E38" s="15" t="s">
        <v>32</v>
      </c>
      <c r="F38" s="11">
        <v>97.2</v>
      </c>
      <c r="G38" s="11">
        <v>83.5</v>
      </c>
      <c r="H38" s="15" t="s">
        <v>32</v>
      </c>
      <c r="I38" s="15" t="s">
        <v>32</v>
      </c>
      <c r="J38" s="11">
        <v>0</v>
      </c>
      <c r="K38" s="11">
        <v>0</v>
      </c>
    </row>
    <row r="39" spans="1:11" x14ac:dyDescent="0.2">
      <c r="A39" s="14">
        <v>106445</v>
      </c>
      <c r="B39" s="11">
        <v>0</v>
      </c>
      <c r="C39" s="11">
        <v>0</v>
      </c>
      <c r="D39" s="15" t="s">
        <v>32</v>
      </c>
      <c r="E39" s="15" t="s">
        <v>32</v>
      </c>
      <c r="F39" s="11">
        <v>124.2</v>
      </c>
      <c r="G39" s="11">
        <v>86</v>
      </c>
      <c r="H39" s="15" t="s">
        <v>32</v>
      </c>
      <c r="I39" s="15" t="s">
        <v>32</v>
      </c>
      <c r="J39" s="11">
        <v>0</v>
      </c>
      <c r="K39" s="11">
        <v>0</v>
      </c>
    </row>
    <row r="40" spans="1:11" x14ac:dyDescent="0.2">
      <c r="A40" s="14">
        <v>110400</v>
      </c>
      <c r="B40" s="11">
        <v>0</v>
      </c>
      <c r="C40" s="11">
        <v>0</v>
      </c>
      <c r="D40" s="15" t="s">
        <v>32</v>
      </c>
      <c r="E40" s="15" t="s">
        <v>32</v>
      </c>
      <c r="F40" s="11">
        <v>122.9</v>
      </c>
      <c r="G40" s="11">
        <v>88.6</v>
      </c>
      <c r="H40" s="15" t="s">
        <v>32</v>
      </c>
      <c r="I40" s="15" t="s">
        <v>32</v>
      </c>
      <c r="J40" s="11">
        <v>0</v>
      </c>
      <c r="K40" s="11">
        <v>0</v>
      </c>
    </row>
    <row r="41" spans="1:11" ht="30.75" customHeight="1" x14ac:dyDescent="0.2">
      <c r="A41" s="16" t="s">
        <v>39</v>
      </c>
      <c r="B41" s="18" t="s">
        <v>40</v>
      </c>
      <c r="C41" s="18"/>
      <c r="D41" s="18"/>
      <c r="E41" s="18"/>
      <c r="F41" s="18"/>
      <c r="G41" s="18"/>
      <c r="H41" s="18"/>
      <c r="I41" s="18"/>
      <c r="J41" s="18"/>
      <c r="K41" s="18"/>
    </row>
    <row r="42" spans="1:11" x14ac:dyDescent="0.2">
      <c r="A42" s="17" t="s">
        <v>32</v>
      </c>
      <c r="B42" s="19" t="s">
        <v>37</v>
      </c>
      <c r="C42" s="19"/>
      <c r="D42" s="19"/>
      <c r="E42" s="19"/>
      <c r="F42" s="19"/>
      <c r="G42" s="19"/>
      <c r="H42" s="19"/>
      <c r="I42" s="19"/>
      <c r="J42" s="19"/>
      <c r="K42" s="19"/>
    </row>
    <row r="43" spans="1:11" x14ac:dyDescent="0.2">
      <c r="A43" s="20" t="s">
        <v>41</v>
      </c>
      <c r="B43" s="21"/>
      <c r="C43" s="21"/>
      <c r="D43" s="21"/>
      <c r="E43" s="21"/>
      <c r="F43" s="21"/>
      <c r="G43" s="21"/>
      <c r="H43" s="21"/>
      <c r="I43" s="21"/>
      <c r="J43" s="21"/>
      <c r="K43" s="22"/>
    </row>
  </sheetData>
  <mergeCells count="12">
    <mergeCell ref="B41:K41"/>
    <mergeCell ref="B42:K42"/>
    <mergeCell ref="A43:K43"/>
    <mergeCell ref="B1:K1"/>
    <mergeCell ref="B2:E2"/>
    <mergeCell ref="F2:I2"/>
    <mergeCell ref="J2:K2"/>
    <mergeCell ref="B3:C3"/>
    <mergeCell ref="D3:E3"/>
    <mergeCell ref="F3:G3"/>
    <mergeCell ref="H3:I3"/>
    <mergeCell ref="J3:K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ReadMe</vt:lpstr>
      <vt:lpstr>LYR_HabFlowRelationships</vt:lpstr>
    </vt:vector>
  </TitlesOfParts>
  <Company>HDR,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HDR</dc:creator>
  <cp:lastModifiedBy>Liz Stebbins</cp:lastModifiedBy>
  <dcterms:created xsi:type="dcterms:W3CDTF">2020-02-24T07:31:30Z</dcterms:created>
  <dcterms:modified xsi:type="dcterms:W3CDTF">2024-07-30T21:30:32Z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30ee07-aa2b-47c7-bd4c-7cc545b5d455_Enabled">
    <vt:lpwstr>true</vt:lpwstr>
  </property>
  <property fmtid="{D5CDD505-2E9C-101B-9397-08002B2CF9AE}" pid="3" name="MSIP_Label_b530ee07-aa2b-47c7-bd4c-7cc545b5d455_SetDate">
    <vt:lpwstr>2024-07-09T20:38:05Z</vt:lpwstr>
  </property>
  <property fmtid="{D5CDD505-2E9C-101B-9397-08002B2CF9AE}" pid="4" name="MSIP_Label_b530ee07-aa2b-47c7-bd4c-7cc545b5d455_Method">
    <vt:lpwstr>Standard</vt:lpwstr>
  </property>
  <property fmtid="{D5CDD505-2E9C-101B-9397-08002B2CF9AE}" pid="5" name="MSIP_Label_b530ee07-aa2b-47c7-bd4c-7cc545b5d455_Name">
    <vt:lpwstr>HDR General Label</vt:lpwstr>
  </property>
  <property fmtid="{D5CDD505-2E9C-101B-9397-08002B2CF9AE}" pid="6" name="MSIP_Label_b530ee07-aa2b-47c7-bd4c-7cc545b5d455_SiteId">
    <vt:lpwstr>3667e201-cbdc-48b3-9b42-5d2d3f16e2a9</vt:lpwstr>
  </property>
  <property fmtid="{D5CDD505-2E9C-101B-9397-08002B2CF9AE}" pid="7" name="MSIP_Label_b530ee07-aa2b-47c7-bd4c-7cc545b5d455_ActionId">
    <vt:lpwstr>62404ed0-899f-4075-877f-cd84107b9f35</vt:lpwstr>
  </property>
  <property fmtid="{D5CDD505-2E9C-101B-9397-08002B2CF9AE}" pid="8" name="MSIP_Label_b530ee07-aa2b-47c7-bd4c-7cc545b5d455_ContentBits">
    <vt:lpwstr>0</vt:lpwstr>
  </property>
</Properties>
</file>